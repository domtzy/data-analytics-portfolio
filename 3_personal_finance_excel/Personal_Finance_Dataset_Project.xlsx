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2B535CD3-3BC0-4B42-8699-60E40D73A90A}" xr6:coauthVersionLast="47" xr6:coauthVersionMax="47" xr10:uidLastSave="{00000000-0000-0000-0000-000000000000}"/>
  <bookViews>
    <workbookView xWindow="-120" yWindow="-120" windowWidth="20730" windowHeight="11040" firstSheet="1" activeTab="4" xr2:uid="{8DA9CF69-2A6A-4DBF-A690-6F46405A0851}"/>
  </bookViews>
  <sheets>
    <sheet name="Personal_Finance_Dataset" sheetId="1" r:id="rId1"/>
    <sheet name="Cleaned_Data" sheetId="2" r:id="rId2"/>
    <sheet name="Budget_Ref" sheetId="3" r:id="rId3"/>
    <sheet name="Pivot_Tables" sheetId="4" r:id="rId4"/>
    <sheet name="Dashboard" sheetId="6" r:id="rId5"/>
  </sheets>
  <definedNames>
    <definedName name="ExternalData_1" localSheetId="1" hidden="1">Cleaned_Data!$A$1:$G$1501</definedName>
    <definedName name="Slicer_Year">#N/A</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8" i="4" s="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I5" i="2"/>
  <c r="I9" i="2"/>
  <c r="I13" i="2"/>
  <c r="I22" i="2"/>
  <c r="I26" i="2"/>
  <c r="I29" i="2"/>
  <c r="I30" i="2"/>
  <c r="I33" i="2"/>
  <c r="I34" i="2"/>
  <c r="I38" i="2"/>
  <c r="I39" i="2"/>
  <c r="I54" i="2"/>
  <c r="I57" i="2"/>
  <c r="I60" i="2"/>
  <c r="I62" i="2"/>
  <c r="I63" i="2"/>
  <c r="I64" i="2"/>
  <c r="I66" i="2"/>
  <c r="I69" i="2"/>
  <c r="I76" i="2"/>
  <c r="I81" i="2"/>
  <c r="I82" i="2"/>
  <c r="I95" i="2"/>
  <c r="I102" i="2"/>
  <c r="I106" i="2"/>
  <c r="I112" i="2"/>
  <c r="I115" i="2"/>
  <c r="I116" i="2"/>
  <c r="I121" i="2"/>
  <c r="I127" i="2"/>
  <c r="I131" i="2"/>
  <c r="I140" i="2"/>
  <c r="I145" i="2"/>
  <c r="I153" i="2"/>
  <c r="I155" i="2"/>
  <c r="I157" i="2"/>
  <c r="I165" i="2"/>
  <c r="I170" i="2"/>
  <c r="I171" i="2"/>
  <c r="I178" i="2"/>
  <c r="I179" i="2"/>
  <c r="I183" i="2"/>
  <c r="I193" i="2"/>
  <c r="I195" i="2"/>
  <c r="I198" i="2"/>
  <c r="I204" i="2"/>
  <c r="I205" i="2"/>
  <c r="I208" i="2"/>
  <c r="I211" i="2"/>
  <c r="I212" i="2"/>
  <c r="I213" i="2"/>
  <c r="I216" i="2"/>
  <c r="I217" i="2"/>
  <c r="I220" i="2"/>
  <c r="I228" i="2"/>
  <c r="I232" i="2"/>
  <c r="I234" i="2"/>
  <c r="I242" i="2"/>
  <c r="I249" i="2"/>
  <c r="I257" i="2"/>
  <c r="I259" i="2"/>
  <c r="I260" i="2"/>
  <c r="I263" i="2"/>
  <c r="I266" i="2"/>
  <c r="I272" i="2"/>
  <c r="I273" i="2"/>
  <c r="I280" i="2"/>
  <c r="I281" i="2"/>
  <c r="I287" i="2"/>
  <c r="I288" i="2"/>
  <c r="I296" i="2"/>
  <c r="I298" i="2"/>
  <c r="I299" i="2"/>
  <c r="I304" i="2"/>
  <c r="I310" i="2"/>
  <c r="I312" i="2"/>
  <c r="I313" i="2"/>
  <c r="I317" i="2"/>
  <c r="I329" i="2"/>
  <c r="I330" i="2"/>
  <c r="I337" i="2"/>
  <c r="I345" i="2"/>
  <c r="I350" i="2"/>
  <c r="I351" i="2"/>
  <c r="I352" i="2"/>
  <c r="I354" i="2"/>
  <c r="I358" i="2"/>
  <c r="I359" i="2"/>
  <c r="I360" i="2"/>
  <c r="I363" i="2"/>
  <c r="I366" i="2"/>
  <c r="I368" i="2"/>
  <c r="I387" i="2"/>
  <c r="I391" i="2"/>
  <c r="I409" i="2"/>
  <c r="I411" i="2"/>
  <c r="I413" i="2"/>
  <c r="I414" i="2"/>
  <c r="I419" i="2"/>
  <c r="I422" i="2"/>
  <c r="I427" i="2"/>
  <c r="I428" i="2"/>
  <c r="I443" i="2"/>
  <c r="I447" i="2"/>
  <c r="I450" i="2"/>
  <c r="I451" i="2"/>
  <c r="I452" i="2"/>
  <c r="I456" i="2"/>
  <c r="I461" i="2"/>
  <c r="I464" i="2"/>
  <c r="I467" i="2"/>
  <c r="I468" i="2"/>
  <c r="I473" i="2"/>
  <c r="I474" i="2"/>
  <c r="I475" i="2"/>
  <c r="I482" i="2"/>
  <c r="I485" i="2"/>
  <c r="I487" i="2"/>
  <c r="I490" i="2"/>
  <c r="I496" i="2"/>
  <c r="I501" i="2"/>
  <c r="I502" i="2"/>
  <c r="I503" i="2"/>
  <c r="I507" i="2"/>
  <c r="I508" i="2"/>
  <c r="I513" i="2"/>
  <c r="I515" i="2"/>
  <c r="I516" i="2"/>
  <c r="I517" i="2"/>
  <c r="I518" i="2"/>
  <c r="I524" i="2"/>
  <c r="I526" i="2"/>
  <c r="I527" i="2"/>
  <c r="I532" i="2"/>
  <c r="I538" i="2"/>
  <c r="I543" i="2"/>
  <c r="I545" i="2"/>
  <c r="I546" i="2"/>
  <c r="I549" i="2"/>
  <c r="I551" i="2"/>
  <c r="I552" i="2"/>
  <c r="I556" i="2"/>
  <c r="I557" i="2"/>
  <c r="I558" i="2"/>
  <c r="I560" i="2"/>
  <c r="I561" i="2"/>
  <c r="I562" i="2"/>
  <c r="I564" i="2"/>
  <c r="I568" i="2"/>
  <c r="I570" i="2"/>
  <c r="I571" i="2"/>
  <c r="I572" i="2"/>
  <c r="I573" i="2"/>
  <c r="I576" i="2"/>
  <c r="I586" i="2"/>
  <c r="I590" i="2"/>
  <c r="I592" i="2"/>
  <c r="I595" i="2"/>
  <c r="I606" i="2"/>
  <c r="I608" i="2"/>
  <c r="I609" i="2"/>
  <c r="I610" i="2"/>
  <c r="I612" i="2"/>
  <c r="I614" i="2"/>
  <c r="I616" i="2"/>
  <c r="I617" i="2"/>
  <c r="I618" i="2"/>
  <c r="I619" i="2"/>
  <c r="I620" i="2"/>
  <c r="I621" i="2"/>
  <c r="I626" i="2"/>
  <c r="I628" i="2"/>
  <c r="I637" i="2"/>
  <c r="I643" i="2"/>
  <c r="I645" i="2"/>
  <c r="I647" i="2"/>
  <c r="I649" i="2"/>
  <c r="I650" i="2"/>
  <c r="I652" i="2"/>
  <c r="I655" i="2"/>
  <c r="I661" i="2"/>
  <c r="I664" i="2"/>
  <c r="I667" i="2"/>
  <c r="I669" i="2"/>
  <c r="I676" i="2"/>
  <c r="I681" i="2"/>
  <c r="I683" i="2"/>
  <c r="I688" i="2"/>
  <c r="I696" i="2"/>
  <c r="I697" i="2"/>
  <c r="I700" i="2"/>
  <c r="I701" i="2"/>
  <c r="I704" i="2"/>
  <c r="I706" i="2"/>
  <c r="I711" i="2"/>
  <c r="I713" i="2"/>
  <c r="I714" i="2"/>
  <c r="I715" i="2"/>
  <c r="I725" i="2"/>
  <c r="I726" i="2"/>
  <c r="I730" i="2"/>
  <c r="I746" i="2"/>
  <c r="I749" i="2"/>
  <c r="I752" i="2"/>
  <c r="I756" i="2"/>
  <c r="I757" i="2"/>
  <c r="I760" i="2"/>
  <c r="I761" i="2"/>
  <c r="I762" i="2"/>
  <c r="I767" i="2"/>
  <c r="I768" i="2"/>
  <c r="I776" i="2"/>
  <c r="I786" i="2"/>
  <c r="I789" i="2"/>
  <c r="I795" i="2"/>
  <c r="I797" i="2"/>
  <c r="I798" i="2"/>
  <c r="I799" i="2"/>
  <c r="I806" i="2"/>
  <c r="I807" i="2"/>
  <c r="I815" i="2"/>
  <c r="I816" i="2"/>
  <c r="I819" i="2"/>
  <c r="I820" i="2"/>
  <c r="I821" i="2"/>
  <c r="I822" i="2"/>
  <c r="I824" i="2"/>
  <c r="I825" i="2"/>
  <c r="I826" i="2"/>
  <c r="I828" i="2"/>
  <c r="I831" i="2"/>
  <c r="I836" i="2"/>
  <c r="I843" i="2"/>
  <c r="I855" i="2"/>
  <c r="I857" i="2"/>
  <c r="I859" i="2"/>
  <c r="I865" i="2"/>
  <c r="I867" i="2"/>
  <c r="I871" i="2"/>
  <c r="I875" i="2"/>
  <c r="I877" i="2"/>
  <c r="I879" i="2"/>
  <c r="I881" i="2"/>
  <c r="I887" i="2"/>
  <c r="I891" i="2"/>
  <c r="I893" i="2"/>
  <c r="I898" i="2"/>
  <c r="I901" i="2"/>
  <c r="I906" i="2"/>
  <c r="I914" i="2"/>
  <c r="I919" i="2"/>
  <c r="I922" i="2"/>
  <c r="I931" i="2"/>
  <c r="I932" i="2"/>
  <c r="I934" i="2"/>
  <c r="I935" i="2"/>
  <c r="I940" i="2"/>
  <c r="I945" i="2"/>
  <c r="I952" i="2"/>
  <c r="I954" i="2"/>
  <c r="I957" i="2"/>
  <c r="I958" i="2"/>
  <c r="I961" i="2"/>
  <c r="I962" i="2"/>
  <c r="I963" i="2"/>
  <c r="I964" i="2"/>
  <c r="I966" i="2"/>
  <c r="I967" i="2"/>
  <c r="I968" i="2"/>
  <c r="I969" i="2"/>
  <c r="I976" i="2"/>
  <c r="I985" i="2"/>
  <c r="I987" i="2"/>
  <c r="I988" i="2"/>
  <c r="I989" i="2"/>
  <c r="I992" i="2"/>
  <c r="I993" i="2"/>
  <c r="I997" i="2"/>
  <c r="I1005" i="2"/>
  <c r="I1011" i="2"/>
  <c r="I1015" i="2"/>
  <c r="I1016" i="2"/>
  <c r="I1017" i="2"/>
  <c r="I1018" i="2"/>
  <c r="I1020" i="2"/>
  <c r="I1026" i="2"/>
  <c r="I1028" i="2"/>
  <c r="I1029" i="2"/>
  <c r="I1030" i="2"/>
  <c r="I1035" i="2"/>
  <c r="I1041" i="2"/>
  <c r="I1046" i="2"/>
  <c r="I1047" i="2"/>
  <c r="I1054" i="2"/>
  <c r="I1057" i="2"/>
  <c r="I1059" i="2"/>
  <c r="I1061" i="2"/>
  <c r="I1074" i="2"/>
  <c r="I1077" i="2"/>
  <c r="I1078" i="2"/>
  <c r="I1082" i="2"/>
  <c r="I1086" i="2"/>
  <c r="I1092" i="2"/>
  <c r="I1103" i="2"/>
  <c r="I1113" i="2"/>
  <c r="I1116" i="2"/>
  <c r="I1119" i="2"/>
  <c r="I1121" i="2"/>
  <c r="I1126" i="2"/>
  <c r="I1128" i="2"/>
  <c r="I1129" i="2"/>
  <c r="I1130" i="2"/>
  <c r="I1134" i="2"/>
  <c r="I1136" i="2"/>
  <c r="I1139" i="2"/>
  <c r="I1140" i="2"/>
  <c r="I1146" i="2"/>
  <c r="I1147" i="2"/>
  <c r="I1148" i="2"/>
  <c r="I1156" i="2"/>
  <c r="I1158" i="2"/>
  <c r="I1162" i="2"/>
  <c r="I1163" i="2"/>
  <c r="I1167" i="2"/>
  <c r="I1171" i="2"/>
  <c r="I1175" i="2"/>
  <c r="I1179" i="2"/>
  <c r="I1182" i="2"/>
  <c r="I1185" i="2"/>
  <c r="I1187" i="2"/>
  <c r="I1192" i="2"/>
  <c r="I1195" i="2"/>
  <c r="I1196" i="2"/>
  <c r="I1200" i="2"/>
  <c r="I1201" i="2"/>
  <c r="I1202" i="2"/>
  <c r="I1204" i="2"/>
  <c r="I1207" i="2"/>
  <c r="I1208" i="2"/>
  <c r="I1210" i="2"/>
  <c r="I1214" i="2"/>
  <c r="I1221" i="2"/>
  <c r="I1225" i="2"/>
  <c r="I1228" i="2"/>
  <c r="I1233" i="2"/>
  <c r="I1235" i="2"/>
  <c r="I1236" i="2"/>
  <c r="I1241" i="2"/>
  <c r="I1242" i="2"/>
  <c r="I1243" i="2"/>
  <c r="I1252" i="2"/>
  <c r="I1260" i="2"/>
  <c r="I1262" i="2"/>
  <c r="I1269" i="2"/>
  <c r="I1271" i="2"/>
  <c r="I1273" i="2"/>
  <c r="I1275" i="2"/>
  <c r="I1277" i="2"/>
  <c r="I1281" i="2"/>
  <c r="I1283" i="2"/>
  <c r="I1288" i="2"/>
  <c r="I1290" i="2"/>
  <c r="I1291" i="2"/>
  <c r="I1295" i="2"/>
  <c r="I1299" i="2"/>
  <c r="I1303" i="2"/>
  <c r="I1307" i="2"/>
  <c r="I1308" i="2"/>
  <c r="I1313" i="2"/>
  <c r="I1327" i="2"/>
  <c r="I1328" i="2"/>
  <c r="I1329" i="2"/>
  <c r="I1332" i="2"/>
  <c r="I1334" i="2"/>
  <c r="I1336" i="2"/>
  <c r="I1340" i="2"/>
  <c r="I1341" i="2"/>
  <c r="I1344" i="2"/>
  <c r="I1345" i="2"/>
  <c r="I1346" i="2"/>
  <c r="I1354" i="2"/>
  <c r="I1357" i="2"/>
  <c r="I1358" i="2"/>
  <c r="I1359" i="2"/>
  <c r="I1361" i="2"/>
  <c r="I1364" i="2"/>
  <c r="I1365" i="2"/>
  <c r="I1373" i="2"/>
  <c r="I1378" i="2"/>
  <c r="I1382" i="2"/>
  <c r="I1388" i="2"/>
  <c r="I1391" i="2"/>
  <c r="I1393" i="2"/>
  <c r="I1394" i="2"/>
  <c r="I1399" i="2"/>
  <c r="I1402" i="2"/>
  <c r="I1405" i="2"/>
  <c r="I1408" i="2"/>
  <c r="I1414" i="2"/>
  <c r="I1415" i="2"/>
  <c r="I1417" i="2"/>
  <c r="I1425" i="2"/>
  <c r="I1429" i="2"/>
  <c r="I1430" i="2"/>
  <c r="I1440" i="2"/>
  <c r="I1447" i="2"/>
  <c r="I1448" i="2"/>
  <c r="I1449" i="2"/>
  <c r="I1457" i="2"/>
  <c r="I1458" i="2"/>
  <c r="I1459" i="2"/>
  <c r="I1460" i="2"/>
  <c r="I1462" i="2"/>
  <c r="I1467" i="2"/>
  <c r="I1470" i="2"/>
  <c r="I1474" i="2"/>
  <c r="I1479" i="2"/>
  <c r="I1480" i="2"/>
  <c r="I1481" i="2"/>
  <c r="I1482" i="2"/>
  <c r="I1483" i="2"/>
  <c r="I1490" i="2"/>
  <c r="I1495" i="2"/>
  <c r="I1499" i="2"/>
  <c r="I1501" i="2"/>
  <c r="H2" i="2"/>
  <c r="I2" i="2" s="1"/>
  <c r="H3" i="2"/>
  <c r="I3" i="2" s="1"/>
  <c r="H4" i="2"/>
  <c r="I4" i="2" s="1"/>
  <c r="H5" i="2"/>
  <c r="H6" i="2"/>
  <c r="I6" i="2" s="1"/>
  <c r="H7" i="2"/>
  <c r="I7" i="2" s="1"/>
  <c r="H8" i="2"/>
  <c r="I8" i="2" s="1"/>
  <c r="H9" i="2"/>
  <c r="H10" i="2"/>
  <c r="I10" i="2" s="1"/>
  <c r="H11" i="2"/>
  <c r="I11" i="2" s="1"/>
  <c r="H12" i="2"/>
  <c r="I12" i="2" s="1"/>
  <c r="H13" i="2"/>
  <c r="H14" i="2"/>
  <c r="I14" i="2" s="1"/>
  <c r="H15" i="2"/>
  <c r="I15" i="2" s="1"/>
  <c r="H16" i="2"/>
  <c r="I16" i="2" s="1"/>
  <c r="H17" i="2"/>
  <c r="I17" i="2" s="1"/>
  <c r="H18" i="2"/>
  <c r="I18" i="2" s="1"/>
  <c r="H19" i="2"/>
  <c r="I19" i="2" s="1"/>
  <c r="H20" i="2"/>
  <c r="I20" i="2" s="1"/>
  <c r="H21" i="2"/>
  <c r="I21" i="2" s="1"/>
  <c r="H22" i="2"/>
  <c r="H23" i="2"/>
  <c r="I23" i="2" s="1"/>
  <c r="H24" i="2"/>
  <c r="I24" i="2" s="1"/>
  <c r="H25" i="2"/>
  <c r="I25" i="2" s="1"/>
  <c r="H26" i="2"/>
  <c r="H27" i="2"/>
  <c r="I27" i="2" s="1"/>
  <c r="H28" i="2"/>
  <c r="I28" i="2" s="1"/>
  <c r="H29" i="2"/>
  <c r="H30" i="2"/>
  <c r="H31" i="2"/>
  <c r="I31" i="2" s="1"/>
  <c r="H32" i="2"/>
  <c r="I32" i="2" s="1"/>
  <c r="H33" i="2"/>
  <c r="H34" i="2"/>
  <c r="H35" i="2"/>
  <c r="I35" i="2" s="1"/>
  <c r="H36" i="2"/>
  <c r="I36" i="2" s="1"/>
  <c r="H37" i="2"/>
  <c r="I37" i="2" s="1"/>
  <c r="H38" i="2"/>
  <c r="H39" i="2"/>
  <c r="H40" i="2"/>
  <c r="I40" i="2" s="1"/>
  <c r="H41" i="2"/>
  <c r="I41" i="2" s="1"/>
  <c r="H42" i="2"/>
  <c r="I42" i="2" s="1"/>
  <c r="H43" i="2"/>
  <c r="I43" i="2" s="1"/>
  <c r="H44" i="2"/>
  <c r="I44" i="2" s="1"/>
  <c r="H45" i="2"/>
  <c r="I45" i="2" s="1"/>
  <c r="H46" i="2"/>
  <c r="I46" i="2" s="1"/>
  <c r="H47" i="2"/>
  <c r="I47" i="2" s="1"/>
  <c r="H48" i="2"/>
  <c r="I48" i="2" s="1"/>
  <c r="H49" i="2"/>
  <c r="I49" i="2" s="1"/>
  <c r="H50" i="2"/>
  <c r="I50" i="2" s="1"/>
  <c r="H51" i="2"/>
  <c r="I51" i="2" s="1"/>
  <c r="H52" i="2"/>
  <c r="I52" i="2" s="1"/>
  <c r="H53" i="2"/>
  <c r="I53" i="2" s="1"/>
  <c r="H54" i="2"/>
  <c r="H55" i="2"/>
  <c r="I55" i="2" s="1"/>
  <c r="H56" i="2"/>
  <c r="I56" i="2" s="1"/>
  <c r="H57" i="2"/>
  <c r="H58" i="2"/>
  <c r="I58" i="2" s="1"/>
  <c r="H59" i="2"/>
  <c r="I59" i="2" s="1"/>
  <c r="H60" i="2"/>
  <c r="H61" i="2"/>
  <c r="I61" i="2" s="1"/>
  <c r="H62" i="2"/>
  <c r="H63" i="2"/>
  <c r="H64" i="2"/>
  <c r="H65" i="2"/>
  <c r="I65" i="2" s="1"/>
  <c r="H66" i="2"/>
  <c r="H67" i="2"/>
  <c r="I67" i="2" s="1"/>
  <c r="H68" i="2"/>
  <c r="I68" i="2" s="1"/>
  <c r="H69" i="2"/>
  <c r="H70" i="2"/>
  <c r="I70" i="2" s="1"/>
  <c r="H71" i="2"/>
  <c r="I71" i="2" s="1"/>
  <c r="H72" i="2"/>
  <c r="I72" i="2" s="1"/>
  <c r="H73" i="2"/>
  <c r="I73" i="2" s="1"/>
  <c r="H74" i="2"/>
  <c r="I74" i="2" s="1"/>
  <c r="H75" i="2"/>
  <c r="I75" i="2" s="1"/>
  <c r="H76" i="2"/>
  <c r="H77" i="2"/>
  <c r="I77" i="2" s="1"/>
  <c r="H78" i="2"/>
  <c r="I78" i="2" s="1"/>
  <c r="H79" i="2"/>
  <c r="I79" i="2" s="1"/>
  <c r="H80" i="2"/>
  <c r="I80" i="2" s="1"/>
  <c r="H81" i="2"/>
  <c r="H82" i="2"/>
  <c r="H83" i="2"/>
  <c r="I83" i="2" s="1"/>
  <c r="H84" i="2"/>
  <c r="I84" i="2" s="1"/>
  <c r="H85" i="2"/>
  <c r="I85" i="2" s="1"/>
  <c r="H86" i="2"/>
  <c r="I86" i="2" s="1"/>
  <c r="H87" i="2"/>
  <c r="I87" i="2" s="1"/>
  <c r="H88" i="2"/>
  <c r="I88" i="2" s="1"/>
  <c r="H89" i="2"/>
  <c r="I89" i="2" s="1"/>
  <c r="H90" i="2"/>
  <c r="I90" i="2" s="1"/>
  <c r="H91" i="2"/>
  <c r="I91" i="2" s="1"/>
  <c r="H92" i="2"/>
  <c r="I92" i="2" s="1"/>
  <c r="H93" i="2"/>
  <c r="I93" i="2" s="1"/>
  <c r="H94" i="2"/>
  <c r="I94" i="2" s="1"/>
  <c r="H95" i="2"/>
  <c r="H96" i="2"/>
  <c r="I96" i="2" s="1"/>
  <c r="H97" i="2"/>
  <c r="I97" i="2" s="1"/>
  <c r="H98" i="2"/>
  <c r="I98" i="2" s="1"/>
  <c r="H99" i="2"/>
  <c r="I99" i="2" s="1"/>
  <c r="H100" i="2"/>
  <c r="I100" i="2" s="1"/>
  <c r="H101" i="2"/>
  <c r="I101" i="2" s="1"/>
  <c r="H102" i="2"/>
  <c r="H103" i="2"/>
  <c r="I103" i="2" s="1"/>
  <c r="H104" i="2"/>
  <c r="I104" i="2" s="1"/>
  <c r="H105" i="2"/>
  <c r="I105" i="2" s="1"/>
  <c r="H106" i="2"/>
  <c r="H107" i="2"/>
  <c r="I107" i="2" s="1"/>
  <c r="H108" i="2"/>
  <c r="I108" i="2" s="1"/>
  <c r="H109" i="2"/>
  <c r="I109" i="2" s="1"/>
  <c r="H110" i="2"/>
  <c r="I110" i="2" s="1"/>
  <c r="H111" i="2"/>
  <c r="I111" i="2" s="1"/>
  <c r="H112" i="2"/>
  <c r="H113" i="2"/>
  <c r="I113" i="2" s="1"/>
  <c r="H114" i="2"/>
  <c r="I114" i="2" s="1"/>
  <c r="H115" i="2"/>
  <c r="H116" i="2"/>
  <c r="H117" i="2"/>
  <c r="I117" i="2" s="1"/>
  <c r="H118" i="2"/>
  <c r="I118" i="2" s="1"/>
  <c r="H119" i="2"/>
  <c r="I119" i="2" s="1"/>
  <c r="H120" i="2"/>
  <c r="I120" i="2" s="1"/>
  <c r="H121" i="2"/>
  <c r="H122" i="2"/>
  <c r="I122" i="2" s="1"/>
  <c r="H123" i="2"/>
  <c r="I123" i="2" s="1"/>
  <c r="H124" i="2"/>
  <c r="I124" i="2" s="1"/>
  <c r="H125" i="2"/>
  <c r="I125" i="2" s="1"/>
  <c r="H126" i="2"/>
  <c r="I126" i="2" s="1"/>
  <c r="H127" i="2"/>
  <c r="H128" i="2"/>
  <c r="I128" i="2" s="1"/>
  <c r="H129" i="2"/>
  <c r="I129" i="2" s="1"/>
  <c r="H130" i="2"/>
  <c r="I130" i="2" s="1"/>
  <c r="H131" i="2"/>
  <c r="H132" i="2"/>
  <c r="I132" i="2" s="1"/>
  <c r="H133" i="2"/>
  <c r="I133" i="2" s="1"/>
  <c r="H134" i="2"/>
  <c r="I134" i="2" s="1"/>
  <c r="H135" i="2"/>
  <c r="I135" i="2" s="1"/>
  <c r="H136" i="2"/>
  <c r="I136" i="2" s="1"/>
  <c r="H137" i="2"/>
  <c r="I137" i="2" s="1"/>
  <c r="H138" i="2"/>
  <c r="I138" i="2" s="1"/>
  <c r="H139" i="2"/>
  <c r="I139" i="2" s="1"/>
  <c r="H140" i="2"/>
  <c r="H141" i="2"/>
  <c r="I141" i="2" s="1"/>
  <c r="H142" i="2"/>
  <c r="I142" i="2" s="1"/>
  <c r="H143" i="2"/>
  <c r="I143" i="2" s="1"/>
  <c r="H144" i="2"/>
  <c r="I144" i="2" s="1"/>
  <c r="H145" i="2"/>
  <c r="H146" i="2"/>
  <c r="I146" i="2" s="1"/>
  <c r="H147" i="2"/>
  <c r="I147" i="2" s="1"/>
  <c r="H148" i="2"/>
  <c r="I148" i="2" s="1"/>
  <c r="H149" i="2"/>
  <c r="I149" i="2" s="1"/>
  <c r="H150" i="2"/>
  <c r="I150" i="2" s="1"/>
  <c r="H151" i="2"/>
  <c r="I151" i="2" s="1"/>
  <c r="H152" i="2"/>
  <c r="I152" i="2" s="1"/>
  <c r="H153" i="2"/>
  <c r="H154" i="2"/>
  <c r="I154" i="2" s="1"/>
  <c r="H155" i="2"/>
  <c r="H156" i="2"/>
  <c r="I156" i="2" s="1"/>
  <c r="H157" i="2"/>
  <c r="H158" i="2"/>
  <c r="I158" i="2" s="1"/>
  <c r="H159" i="2"/>
  <c r="I159" i="2" s="1"/>
  <c r="H160" i="2"/>
  <c r="I160" i="2" s="1"/>
  <c r="H161" i="2"/>
  <c r="I161" i="2" s="1"/>
  <c r="H162" i="2"/>
  <c r="I162" i="2" s="1"/>
  <c r="H163" i="2"/>
  <c r="I163" i="2" s="1"/>
  <c r="H164" i="2"/>
  <c r="I164" i="2" s="1"/>
  <c r="H165" i="2"/>
  <c r="H166" i="2"/>
  <c r="I166" i="2" s="1"/>
  <c r="H167" i="2"/>
  <c r="I167" i="2" s="1"/>
  <c r="H168" i="2"/>
  <c r="I168" i="2" s="1"/>
  <c r="H169" i="2"/>
  <c r="I169" i="2" s="1"/>
  <c r="H170" i="2"/>
  <c r="H171" i="2"/>
  <c r="H172" i="2"/>
  <c r="I172" i="2" s="1"/>
  <c r="H173" i="2"/>
  <c r="I173" i="2" s="1"/>
  <c r="H174" i="2"/>
  <c r="I174" i="2" s="1"/>
  <c r="H175" i="2"/>
  <c r="I175" i="2" s="1"/>
  <c r="H176" i="2"/>
  <c r="I176" i="2" s="1"/>
  <c r="H177" i="2"/>
  <c r="I177" i="2" s="1"/>
  <c r="H178" i="2"/>
  <c r="H179" i="2"/>
  <c r="H180" i="2"/>
  <c r="I180" i="2" s="1"/>
  <c r="H181" i="2"/>
  <c r="I181" i="2" s="1"/>
  <c r="H182" i="2"/>
  <c r="I182" i="2" s="1"/>
  <c r="H183" i="2"/>
  <c r="H184" i="2"/>
  <c r="I184" i="2" s="1"/>
  <c r="H185" i="2"/>
  <c r="I185" i="2" s="1"/>
  <c r="H186" i="2"/>
  <c r="I186" i="2" s="1"/>
  <c r="H187" i="2"/>
  <c r="I187" i="2" s="1"/>
  <c r="H188" i="2"/>
  <c r="I188" i="2" s="1"/>
  <c r="H189" i="2"/>
  <c r="I189" i="2" s="1"/>
  <c r="H190" i="2"/>
  <c r="I190" i="2" s="1"/>
  <c r="H191" i="2"/>
  <c r="I191" i="2" s="1"/>
  <c r="H192" i="2"/>
  <c r="I192" i="2" s="1"/>
  <c r="H193" i="2"/>
  <c r="H194" i="2"/>
  <c r="I194" i="2" s="1"/>
  <c r="H195" i="2"/>
  <c r="H196" i="2"/>
  <c r="I196" i="2" s="1"/>
  <c r="H197" i="2"/>
  <c r="I197" i="2" s="1"/>
  <c r="H198" i="2"/>
  <c r="H199" i="2"/>
  <c r="I199" i="2" s="1"/>
  <c r="H200" i="2"/>
  <c r="I200" i="2" s="1"/>
  <c r="H201" i="2"/>
  <c r="I201" i="2" s="1"/>
  <c r="H202" i="2"/>
  <c r="I202" i="2" s="1"/>
  <c r="H203" i="2"/>
  <c r="I203" i="2" s="1"/>
  <c r="H204" i="2"/>
  <c r="H205" i="2"/>
  <c r="H206" i="2"/>
  <c r="I206" i="2" s="1"/>
  <c r="H207" i="2"/>
  <c r="I207" i="2" s="1"/>
  <c r="H208" i="2"/>
  <c r="H209" i="2"/>
  <c r="I209" i="2" s="1"/>
  <c r="H210" i="2"/>
  <c r="I210" i="2" s="1"/>
  <c r="H211" i="2"/>
  <c r="H212" i="2"/>
  <c r="H213" i="2"/>
  <c r="H214" i="2"/>
  <c r="I214" i="2" s="1"/>
  <c r="H215" i="2"/>
  <c r="I215" i="2" s="1"/>
  <c r="H216" i="2"/>
  <c r="H217" i="2"/>
  <c r="H218" i="2"/>
  <c r="I218" i="2" s="1"/>
  <c r="H219" i="2"/>
  <c r="I219" i="2" s="1"/>
  <c r="H220" i="2"/>
  <c r="H221" i="2"/>
  <c r="I221" i="2" s="1"/>
  <c r="H222" i="2"/>
  <c r="I222" i="2" s="1"/>
  <c r="H223" i="2"/>
  <c r="I223" i="2" s="1"/>
  <c r="H224" i="2"/>
  <c r="I224" i="2" s="1"/>
  <c r="H225" i="2"/>
  <c r="I225" i="2" s="1"/>
  <c r="H226" i="2"/>
  <c r="I226" i="2" s="1"/>
  <c r="H227" i="2"/>
  <c r="I227" i="2" s="1"/>
  <c r="H228" i="2"/>
  <c r="H229" i="2"/>
  <c r="I229" i="2" s="1"/>
  <c r="H230" i="2"/>
  <c r="I230" i="2" s="1"/>
  <c r="H231" i="2"/>
  <c r="I231" i="2" s="1"/>
  <c r="H232" i="2"/>
  <c r="H233" i="2"/>
  <c r="I233" i="2" s="1"/>
  <c r="H234" i="2"/>
  <c r="H235" i="2"/>
  <c r="I235" i="2" s="1"/>
  <c r="H236" i="2"/>
  <c r="I236" i="2" s="1"/>
  <c r="H237" i="2"/>
  <c r="I237" i="2" s="1"/>
  <c r="H238" i="2"/>
  <c r="I238" i="2" s="1"/>
  <c r="H239" i="2"/>
  <c r="I239" i="2" s="1"/>
  <c r="H240" i="2"/>
  <c r="I240" i="2" s="1"/>
  <c r="H241" i="2"/>
  <c r="I241" i="2" s="1"/>
  <c r="H242" i="2"/>
  <c r="H243" i="2"/>
  <c r="I243" i="2" s="1"/>
  <c r="H244" i="2"/>
  <c r="I244" i="2" s="1"/>
  <c r="H245" i="2"/>
  <c r="I245" i="2" s="1"/>
  <c r="H246" i="2"/>
  <c r="I246" i="2" s="1"/>
  <c r="H247" i="2"/>
  <c r="I247" i="2" s="1"/>
  <c r="H248" i="2"/>
  <c r="I248" i="2" s="1"/>
  <c r="H249" i="2"/>
  <c r="H250" i="2"/>
  <c r="I250" i="2" s="1"/>
  <c r="H251" i="2"/>
  <c r="I251" i="2" s="1"/>
  <c r="H252" i="2"/>
  <c r="I252" i="2" s="1"/>
  <c r="H253" i="2"/>
  <c r="I253" i="2" s="1"/>
  <c r="H254" i="2"/>
  <c r="I254" i="2" s="1"/>
  <c r="H255" i="2"/>
  <c r="I255" i="2" s="1"/>
  <c r="H256" i="2"/>
  <c r="I256" i="2" s="1"/>
  <c r="H257" i="2"/>
  <c r="H258" i="2"/>
  <c r="I258" i="2" s="1"/>
  <c r="H259" i="2"/>
  <c r="H260" i="2"/>
  <c r="H261" i="2"/>
  <c r="I261" i="2" s="1"/>
  <c r="H262" i="2"/>
  <c r="I262" i="2" s="1"/>
  <c r="H263" i="2"/>
  <c r="H264" i="2"/>
  <c r="I264" i="2" s="1"/>
  <c r="H265" i="2"/>
  <c r="I265" i="2" s="1"/>
  <c r="H266" i="2"/>
  <c r="H267" i="2"/>
  <c r="I267" i="2" s="1"/>
  <c r="H268" i="2"/>
  <c r="I268" i="2" s="1"/>
  <c r="H269" i="2"/>
  <c r="I269" i="2" s="1"/>
  <c r="H270" i="2"/>
  <c r="I270" i="2" s="1"/>
  <c r="H271" i="2"/>
  <c r="I271" i="2" s="1"/>
  <c r="H272" i="2"/>
  <c r="H273" i="2"/>
  <c r="H274" i="2"/>
  <c r="I274" i="2" s="1"/>
  <c r="H275" i="2"/>
  <c r="I275" i="2" s="1"/>
  <c r="H276" i="2"/>
  <c r="I276" i="2" s="1"/>
  <c r="H277" i="2"/>
  <c r="I277" i="2" s="1"/>
  <c r="H278" i="2"/>
  <c r="I278" i="2" s="1"/>
  <c r="H279" i="2"/>
  <c r="I279" i="2" s="1"/>
  <c r="H280" i="2"/>
  <c r="H281" i="2"/>
  <c r="H282" i="2"/>
  <c r="I282" i="2" s="1"/>
  <c r="H283" i="2"/>
  <c r="I283" i="2" s="1"/>
  <c r="H284" i="2"/>
  <c r="I284" i="2" s="1"/>
  <c r="H285" i="2"/>
  <c r="I285" i="2" s="1"/>
  <c r="H286" i="2"/>
  <c r="I286" i="2" s="1"/>
  <c r="H287" i="2"/>
  <c r="H288" i="2"/>
  <c r="H289" i="2"/>
  <c r="I289" i="2" s="1"/>
  <c r="H290" i="2"/>
  <c r="I290" i="2" s="1"/>
  <c r="H291" i="2"/>
  <c r="I291" i="2" s="1"/>
  <c r="H292" i="2"/>
  <c r="I292" i="2" s="1"/>
  <c r="H293" i="2"/>
  <c r="I293" i="2" s="1"/>
  <c r="H294" i="2"/>
  <c r="I294" i="2" s="1"/>
  <c r="H295" i="2"/>
  <c r="I295" i="2" s="1"/>
  <c r="H296" i="2"/>
  <c r="H297" i="2"/>
  <c r="I297" i="2" s="1"/>
  <c r="H298" i="2"/>
  <c r="H299" i="2"/>
  <c r="H300" i="2"/>
  <c r="I300" i="2" s="1"/>
  <c r="H301" i="2"/>
  <c r="I301" i="2" s="1"/>
  <c r="H302" i="2"/>
  <c r="I302" i="2" s="1"/>
  <c r="H303" i="2"/>
  <c r="I303" i="2" s="1"/>
  <c r="H304" i="2"/>
  <c r="H305" i="2"/>
  <c r="I305" i="2" s="1"/>
  <c r="H306" i="2"/>
  <c r="I306" i="2" s="1"/>
  <c r="H307" i="2"/>
  <c r="I307" i="2" s="1"/>
  <c r="H308" i="2"/>
  <c r="I308" i="2" s="1"/>
  <c r="H309" i="2"/>
  <c r="I309" i="2" s="1"/>
  <c r="H310" i="2"/>
  <c r="H311" i="2"/>
  <c r="I311" i="2" s="1"/>
  <c r="H312" i="2"/>
  <c r="H313" i="2"/>
  <c r="H314" i="2"/>
  <c r="I314" i="2" s="1"/>
  <c r="H315" i="2"/>
  <c r="I315" i="2" s="1"/>
  <c r="H316" i="2"/>
  <c r="I316" i="2" s="1"/>
  <c r="H317" i="2"/>
  <c r="H318" i="2"/>
  <c r="I318" i="2" s="1"/>
  <c r="H319" i="2"/>
  <c r="I319" i="2" s="1"/>
  <c r="H320" i="2"/>
  <c r="I320" i="2" s="1"/>
  <c r="H321" i="2"/>
  <c r="I321" i="2" s="1"/>
  <c r="H322" i="2"/>
  <c r="I322" i="2" s="1"/>
  <c r="H323" i="2"/>
  <c r="I323" i="2" s="1"/>
  <c r="H324" i="2"/>
  <c r="I324" i="2" s="1"/>
  <c r="H325" i="2"/>
  <c r="I325" i="2" s="1"/>
  <c r="H326" i="2"/>
  <c r="I326" i="2" s="1"/>
  <c r="H327" i="2"/>
  <c r="I327" i="2" s="1"/>
  <c r="H328" i="2"/>
  <c r="I328" i="2" s="1"/>
  <c r="H329" i="2"/>
  <c r="H330" i="2"/>
  <c r="H331" i="2"/>
  <c r="I331" i="2" s="1"/>
  <c r="H332" i="2"/>
  <c r="I332" i="2" s="1"/>
  <c r="H333" i="2"/>
  <c r="I333" i="2" s="1"/>
  <c r="H334" i="2"/>
  <c r="I334" i="2" s="1"/>
  <c r="H335" i="2"/>
  <c r="I335" i="2" s="1"/>
  <c r="H336" i="2"/>
  <c r="I336" i="2" s="1"/>
  <c r="H337" i="2"/>
  <c r="H338" i="2"/>
  <c r="I338" i="2" s="1"/>
  <c r="H339" i="2"/>
  <c r="I339" i="2" s="1"/>
  <c r="H340" i="2"/>
  <c r="I340" i="2" s="1"/>
  <c r="H341" i="2"/>
  <c r="I341" i="2" s="1"/>
  <c r="H342" i="2"/>
  <c r="I342" i="2" s="1"/>
  <c r="H343" i="2"/>
  <c r="I343" i="2" s="1"/>
  <c r="H344" i="2"/>
  <c r="I344" i="2" s="1"/>
  <c r="H345" i="2"/>
  <c r="H346" i="2"/>
  <c r="I346" i="2" s="1"/>
  <c r="H347" i="2"/>
  <c r="I347" i="2" s="1"/>
  <c r="H348" i="2"/>
  <c r="I348" i="2" s="1"/>
  <c r="H349" i="2"/>
  <c r="I349" i="2" s="1"/>
  <c r="H350" i="2"/>
  <c r="H351" i="2"/>
  <c r="H352" i="2"/>
  <c r="H353" i="2"/>
  <c r="I353" i="2" s="1"/>
  <c r="H354" i="2"/>
  <c r="H355" i="2"/>
  <c r="I355" i="2" s="1"/>
  <c r="H356" i="2"/>
  <c r="I356" i="2" s="1"/>
  <c r="H357" i="2"/>
  <c r="I357" i="2" s="1"/>
  <c r="H358" i="2"/>
  <c r="H359" i="2"/>
  <c r="H360" i="2"/>
  <c r="H361" i="2"/>
  <c r="I361" i="2" s="1"/>
  <c r="H362" i="2"/>
  <c r="I362" i="2" s="1"/>
  <c r="H363" i="2"/>
  <c r="H364" i="2"/>
  <c r="I364" i="2" s="1"/>
  <c r="H365" i="2"/>
  <c r="I365" i="2" s="1"/>
  <c r="H366" i="2"/>
  <c r="H367" i="2"/>
  <c r="I367" i="2" s="1"/>
  <c r="H368" i="2"/>
  <c r="H369" i="2"/>
  <c r="I369" i="2" s="1"/>
  <c r="H370" i="2"/>
  <c r="I370" i="2" s="1"/>
  <c r="H371" i="2"/>
  <c r="I371" i="2" s="1"/>
  <c r="H372" i="2"/>
  <c r="I372" i="2" s="1"/>
  <c r="H373" i="2"/>
  <c r="I373" i="2" s="1"/>
  <c r="H374" i="2"/>
  <c r="I374" i="2" s="1"/>
  <c r="H375" i="2"/>
  <c r="I375" i="2" s="1"/>
  <c r="H376" i="2"/>
  <c r="I376" i="2" s="1"/>
  <c r="H377" i="2"/>
  <c r="I377" i="2" s="1"/>
  <c r="H378" i="2"/>
  <c r="I378" i="2" s="1"/>
  <c r="H379" i="2"/>
  <c r="I379" i="2" s="1"/>
  <c r="H380" i="2"/>
  <c r="I380" i="2" s="1"/>
  <c r="H381" i="2"/>
  <c r="I381" i="2" s="1"/>
  <c r="H382" i="2"/>
  <c r="I382" i="2" s="1"/>
  <c r="H383" i="2"/>
  <c r="I383" i="2" s="1"/>
  <c r="H384" i="2"/>
  <c r="I384" i="2" s="1"/>
  <c r="H385" i="2"/>
  <c r="I385" i="2" s="1"/>
  <c r="H386" i="2"/>
  <c r="I386" i="2" s="1"/>
  <c r="H387" i="2"/>
  <c r="H388" i="2"/>
  <c r="I388" i="2" s="1"/>
  <c r="H389" i="2"/>
  <c r="I389" i="2" s="1"/>
  <c r="H390" i="2"/>
  <c r="I390" i="2" s="1"/>
  <c r="H391" i="2"/>
  <c r="H392" i="2"/>
  <c r="I392" i="2" s="1"/>
  <c r="H393" i="2"/>
  <c r="I393" i="2" s="1"/>
  <c r="H394" i="2"/>
  <c r="I394" i="2" s="1"/>
  <c r="H395" i="2"/>
  <c r="I395" i="2" s="1"/>
  <c r="H396" i="2"/>
  <c r="I396" i="2" s="1"/>
  <c r="H397" i="2"/>
  <c r="I397" i="2" s="1"/>
  <c r="H398" i="2"/>
  <c r="I398" i="2" s="1"/>
  <c r="H399" i="2"/>
  <c r="I399" i="2" s="1"/>
  <c r="H400" i="2"/>
  <c r="I400" i="2" s="1"/>
  <c r="H401" i="2"/>
  <c r="I401" i="2" s="1"/>
  <c r="H402" i="2"/>
  <c r="I402" i="2" s="1"/>
  <c r="H403" i="2"/>
  <c r="I403" i="2" s="1"/>
  <c r="H404" i="2"/>
  <c r="I404" i="2" s="1"/>
  <c r="H405" i="2"/>
  <c r="I405" i="2" s="1"/>
  <c r="H406" i="2"/>
  <c r="I406" i="2" s="1"/>
  <c r="H407" i="2"/>
  <c r="I407" i="2" s="1"/>
  <c r="H408" i="2"/>
  <c r="I408" i="2" s="1"/>
  <c r="H409" i="2"/>
  <c r="H410" i="2"/>
  <c r="I410" i="2" s="1"/>
  <c r="H411" i="2"/>
  <c r="H412" i="2"/>
  <c r="I412" i="2" s="1"/>
  <c r="H413" i="2"/>
  <c r="H414" i="2"/>
  <c r="H415" i="2"/>
  <c r="I415" i="2" s="1"/>
  <c r="H416" i="2"/>
  <c r="I416" i="2" s="1"/>
  <c r="H417" i="2"/>
  <c r="I417" i="2" s="1"/>
  <c r="H418" i="2"/>
  <c r="I418" i="2" s="1"/>
  <c r="H419" i="2"/>
  <c r="H420" i="2"/>
  <c r="I420" i="2" s="1"/>
  <c r="H421" i="2"/>
  <c r="I421" i="2" s="1"/>
  <c r="H422" i="2"/>
  <c r="H423" i="2"/>
  <c r="I423" i="2" s="1"/>
  <c r="H424" i="2"/>
  <c r="I424" i="2" s="1"/>
  <c r="H425" i="2"/>
  <c r="I425" i="2" s="1"/>
  <c r="H426" i="2"/>
  <c r="I426" i="2" s="1"/>
  <c r="H427" i="2"/>
  <c r="H428" i="2"/>
  <c r="H429" i="2"/>
  <c r="I429" i="2" s="1"/>
  <c r="H430" i="2"/>
  <c r="I430" i="2" s="1"/>
  <c r="H431" i="2"/>
  <c r="I431" i="2" s="1"/>
  <c r="H432" i="2"/>
  <c r="I432" i="2" s="1"/>
  <c r="H433" i="2"/>
  <c r="I433" i="2" s="1"/>
  <c r="H434" i="2"/>
  <c r="I434" i="2" s="1"/>
  <c r="H435" i="2"/>
  <c r="I435" i="2" s="1"/>
  <c r="H436" i="2"/>
  <c r="I436" i="2" s="1"/>
  <c r="H437" i="2"/>
  <c r="I437" i="2" s="1"/>
  <c r="H438" i="2"/>
  <c r="I438" i="2" s="1"/>
  <c r="H439" i="2"/>
  <c r="I439" i="2" s="1"/>
  <c r="H440" i="2"/>
  <c r="I440" i="2" s="1"/>
  <c r="H441" i="2"/>
  <c r="I441" i="2" s="1"/>
  <c r="H442" i="2"/>
  <c r="I442" i="2" s="1"/>
  <c r="H443" i="2"/>
  <c r="H444" i="2"/>
  <c r="I444" i="2" s="1"/>
  <c r="H445" i="2"/>
  <c r="I445" i="2" s="1"/>
  <c r="H446" i="2"/>
  <c r="I446" i="2" s="1"/>
  <c r="H447" i="2"/>
  <c r="H448" i="2"/>
  <c r="I448" i="2" s="1"/>
  <c r="H449" i="2"/>
  <c r="I449" i="2" s="1"/>
  <c r="H450" i="2"/>
  <c r="H451" i="2"/>
  <c r="H452" i="2"/>
  <c r="H453" i="2"/>
  <c r="I453" i="2" s="1"/>
  <c r="H454" i="2"/>
  <c r="I454" i="2" s="1"/>
  <c r="H455" i="2"/>
  <c r="I455" i="2" s="1"/>
  <c r="H456" i="2"/>
  <c r="H457" i="2"/>
  <c r="I457" i="2" s="1"/>
  <c r="H458" i="2"/>
  <c r="I458" i="2" s="1"/>
  <c r="H459" i="2"/>
  <c r="I459" i="2" s="1"/>
  <c r="H460" i="2"/>
  <c r="I460" i="2" s="1"/>
  <c r="H461" i="2"/>
  <c r="H462" i="2"/>
  <c r="I462" i="2" s="1"/>
  <c r="H463" i="2"/>
  <c r="I463" i="2" s="1"/>
  <c r="H464" i="2"/>
  <c r="H465" i="2"/>
  <c r="I465" i="2" s="1"/>
  <c r="H466" i="2"/>
  <c r="I466" i="2" s="1"/>
  <c r="H467" i="2"/>
  <c r="H468" i="2"/>
  <c r="H469" i="2"/>
  <c r="I469" i="2" s="1"/>
  <c r="H470" i="2"/>
  <c r="I470" i="2" s="1"/>
  <c r="H471" i="2"/>
  <c r="I471" i="2" s="1"/>
  <c r="H472" i="2"/>
  <c r="I472" i="2" s="1"/>
  <c r="H473" i="2"/>
  <c r="H474" i="2"/>
  <c r="H475" i="2"/>
  <c r="H476" i="2"/>
  <c r="I476" i="2" s="1"/>
  <c r="H477" i="2"/>
  <c r="I477" i="2" s="1"/>
  <c r="H478" i="2"/>
  <c r="I478" i="2" s="1"/>
  <c r="H479" i="2"/>
  <c r="I479" i="2" s="1"/>
  <c r="H480" i="2"/>
  <c r="I480" i="2" s="1"/>
  <c r="H481" i="2"/>
  <c r="I481" i="2" s="1"/>
  <c r="H482" i="2"/>
  <c r="H483" i="2"/>
  <c r="I483" i="2" s="1"/>
  <c r="H484" i="2"/>
  <c r="I484" i="2" s="1"/>
  <c r="H485" i="2"/>
  <c r="H486" i="2"/>
  <c r="I486" i="2" s="1"/>
  <c r="H487" i="2"/>
  <c r="H488" i="2"/>
  <c r="I488" i="2" s="1"/>
  <c r="H489" i="2"/>
  <c r="I489" i="2" s="1"/>
  <c r="H490" i="2"/>
  <c r="H491" i="2"/>
  <c r="I491" i="2" s="1"/>
  <c r="H492" i="2"/>
  <c r="I492" i="2" s="1"/>
  <c r="H493" i="2"/>
  <c r="I493" i="2" s="1"/>
  <c r="H494" i="2"/>
  <c r="I494" i="2" s="1"/>
  <c r="H495" i="2"/>
  <c r="I495" i="2" s="1"/>
  <c r="H496" i="2"/>
  <c r="H497" i="2"/>
  <c r="I497" i="2" s="1"/>
  <c r="H498" i="2"/>
  <c r="I498" i="2" s="1"/>
  <c r="H499" i="2"/>
  <c r="I499" i="2" s="1"/>
  <c r="H500" i="2"/>
  <c r="I500" i="2" s="1"/>
  <c r="H501" i="2"/>
  <c r="H502" i="2"/>
  <c r="H503" i="2"/>
  <c r="H504" i="2"/>
  <c r="I504" i="2" s="1"/>
  <c r="H505" i="2"/>
  <c r="I505" i="2" s="1"/>
  <c r="H506" i="2"/>
  <c r="I506" i="2" s="1"/>
  <c r="H507" i="2"/>
  <c r="H508" i="2"/>
  <c r="H509" i="2"/>
  <c r="I509" i="2" s="1"/>
  <c r="H510" i="2"/>
  <c r="I510" i="2" s="1"/>
  <c r="H511" i="2"/>
  <c r="I511" i="2" s="1"/>
  <c r="H512" i="2"/>
  <c r="I512" i="2" s="1"/>
  <c r="H513" i="2"/>
  <c r="H514" i="2"/>
  <c r="I514" i="2" s="1"/>
  <c r="H515" i="2"/>
  <c r="H516" i="2"/>
  <c r="H517" i="2"/>
  <c r="H518" i="2"/>
  <c r="H519" i="2"/>
  <c r="I519" i="2" s="1"/>
  <c r="H520" i="2"/>
  <c r="I520" i="2" s="1"/>
  <c r="H521" i="2"/>
  <c r="I521" i="2" s="1"/>
  <c r="H522" i="2"/>
  <c r="I522" i="2" s="1"/>
  <c r="H523" i="2"/>
  <c r="I523" i="2" s="1"/>
  <c r="H524" i="2"/>
  <c r="H525" i="2"/>
  <c r="I525" i="2" s="1"/>
  <c r="H526" i="2"/>
  <c r="H527" i="2"/>
  <c r="H528" i="2"/>
  <c r="I528" i="2" s="1"/>
  <c r="H529" i="2"/>
  <c r="I529" i="2" s="1"/>
  <c r="H530" i="2"/>
  <c r="I530" i="2" s="1"/>
  <c r="H531" i="2"/>
  <c r="I531" i="2" s="1"/>
  <c r="H532" i="2"/>
  <c r="H533" i="2"/>
  <c r="I533" i="2" s="1"/>
  <c r="H534" i="2"/>
  <c r="I534" i="2" s="1"/>
  <c r="H535" i="2"/>
  <c r="I535" i="2" s="1"/>
  <c r="H536" i="2"/>
  <c r="I536" i="2" s="1"/>
  <c r="H537" i="2"/>
  <c r="I537" i="2" s="1"/>
  <c r="H538" i="2"/>
  <c r="H539" i="2"/>
  <c r="I539" i="2" s="1"/>
  <c r="H540" i="2"/>
  <c r="I540" i="2" s="1"/>
  <c r="H541" i="2"/>
  <c r="I541" i="2" s="1"/>
  <c r="H542" i="2"/>
  <c r="I542" i="2" s="1"/>
  <c r="H543" i="2"/>
  <c r="H544" i="2"/>
  <c r="I544" i="2" s="1"/>
  <c r="H545" i="2"/>
  <c r="H546" i="2"/>
  <c r="H547" i="2"/>
  <c r="I547" i="2" s="1"/>
  <c r="H548" i="2"/>
  <c r="I548" i="2" s="1"/>
  <c r="H549" i="2"/>
  <c r="H550" i="2"/>
  <c r="I550" i="2" s="1"/>
  <c r="H551" i="2"/>
  <c r="H552" i="2"/>
  <c r="H553" i="2"/>
  <c r="I553" i="2" s="1"/>
  <c r="H554" i="2"/>
  <c r="I554" i="2" s="1"/>
  <c r="H555" i="2"/>
  <c r="I555" i="2" s="1"/>
  <c r="H556" i="2"/>
  <c r="H557" i="2"/>
  <c r="H558" i="2"/>
  <c r="H559" i="2"/>
  <c r="I559" i="2" s="1"/>
  <c r="H560" i="2"/>
  <c r="H561" i="2"/>
  <c r="H562" i="2"/>
  <c r="H563" i="2"/>
  <c r="I563" i="2" s="1"/>
  <c r="H564" i="2"/>
  <c r="H565" i="2"/>
  <c r="I565" i="2" s="1"/>
  <c r="H566" i="2"/>
  <c r="I566" i="2" s="1"/>
  <c r="H567" i="2"/>
  <c r="I567" i="2" s="1"/>
  <c r="H568" i="2"/>
  <c r="H569" i="2"/>
  <c r="I569" i="2" s="1"/>
  <c r="H570" i="2"/>
  <c r="H571" i="2"/>
  <c r="H572" i="2"/>
  <c r="H573" i="2"/>
  <c r="H574" i="2"/>
  <c r="I574" i="2" s="1"/>
  <c r="H575" i="2"/>
  <c r="I575" i="2" s="1"/>
  <c r="H576" i="2"/>
  <c r="H577" i="2"/>
  <c r="I577" i="2" s="1"/>
  <c r="H578" i="2"/>
  <c r="I578" i="2" s="1"/>
  <c r="H579" i="2"/>
  <c r="I579" i="2" s="1"/>
  <c r="H580" i="2"/>
  <c r="I580" i="2" s="1"/>
  <c r="H581" i="2"/>
  <c r="I581" i="2" s="1"/>
  <c r="H582" i="2"/>
  <c r="I582" i="2" s="1"/>
  <c r="H583" i="2"/>
  <c r="I583" i="2" s="1"/>
  <c r="H584" i="2"/>
  <c r="I584" i="2" s="1"/>
  <c r="H585" i="2"/>
  <c r="I585" i="2" s="1"/>
  <c r="H586" i="2"/>
  <c r="H587" i="2"/>
  <c r="I587" i="2" s="1"/>
  <c r="H588" i="2"/>
  <c r="I588" i="2" s="1"/>
  <c r="H589" i="2"/>
  <c r="I589" i="2" s="1"/>
  <c r="H590" i="2"/>
  <c r="H591" i="2"/>
  <c r="I591" i="2" s="1"/>
  <c r="H592" i="2"/>
  <c r="H593" i="2"/>
  <c r="I593" i="2" s="1"/>
  <c r="H594" i="2"/>
  <c r="I594" i="2" s="1"/>
  <c r="H595" i="2"/>
  <c r="H596" i="2"/>
  <c r="I596" i="2" s="1"/>
  <c r="H597" i="2"/>
  <c r="I597" i="2" s="1"/>
  <c r="H598" i="2"/>
  <c r="I598" i="2" s="1"/>
  <c r="H599" i="2"/>
  <c r="I599" i="2" s="1"/>
  <c r="H600" i="2"/>
  <c r="I600" i="2" s="1"/>
  <c r="H601" i="2"/>
  <c r="I601" i="2" s="1"/>
  <c r="H602" i="2"/>
  <c r="I602" i="2" s="1"/>
  <c r="H603" i="2"/>
  <c r="I603" i="2" s="1"/>
  <c r="H604" i="2"/>
  <c r="I604" i="2" s="1"/>
  <c r="H605" i="2"/>
  <c r="I605" i="2" s="1"/>
  <c r="H606" i="2"/>
  <c r="H607" i="2"/>
  <c r="I607" i="2" s="1"/>
  <c r="H608" i="2"/>
  <c r="H609" i="2"/>
  <c r="H610" i="2"/>
  <c r="H611" i="2"/>
  <c r="I611" i="2" s="1"/>
  <c r="H612" i="2"/>
  <c r="H613" i="2"/>
  <c r="I613" i="2" s="1"/>
  <c r="H614" i="2"/>
  <c r="H615" i="2"/>
  <c r="I615" i="2" s="1"/>
  <c r="H616" i="2"/>
  <c r="H617" i="2"/>
  <c r="H618" i="2"/>
  <c r="H619" i="2"/>
  <c r="H620" i="2"/>
  <c r="H621" i="2"/>
  <c r="H622" i="2"/>
  <c r="I622" i="2" s="1"/>
  <c r="H623" i="2"/>
  <c r="I623" i="2" s="1"/>
  <c r="H624" i="2"/>
  <c r="I624" i="2" s="1"/>
  <c r="H625" i="2"/>
  <c r="I625" i="2" s="1"/>
  <c r="H626" i="2"/>
  <c r="H627" i="2"/>
  <c r="I627" i="2" s="1"/>
  <c r="H628" i="2"/>
  <c r="H629" i="2"/>
  <c r="I629" i="2" s="1"/>
  <c r="H630" i="2"/>
  <c r="I630" i="2" s="1"/>
  <c r="H631" i="2"/>
  <c r="I631" i="2" s="1"/>
  <c r="H632" i="2"/>
  <c r="I632" i="2" s="1"/>
  <c r="H633" i="2"/>
  <c r="I633" i="2" s="1"/>
  <c r="H634" i="2"/>
  <c r="I634" i="2" s="1"/>
  <c r="H635" i="2"/>
  <c r="I635" i="2" s="1"/>
  <c r="H636" i="2"/>
  <c r="I636" i="2" s="1"/>
  <c r="H637" i="2"/>
  <c r="H638" i="2"/>
  <c r="I638" i="2" s="1"/>
  <c r="H639" i="2"/>
  <c r="I639" i="2" s="1"/>
  <c r="H640" i="2"/>
  <c r="I640" i="2" s="1"/>
  <c r="H641" i="2"/>
  <c r="I641" i="2" s="1"/>
  <c r="H642" i="2"/>
  <c r="I642" i="2" s="1"/>
  <c r="H643" i="2"/>
  <c r="H644" i="2"/>
  <c r="I644" i="2" s="1"/>
  <c r="H645" i="2"/>
  <c r="H646" i="2"/>
  <c r="I646" i="2" s="1"/>
  <c r="H647" i="2"/>
  <c r="H648" i="2"/>
  <c r="I648" i="2" s="1"/>
  <c r="H649" i="2"/>
  <c r="H650" i="2"/>
  <c r="H651" i="2"/>
  <c r="I651" i="2" s="1"/>
  <c r="H652" i="2"/>
  <c r="H653" i="2"/>
  <c r="I653" i="2" s="1"/>
  <c r="H654" i="2"/>
  <c r="I654" i="2" s="1"/>
  <c r="H655" i="2"/>
  <c r="H656" i="2"/>
  <c r="I656" i="2" s="1"/>
  <c r="H657" i="2"/>
  <c r="I657" i="2" s="1"/>
  <c r="H658" i="2"/>
  <c r="I658" i="2" s="1"/>
  <c r="H659" i="2"/>
  <c r="I659" i="2" s="1"/>
  <c r="H660" i="2"/>
  <c r="I660" i="2" s="1"/>
  <c r="H661" i="2"/>
  <c r="H662" i="2"/>
  <c r="I662" i="2" s="1"/>
  <c r="H663" i="2"/>
  <c r="I663" i="2" s="1"/>
  <c r="H664" i="2"/>
  <c r="H665" i="2"/>
  <c r="I665" i="2" s="1"/>
  <c r="H666" i="2"/>
  <c r="I666" i="2" s="1"/>
  <c r="H667" i="2"/>
  <c r="H668" i="2"/>
  <c r="I668" i="2" s="1"/>
  <c r="H669" i="2"/>
  <c r="H670" i="2"/>
  <c r="I670" i="2" s="1"/>
  <c r="H671" i="2"/>
  <c r="I671" i="2" s="1"/>
  <c r="H672" i="2"/>
  <c r="I672" i="2" s="1"/>
  <c r="H673" i="2"/>
  <c r="I673" i="2" s="1"/>
  <c r="H674" i="2"/>
  <c r="I674" i="2" s="1"/>
  <c r="H675" i="2"/>
  <c r="I675" i="2" s="1"/>
  <c r="H676" i="2"/>
  <c r="H677" i="2"/>
  <c r="I677" i="2" s="1"/>
  <c r="H678" i="2"/>
  <c r="I678" i="2" s="1"/>
  <c r="H679" i="2"/>
  <c r="I679" i="2" s="1"/>
  <c r="H680" i="2"/>
  <c r="I680" i="2" s="1"/>
  <c r="H681" i="2"/>
  <c r="H682" i="2"/>
  <c r="I682" i="2" s="1"/>
  <c r="H683" i="2"/>
  <c r="H684" i="2"/>
  <c r="I684" i="2" s="1"/>
  <c r="H685" i="2"/>
  <c r="I685" i="2" s="1"/>
  <c r="H686" i="2"/>
  <c r="I686" i="2" s="1"/>
  <c r="H687" i="2"/>
  <c r="I687" i="2" s="1"/>
  <c r="H688" i="2"/>
  <c r="H689" i="2"/>
  <c r="I689" i="2" s="1"/>
  <c r="H690" i="2"/>
  <c r="I690" i="2" s="1"/>
  <c r="H691" i="2"/>
  <c r="I691" i="2" s="1"/>
  <c r="H692" i="2"/>
  <c r="I692" i="2" s="1"/>
  <c r="H693" i="2"/>
  <c r="I693" i="2" s="1"/>
  <c r="H694" i="2"/>
  <c r="I694" i="2" s="1"/>
  <c r="H695" i="2"/>
  <c r="I695" i="2" s="1"/>
  <c r="H696" i="2"/>
  <c r="H697" i="2"/>
  <c r="H698" i="2"/>
  <c r="I698" i="2" s="1"/>
  <c r="H699" i="2"/>
  <c r="I699" i="2" s="1"/>
  <c r="H700" i="2"/>
  <c r="H701" i="2"/>
  <c r="H702" i="2"/>
  <c r="I702" i="2" s="1"/>
  <c r="H703" i="2"/>
  <c r="I703" i="2" s="1"/>
  <c r="H704" i="2"/>
  <c r="H705" i="2"/>
  <c r="I705" i="2" s="1"/>
  <c r="H706" i="2"/>
  <c r="H707" i="2"/>
  <c r="I707" i="2" s="1"/>
  <c r="H708" i="2"/>
  <c r="I708" i="2" s="1"/>
  <c r="H709" i="2"/>
  <c r="I709" i="2" s="1"/>
  <c r="H710" i="2"/>
  <c r="I710" i="2" s="1"/>
  <c r="H711" i="2"/>
  <c r="H712" i="2"/>
  <c r="I712" i="2" s="1"/>
  <c r="H713" i="2"/>
  <c r="H714" i="2"/>
  <c r="H715" i="2"/>
  <c r="H716" i="2"/>
  <c r="I716" i="2" s="1"/>
  <c r="H717" i="2"/>
  <c r="I717" i="2" s="1"/>
  <c r="H718" i="2"/>
  <c r="I718" i="2" s="1"/>
  <c r="H719" i="2"/>
  <c r="I719" i="2" s="1"/>
  <c r="H720" i="2"/>
  <c r="I720" i="2" s="1"/>
  <c r="H721" i="2"/>
  <c r="I721" i="2" s="1"/>
  <c r="H722" i="2"/>
  <c r="I722" i="2" s="1"/>
  <c r="H723" i="2"/>
  <c r="I723" i="2" s="1"/>
  <c r="H724" i="2"/>
  <c r="I724" i="2" s="1"/>
  <c r="H725" i="2"/>
  <c r="H726" i="2"/>
  <c r="H727" i="2"/>
  <c r="I727" i="2" s="1"/>
  <c r="H728" i="2"/>
  <c r="I728" i="2" s="1"/>
  <c r="H729" i="2"/>
  <c r="I729" i="2" s="1"/>
  <c r="H730" i="2"/>
  <c r="H731" i="2"/>
  <c r="I731" i="2" s="1"/>
  <c r="H732" i="2"/>
  <c r="I732" i="2" s="1"/>
  <c r="H733" i="2"/>
  <c r="I733" i="2" s="1"/>
  <c r="H734" i="2"/>
  <c r="I734" i="2" s="1"/>
  <c r="H735" i="2"/>
  <c r="I735" i="2" s="1"/>
  <c r="H736" i="2"/>
  <c r="I736" i="2" s="1"/>
  <c r="H737" i="2"/>
  <c r="I737" i="2" s="1"/>
  <c r="H738" i="2"/>
  <c r="I738" i="2" s="1"/>
  <c r="H739" i="2"/>
  <c r="I739" i="2" s="1"/>
  <c r="H740" i="2"/>
  <c r="I740" i="2" s="1"/>
  <c r="H741" i="2"/>
  <c r="I741" i="2" s="1"/>
  <c r="H742" i="2"/>
  <c r="I742" i="2" s="1"/>
  <c r="H743" i="2"/>
  <c r="I743" i="2" s="1"/>
  <c r="H744" i="2"/>
  <c r="I744" i="2" s="1"/>
  <c r="H745" i="2"/>
  <c r="I745" i="2" s="1"/>
  <c r="H746" i="2"/>
  <c r="H747" i="2"/>
  <c r="I747" i="2" s="1"/>
  <c r="H748" i="2"/>
  <c r="I748" i="2" s="1"/>
  <c r="H749" i="2"/>
  <c r="H750" i="2"/>
  <c r="I750" i="2" s="1"/>
  <c r="H751" i="2"/>
  <c r="I751" i="2" s="1"/>
  <c r="H752" i="2"/>
  <c r="H753" i="2"/>
  <c r="I753" i="2" s="1"/>
  <c r="H754" i="2"/>
  <c r="I754" i="2" s="1"/>
  <c r="H755" i="2"/>
  <c r="I755" i="2" s="1"/>
  <c r="H756" i="2"/>
  <c r="H757" i="2"/>
  <c r="H758" i="2"/>
  <c r="I758" i="2" s="1"/>
  <c r="H759" i="2"/>
  <c r="I759" i="2" s="1"/>
  <c r="H760" i="2"/>
  <c r="H761" i="2"/>
  <c r="H762" i="2"/>
  <c r="H763" i="2"/>
  <c r="I763" i="2" s="1"/>
  <c r="H764" i="2"/>
  <c r="I764" i="2" s="1"/>
  <c r="H765" i="2"/>
  <c r="I765" i="2" s="1"/>
  <c r="H766" i="2"/>
  <c r="I766" i="2" s="1"/>
  <c r="H767" i="2"/>
  <c r="H768" i="2"/>
  <c r="H769" i="2"/>
  <c r="I769" i="2" s="1"/>
  <c r="H770" i="2"/>
  <c r="I770" i="2" s="1"/>
  <c r="H771" i="2"/>
  <c r="I771" i="2" s="1"/>
  <c r="H772" i="2"/>
  <c r="I772" i="2" s="1"/>
  <c r="H773" i="2"/>
  <c r="I773" i="2" s="1"/>
  <c r="H774" i="2"/>
  <c r="I774" i="2" s="1"/>
  <c r="H775" i="2"/>
  <c r="I775" i="2" s="1"/>
  <c r="H776" i="2"/>
  <c r="H777" i="2"/>
  <c r="I777" i="2" s="1"/>
  <c r="H778" i="2"/>
  <c r="I778" i="2" s="1"/>
  <c r="H779" i="2"/>
  <c r="I779" i="2" s="1"/>
  <c r="H780" i="2"/>
  <c r="I780" i="2" s="1"/>
  <c r="H781" i="2"/>
  <c r="I781" i="2" s="1"/>
  <c r="H782" i="2"/>
  <c r="I782" i="2" s="1"/>
  <c r="H783" i="2"/>
  <c r="I783" i="2" s="1"/>
  <c r="H784" i="2"/>
  <c r="I784" i="2" s="1"/>
  <c r="H785" i="2"/>
  <c r="I785" i="2" s="1"/>
  <c r="H786" i="2"/>
  <c r="H787" i="2"/>
  <c r="I787" i="2" s="1"/>
  <c r="H788" i="2"/>
  <c r="I788" i="2" s="1"/>
  <c r="H789" i="2"/>
  <c r="H790" i="2"/>
  <c r="I790" i="2" s="1"/>
  <c r="H791" i="2"/>
  <c r="I791" i="2" s="1"/>
  <c r="H792" i="2"/>
  <c r="I792" i="2" s="1"/>
  <c r="H793" i="2"/>
  <c r="I793" i="2" s="1"/>
  <c r="H794" i="2"/>
  <c r="I794" i="2" s="1"/>
  <c r="H795" i="2"/>
  <c r="H796" i="2"/>
  <c r="I796" i="2" s="1"/>
  <c r="H797" i="2"/>
  <c r="H798" i="2"/>
  <c r="H799" i="2"/>
  <c r="H800" i="2"/>
  <c r="I800" i="2" s="1"/>
  <c r="H801" i="2"/>
  <c r="I801" i="2" s="1"/>
  <c r="H802" i="2"/>
  <c r="I802" i="2" s="1"/>
  <c r="H803" i="2"/>
  <c r="I803" i="2" s="1"/>
  <c r="H804" i="2"/>
  <c r="I804" i="2" s="1"/>
  <c r="H805" i="2"/>
  <c r="I805" i="2" s="1"/>
  <c r="H806" i="2"/>
  <c r="H807" i="2"/>
  <c r="H808" i="2"/>
  <c r="I808" i="2" s="1"/>
  <c r="H809" i="2"/>
  <c r="I809" i="2" s="1"/>
  <c r="H810" i="2"/>
  <c r="I810" i="2" s="1"/>
  <c r="H811" i="2"/>
  <c r="I811" i="2" s="1"/>
  <c r="H812" i="2"/>
  <c r="I812" i="2" s="1"/>
  <c r="H813" i="2"/>
  <c r="I813" i="2" s="1"/>
  <c r="H814" i="2"/>
  <c r="I814" i="2" s="1"/>
  <c r="H815" i="2"/>
  <c r="H816" i="2"/>
  <c r="H817" i="2"/>
  <c r="I817" i="2" s="1"/>
  <c r="H818" i="2"/>
  <c r="I818" i="2" s="1"/>
  <c r="H819" i="2"/>
  <c r="H820" i="2"/>
  <c r="H821" i="2"/>
  <c r="H822" i="2"/>
  <c r="H823" i="2"/>
  <c r="I823" i="2" s="1"/>
  <c r="H824" i="2"/>
  <c r="H825" i="2"/>
  <c r="H826" i="2"/>
  <c r="H827" i="2"/>
  <c r="I827" i="2" s="1"/>
  <c r="H828" i="2"/>
  <c r="H829" i="2"/>
  <c r="I829" i="2" s="1"/>
  <c r="H830" i="2"/>
  <c r="I830" i="2" s="1"/>
  <c r="H831" i="2"/>
  <c r="H832" i="2"/>
  <c r="I832" i="2" s="1"/>
  <c r="H833" i="2"/>
  <c r="I833" i="2" s="1"/>
  <c r="H834" i="2"/>
  <c r="I834" i="2" s="1"/>
  <c r="H835" i="2"/>
  <c r="I835" i="2" s="1"/>
  <c r="H836" i="2"/>
  <c r="H837" i="2"/>
  <c r="I837" i="2" s="1"/>
  <c r="H838" i="2"/>
  <c r="I838" i="2" s="1"/>
  <c r="H839" i="2"/>
  <c r="I839" i="2" s="1"/>
  <c r="H840" i="2"/>
  <c r="I840" i="2" s="1"/>
  <c r="H841" i="2"/>
  <c r="I841" i="2" s="1"/>
  <c r="H842" i="2"/>
  <c r="I842" i="2" s="1"/>
  <c r="H843" i="2"/>
  <c r="H844" i="2"/>
  <c r="I844" i="2" s="1"/>
  <c r="H845" i="2"/>
  <c r="I845" i="2" s="1"/>
  <c r="H846" i="2"/>
  <c r="I846" i="2" s="1"/>
  <c r="H847" i="2"/>
  <c r="I847" i="2" s="1"/>
  <c r="H848" i="2"/>
  <c r="I848" i="2" s="1"/>
  <c r="H849" i="2"/>
  <c r="I849" i="2" s="1"/>
  <c r="H850" i="2"/>
  <c r="I850" i="2" s="1"/>
  <c r="H851" i="2"/>
  <c r="I851" i="2" s="1"/>
  <c r="H852" i="2"/>
  <c r="I852" i="2" s="1"/>
  <c r="H853" i="2"/>
  <c r="I853" i="2" s="1"/>
  <c r="H854" i="2"/>
  <c r="I854" i="2" s="1"/>
  <c r="H855" i="2"/>
  <c r="H856" i="2"/>
  <c r="I856" i="2" s="1"/>
  <c r="H857" i="2"/>
  <c r="H858" i="2"/>
  <c r="I858" i="2" s="1"/>
  <c r="H859" i="2"/>
  <c r="H860" i="2"/>
  <c r="I860" i="2" s="1"/>
  <c r="H861" i="2"/>
  <c r="I861" i="2" s="1"/>
  <c r="H862" i="2"/>
  <c r="I862" i="2" s="1"/>
  <c r="H863" i="2"/>
  <c r="I863" i="2" s="1"/>
  <c r="H864" i="2"/>
  <c r="I864" i="2" s="1"/>
  <c r="H865" i="2"/>
  <c r="H866" i="2"/>
  <c r="I866" i="2" s="1"/>
  <c r="H867" i="2"/>
  <c r="H868" i="2"/>
  <c r="I868" i="2" s="1"/>
  <c r="H869" i="2"/>
  <c r="I869" i="2" s="1"/>
  <c r="H870" i="2"/>
  <c r="I870" i="2" s="1"/>
  <c r="H871" i="2"/>
  <c r="H872" i="2"/>
  <c r="I872" i="2" s="1"/>
  <c r="H873" i="2"/>
  <c r="I873" i="2" s="1"/>
  <c r="H874" i="2"/>
  <c r="I874" i="2" s="1"/>
  <c r="H875" i="2"/>
  <c r="H876" i="2"/>
  <c r="I876" i="2" s="1"/>
  <c r="H877" i="2"/>
  <c r="H878" i="2"/>
  <c r="I878" i="2" s="1"/>
  <c r="H879" i="2"/>
  <c r="H880" i="2"/>
  <c r="I880" i="2" s="1"/>
  <c r="H881" i="2"/>
  <c r="H882" i="2"/>
  <c r="I882" i="2" s="1"/>
  <c r="H883" i="2"/>
  <c r="I883" i="2" s="1"/>
  <c r="H884" i="2"/>
  <c r="I884" i="2" s="1"/>
  <c r="H885" i="2"/>
  <c r="I885" i="2" s="1"/>
  <c r="H886" i="2"/>
  <c r="I886" i="2" s="1"/>
  <c r="H887" i="2"/>
  <c r="H888" i="2"/>
  <c r="I888" i="2" s="1"/>
  <c r="H889" i="2"/>
  <c r="I889" i="2" s="1"/>
  <c r="H890" i="2"/>
  <c r="I890" i="2" s="1"/>
  <c r="H891" i="2"/>
  <c r="H892" i="2"/>
  <c r="I892" i="2" s="1"/>
  <c r="H893" i="2"/>
  <c r="H894" i="2"/>
  <c r="I894" i="2" s="1"/>
  <c r="H895" i="2"/>
  <c r="I895" i="2" s="1"/>
  <c r="H896" i="2"/>
  <c r="I896" i="2" s="1"/>
  <c r="H897" i="2"/>
  <c r="I897" i="2" s="1"/>
  <c r="H898" i="2"/>
  <c r="H899" i="2"/>
  <c r="I899" i="2" s="1"/>
  <c r="H900" i="2"/>
  <c r="I900" i="2" s="1"/>
  <c r="H901" i="2"/>
  <c r="H902" i="2"/>
  <c r="I902" i="2" s="1"/>
  <c r="H903" i="2"/>
  <c r="I903" i="2" s="1"/>
  <c r="H904" i="2"/>
  <c r="I904" i="2" s="1"/>
  <c r="H905" i="2"/>
  <c r="I905" i="2" s="1"/>
  <c r="H906" i="2"/>
  <c r="H907" i="2"/>
  <c r="I907" i="2" s="1"/>
  <c r="H908" i="2"/>
  <c r="I908" i="2" s="1"/>
  <c r="H909" i="2"/>
  <c r="I909" i="2" s="1"/>
  <c r="H910" i="2"/>
  <c r="I910" i="2" s="1"/>
  <c r="H911" i="2"/>
  <c r="I911" i="2" s="1"/>
  <c r="H912" i="2"/>
  <c r="I912" i="2" s="1"/>
  <c r="H913" i="2"/>
  <c r="I913" i="2" s="1"/>
  <c r="H914" i="2"/>
  <c r="H915" i="2"/>
  <c r="I915" i="2" s="1"/>
  <c r="H916" i="2"/>
  <c r="I916" i="2" s="1"/>
  <c r="H917" i="2"/>
  <c r="I917" i="2" s="1"/>
  <c r="H918" i="2"/>
  <c r="I918" i="2" s="1"/>
  <c r="H919" i="2"/>
  <c r="H920" i="2"/>
  <c r="I920" i="2" s="1"/>
  <c r="H921" i="2"/>
  <c r="I921" i="2" s="1"/>
  <c r="H922" i="2"/>
  <c r="H923" i="2"/>
  <c r="I923" i="2" s="1"/>
  <c r="H924" i="2"/>
  <c r="I924" i="2" s="1"/>
  <c r="H925" i="2"/>
  <c r="I925" i="2" s="1"/>
  <c r="H926" i="2"/>
  <c r="I926" i="2" s="1"/>
  <c r="H927" i="2"/>
  <c r="I927" i="2" s="1"/>
  <c r="H928" i="2"/>
  <c r="I928" i="2" s="1"/>
  <c r="H929" i="2"/>
  <c r="I929" i="2" s="1"/>
  <c r="H930" i="2"/>
  <c r="I930" i="2" s="1"/>
  <c r="H931" i="2"/>
  <c r="H932" i="2"/>
  <c r="H933" i="2"/>
  <c r="I933" i="2" s="1"/>
  <c r="H934" i="2"/>
  <c r="H935" i="2"/>
  <c r="H936" i="2"/>
  <c r="I936" i="2" s="1"/>
  <c r="H937" i="2"/>
  <c r="I937" i="2" s="1"/>
  <c r="H938" i="2"/>
  <c r="I938" i="2" s="1"/>
  <c r="H939" i="2"/>
  <c r="I939" i="2" s="1"/>
  <c r="H940" i="2"/>
  <c r="H941" i="2"/>
  <c r="I941" i="2" s="1"/>
  <c r="H942" i="2"/>
  <c r="I942" i="2" s="1"/>
  <c r="H943" i="2"/>
  <c r="I943" i="2" s="1"/>
  <c r="H944" i="2"/>
  <c r="I944" i="2" s="1"/>
  <c r="H945" i="2"/>
  <c r="H946" i="2"/>
  <c r="I946" i="2" s="1"/>
  <c r="H947" i="2"/>
  <c r="I947" i="2" s="1"/>
  <c r="H948" i="2"/>
  <c r="I948" i="2" s="1"/>
  <c r="H949" i="2"/>
  <c r="I949" i="2" s="1"/>
  <c r="H950" i="2"/>
  <c r="I950" i="2" s="1"/>
  <c r="H951" i="2"/>
  <c r="I951" i="2" s="1"/>
  <c r="H952" i="2"/>
  <c r="H953" i="2"/>
  <c r="I953" i="2" s="1"/>
  <c r="H954" i="2"/>
  <c r="H955" i="2"/>
  <c r="I955" i="2" s="1"/>
  <c r="H956" i="2"/>
  <c r="I956" i="2" s="1"/>
  <c r="H957" i="2"/>
  <c r="H958" i="2"/>
  <c r="H959" i="2"/>
  <c r="I959" i="2" s="1"/>
  <c r="H960" i="2"/>
  <c r="I960" i="2" s="1"/>
  <c r="H961" i="2"/>
  <c r="H962" i="2"/>
  <c r="H963" i="2"/>
  <c r="H964" i="2"/>
  <c r="H965" i="2"/>
  <c r="I965" i="2" s="1"/>
  <c r="H966" i="2"/>
  <c r="H967" i="2"/>
  <c r="H968" i="2"/>
  <c r="H969" i="2"/>
  <c r="H970" i="2"/>
  <c r="I970" i="2" s="1"/>
  <c r="H971" i="2"/>
  <c r="I971" i="2" s="1"/>
  <c r="H972" i="2"/>
  <c r="I972" i="2" s="1"/>
  <c r="H973" i="2"/>
  <c r="I973" i="2" s="1"/>
  <c r="H974" i="2"/>
  <c r="I974" i="2" s="1"/>
  <c r="H975" i="2"/>
  <c r="I975" i="2" s="1"/>
  <c r="H976" i="2"/>
  <c r="H977" i="2"/>
  <c r="I977" i="2" s="1"/>
  <c r="H978" i="2"/>
  <c r="I978" i="2" s="1"/>
  <c r="H979" i="2"/>
  <c r="I979" i="2" s="1"/>
  <c r="H980" i="2"/>
  <c r="I980" i="2" s="1"/>
  <c r="H981" i="2"/>
  <c r="I981" i="2" s="1"/>
  <c r="H982" i="2"/>
  <c r="I982" i="2" s="1"/>
  <c r="H983" i="2"/>
  <c r="I983" i="2" s="1"/>
  <c r="H984" i="2"/>
  <c r="I984" i="2" s="1"/>
  <c r="H985" i="2"/>
  <c r="H986" i="2"/>
  <c r="I986" i="2" s="1"/>
  <c r="H987" i="2"/>
  <c r="H988" i="2"/>
  <c r="H989" i="2"/>
  <c r="H990" i="2"/>
  <c r="I990" i="2" s="1"/>
  <c r="H991" i="2"/>
  <c r="I991" i="2" s="1"/>
  <c r="H992" i="2"/>
  <c r="H993" i="2"/>
  <c r="H994" i="2"/>
  <c r="I994" i="2" s="1"/>
  <c r="H995" i="2"/>
  <c r="I995" i="2" s="1"/>
  <c r="H996" i="2"/>
  <c r="I996" i="2" s="1"/>
  <c r="H997" i="2"/>
  <c r="H998" i="2"/>
  <c r="I998" i="2" s="1"/>
  <c r="H999" i="2"/>
  <c r="I999" i="2" s="1"/>
  <c r="H1000" i="2"/>
  <c r="I1000" i="2" s="1"/>
  <c r="H1001" i="2"/>
  <c r="I1001" i="2" s="1"/>
  <c r="H1002" i="2"/>
  <c r="I1002" i="2" s="1"/>
  <c r="H1003" i="2"/>
  <c r="I1003" i="2" s="1"/>
  <c r="H1004" i="2"/>
  <c r="I1004" i="2" s="1"/>
  <c r="H1005" i="2"/>
  <c r="H1006" i="2"/>
  <c r="I1006" i="2" s="1"/>
  <c r="H1007" i="2"/>
  <c r="I1007" i="2" s="1"/>
  <c r="H1008" i="2"/>
  <c r="I1008" i="2" s="1"/>
  <c r="H1009" i="2"/>
  <c r="I1009" i="2" s="1"/>
  <c r="H1010" i="2"/>
  <c r="I1010" i="2" s="1"/>
  <c r="H1011" i="2"/>
  <c r="H1012" i="2"/>
  <c r="I1012" i="2" s="1"/>
  <c r="H1013" i="2"/>
  <c r="I1013" i="2" s="1"/>
  <c r="H1014" i="2"/>
  <c r="I1014" i="2" s="1"/>
  <c r="H1015" i="2"/>
  <c r="H1016" i="2"/>
  <c r="H1017" i="2"/>
  <c r="H1018" i="2"/>
  <c r="H1019" i="2"/>
  <c r="I1019" i="2" s="1"/>
  <c r="H1020" i="2"/>
  <c r="H1021" i="2"/>
  <c r="I1021" i="2" s="1"/>
  <c r="H1022" i="2"/>
  <c r="I1022" i="2" s="1"/>
  <c r="H1023" i="2"/>
  <c r="I1023" i="2" s="1"/>
  <c r="H1024" i="2"/>
  <c r="I1024" i="2" s="1"/>
  <c r="H1025" i="2"/>
  <c r="I1025" i="2" s="1"/>
  <c r="H1026" i="2"/>
  <c r="H1027" i="2"/>
  <c r="I1027" i="2" s="1"/>
  <c r="H1028" i="2"/>
  <c r="H1029" i="2"/>
  <c r="H1030" i="2"/>
  <c r="H1031" i="2"/>
  <c r="I1031" i="2" s="1"/>
  <c r="H1032" i="2"/>
  <c r="I1032" i="2" s="1"/>
  <c r="H1033" i="2"/>
  <c r="I1033" i="2" s="1"/>
  <c r="H1034" i="2"/>
  <c r="I1034" i="2" s="1"/>
  <c r="H1035" i="2"/>
  <c r="H1036" i="2"/>
  <c r="I1036" i="2" s="1"/>
  <c r="H1037" i="2"/>
  <c r="I1037" i="2" s="1"/>
  <c r="H1038" i="2"/>
  <c r="I1038" i="2" s="1"/>
  <c r="H1039" i="2"/>
  <c r="I1039" i="2" s="1"/>
  <c r="H1040" i="2"/>
  <c r="I1040" i="2" s="1"/>
  <c r="H1041" i="2"/>
  <c r="H1042" i="2"/>
  <c r="I1042" i="2" s="1"/>
  <c r="H1043" i="2"/>
  <c r="I1043" i="2" s="1"/>
  <c r="H1044" i="2"/>
  <c r="I1044" i="2" s="1"/>
  <c r="H1045" i="2"/>
  <c r="I1045" i="2" s="1"/>
  <c r="H1046" i="2"/>
  <c r="H1047" i="2"/>
  <c r="H1048" i="2"/>
  <c r="I1048" i="2" s="1"/>
  <c r="H1049" i="2"/>
  <c r="I1049" i="2" s="1"/>
  <c r="H1050" i="2"/>
  <c r="I1050" i="2" s="1"/>
  <c r="H1051" i="2"/>
  <c r="I1051" i="2" s="1"/>
  <c r="H1052" i="2"/>
  <c r="I1052" i="2" s="1"/>
  <c r="H1053" i="2"/>
  <c r="I1053" i="2" s="1"/>
  <c r="H1054" i="2"/>
  <c r="H1055" i="2"/>
  <c r="I1055" i="2" s="1"/>
  <c r="H1056" i="2"/>
  <c r="I1056" i="2" s="1"/>
  <c r="H1057" i="2"/>
  <c r="H1058" i="2"/>
  <c r="I1058" i="2" s="1"/>
  <c r="H1059" i="2"/>
  <c r="H1060" i="2"/>
  <c r="I1060" i="2" s="1"/>
  <c r="H1061" i="2"/>
  <c r="H1062" i="2"/>
  <c r="I1062" i="2" s="1"/>
  <c r="H1063" i="2"/>
  <c r="I1063" i="2" s="1"/>
  <c r="H1064" i="2"/>
  <c r="I1064" i="2" s="1"/>
  <c r="H1065" i="2"/>
  <c r="I1065" i="2" s="1"/>
  <c r="H1066" i="2"/>
  <c r="I1066" i="2" s="1"/>
  <c r="H1067" i="2"/>
  <c r="I1067" i="2" s="1"/>
  <c r="H1068" i="2"/>
  <c r="I1068" i="2" s="1"/>
  <c r="H1069" i="2"/>
  <c r="I1069" i="2" s="1"/>
  <c r="H1070" i="2"/>
  <c r="I1070" i="2" s="1"/>
  <c r="H1071" i="2"/>
  <c r="I1071" i="2" s="1"/>
  <c r="H1072" i="2"/>
  <c r="I1072" i="2" s="1"/>
  <c r="H1073" i="2"/>
  <c r="I1073" i="2" s="1"/>
  <c r="H1074" i="2"/>
  <c r="H1075" i="2"/>
  <c r="I1075" i="2" s="1"/>
  <c r="H1076" i="2"/>
  <c r="I1076" i="2" s="1"/>
  <c r="H1077" i="2"/>
  <c r="H1078" i="2"/>
  <c r="H1079" i="2"/>
  <c r="I1079" i="2" s="1"/>
  <c r="H1080" i="2"/>
  <c r="I1080" i="2" s="1"/>
  <c r="H1081" i="2"/>
  <c r="I1081" i="2" s="1"/>
  <c r="H1082" i="2"/>
  <c r="H1083" i="2"/>
  <c r="I1083" i="2" s="1"/>
  <c r="H1084" i="2"/>
  <c r="I1084" i="2" s="1"/>
  <c r="H1085" i="2"/>
  <c r="I1085" i="2" s="1"/>
  <c r="H1086" i="2"/>
  <c r="H1087" i="2"/>
  <c r="I1087" i="2" s="1"/>
  <c r="H1088" i="2"/>
  <c r="I1088" i="2" s="1"/>
  <c r="H1089" i="2"/>
  <c r="I1089" i="2" s="1"/>
  <c r="H1090" i="2"/>
  <c r="I1090" i="2" s="1"/>
  <c r="H1091" i="2"/>
  <c r="I1091" i="2" s="1"/>
  <c r="H1092" i="2"/>
  <c r="H1093" i="2"/>
  <c r="I1093" i="2" s="1"/>
  <c r="H1094" i="2"/>
  <c r="I1094" i="2" s="1"/>
  <c r="H1095" i="2"/>
  <c r="I1095" i="2" s="1"/>
  <c r="H1096" i="2"/>
  <c r="I1096" i="2" s="1"/>
  <c r="H1097" i="2"/>
  <c r="I1097" i="2" s="1"/>
  <c r="H1098" i="2"/>
  <c r="I1098" i="2" s="1"/>
  <c r="H1099" i="2"/>
  <c r="I1099" i="2" s="1"/>
  <c r="H1100" i="2"/>
  <c r="I1100" i="2" s="1"/>
  <c r="H1101" i="2"/>
  <c r="I1101" i="2" s="1"/>
  <c r="H1102" i="2"/>
  <c r="I1102" i="2" s="1"/>
  <c r="H1103" i="2"/>
  <c r="H1104" i="2"/>
  <c r="I1104" i="2" s="1"/>
  <c r="H1105" i="2"/>
  <c r="I1105" i="2" s="1"/>
  <c r="H1106" i="2"/>
  <c r="I1106" i="2" s="1"/>
  <c r="H1107" i="2"/>
  <c r="I1107" i="2" s="1"/>
  <c r="H1108" i="2"/>
  <c r="I1108" i="2" s="1"/>
  <c r="H1109" i="2"/>
  <c r="I1109" i="2" s="1"/>
  <c r="H1110" i="2"/>
  <c r="I1110" i="2" s="1"/>
  <c r="H1111" i="2"/>
  <c r="I1111" i="2" s="1"/>
  <c r="H1112" i="2"/>
  <c r="I1112" i="2" s="1"/>
  <c r="H1113" i="2"/>
  <c r="H1114" i="2"/>
  <c r="I1114" i="2" s="1"/>
  <c r="H1115" i="2"/>
  <c r="I1115" i="2" s="1"/>
  <c r="H1116" i="2"/>
  <c r="H1117" i="2"/>
  <c r="I1117" i="2" s="1"/>
  <c r="H1118" i="2"/>
  <c r="I1118" i="2" s="1"/>
  <c r="H1119" i="2"/>
  <c r="H1120" i="2"/>
  <c r="I1120" i="2" s="1"/>
  <c r="H1121" i="2"/>
  <c r="H1122" i="2"/>
  <c r="I1122" i="2" s="1"/>
  <c r="H1123" i="2"/>
  <c r="I1123" i="2" s="1"/>
  <c r="H1124" i="2"/>
  <c r="I1124" i="2" s="1"/>
  <c r="H1125" i="2"/>
  <c r="I1125" i="2" s="1"/>
  <c r="H1126" i="2"/>
  <c r="H1127" i="2"/>
  <c r="I1127" i="2" s="1"/>
  <c r="H1128" i="2"/>
  <c r="H1129" i="2"/>
  <c r="H1130" i="2"/>
  <c r="H1131" i="2"/>
  <c r="I1131" i="2" s="1"/>
  <c r="H1132" i="2"/>
  <c r="I1132" i="2" s="1"/>
  <c r="H1133" i="2"/>
  <c r="I1133" i="2" s="1"/>
  <c r="H1134" i="2"/>
  <c r="H1135" i="2"/>
  <c r="I1135" i="2" s="1"/>
  <c r="H1136" i="2"/>
  <c r="H1137" i="2"/>
  <c r="I1137" i="2" s="1"/>
  <c r="H1138" i="2"/>
  <c r="I1138" i="2" s="1"/>
  <c r="H1139" i="2"/>
  <c r="H1140" i="2"/>
  <c r="H1141" i="2"/>
  <c r="I1141" i="2" s="1"/>
  <c r="H1142" i="2"/>
  <c r="I1142" i="2" s="1"/>
  <c r="H1143" i="2"/>
  <c r="I1143" i="2" s="1"/>
  <c r="H1144" i="2"/>
  <c r="I1144" i="2" s="1"/>
  <c r="H1145" i="2"/>
  <c r="I1145" i="2" s="1"/>
  <c r="H1146" i="2"/>
  <c r="H1147" i="2"/>
  <c r="H1148" i="2"/>
  <c r="H1149" i="2"/>
  <c r="I1149" i="2" s="1"/>
  <c r="H1150" i="2"/>
  <c r="I1150" i="2" s="1"/>
  <c r="H1151" i="2"/>
  <c r="I1151" i="2" s="1"/>
  <c r="H1152" i="2"/>
  <c r="I1152" i="2" s="1"/>
  <c r="H1153" i="2"/>
  <c r="I1153" i="2" s="1"/>
  <c r="H1154" i="2"/>
  <c r="I1154" i="2" s="1"/>
  <c r="H1155" i="2"/>
  <c r="I1155" i="2" s="1"/>
  <c r="H1156" i="2"/>
  <c r="H1157" i="2"/>
  <c r="I1157" i="2" s="1"/>
  <c r="H1158" i="2"/>
  <c r="H1159" i="2"/>
  <c r="I1159" i="2" s="1"/>
  <c r="H1160" i="2"/>
  <c r="I1160" i="2" s="1"/>
  <c r="H1161" i="2"/>
  <c r="I1161" i="2" s="1"/>
  <c r="H1162" i="2"/>
  <c r="H1163" i="2"/>
  <c r="H1164" i="2"/>
  <c r="I1164" i="2" s="1"/>
  <c r="H1165" i="2"/>
  <c r="I1165" i="2" s="1"/>
  <c r="H1166" i="2"/>
  <c r="I1166" i="2" s="1"/>
  <c r="H1167" i="2"/>
  <c r="H1168" i="2"/>
  <c r="I1168" i="2" s="1"/>
  <c r="H1169" i="2"/>
  <c r="I1169" i="2" s="1"/>
  <c r="H1170" i="2"/>
  <c r="I1170" i="2" s="1"/>
  <c r="H1171" i="2"/>
  <c r="H1172" i="2"/>
  <c r="I1172" i="2" s="1"/>
  <c r="H1173" i="2"/>
  <c r="I1173" i="2" s="1"/>
  <c r="H1174" i="2"/>
  <c r="I1174" i="2" s="1"/>
  <c r="H1175" i="2"/>
  <c r="H1176" i="2"/>
  <c r="I1176" i="2" s="1"/>
  <c r="H1177" i="2"/>
  <c r="I1177" i="2" s="1"/>
  <c r="H1178" i="2"/>
  <c r="I1178" i="2" s="1"/>
  <c r="H1179" i="2"/>
  <c r="H1180" i="2"/>
  <c r="I1180" i="2" s="1"/>
  <c r="H1181" i="2"/>
  <c r="I1181" i="2" s="1"/>
  <c r="H1182" i="2"/>
  <c r="H1183" i="2"/>
  <c r="I1183" i="2" s="1"/>
  <c r="H1184" i="2"/>
  <c r="I1184" i="2" s="1"/>
  <c r="H1185" i="2"/>
  <c r="H1186" i="2"/>
  <c r="I1186" i="2" s="1"/>
  <c r="H1187" i="2"/>
  <c r="H1188" i="2"/>
  <c r="I1188" i="2" s="1"/>
  <c r="H1189" i="2"/>
  <c r="I1189" i="2" s="1"/>
  <c r="H1190" i="2"/>
  <c r="I1190" i="2" s="1"/>
  <c r="H1191" i="2"/>
  <c r="I1191" i="2" s="1"/>
  <c r="H1192" i="2"/>
  <c r="H1193" i="2"/>
  <c r="I1193" i="2" s="1"/>
  <c r="H1194" i="2"/>
  <c r="I1194" i="2" s="1"/>
  <c r="H1195" i="2"/>
  <c r="H1196" i="2"/>
  <c r="H1197" i="2"/>
  <c r="I1197" i="2" s="1"/>
  <c r="H1198" i="2"/>
  <c r="I1198" i="2" s="1"/>
  <c r="H1199" i="2"/>
  <c r="I1199" i="2" s="1"/>
  <c r="H1200" i="2"/>
  <c r="H1201" i="2"/>
  <c r="H1202" i="2"/>
  <c r="H1203" i="2"/>
  <c r="I1203" i="2" s="1"/>
  <c r="H1204" i="2"/>
  <c r="H1205" i="2"/>
  <c r="I1205" i="2" s="1"/>
  <c r="H1206" i="2"/>
  <c r="I1206" i="2" s="1"/>
  <c r="H1207" i="2"/>
  <c r="H1208" i="2"/>
  <c r="H1209" i="2"/>
  <c r="I1209" i="2" s="1"/>
  <c r="H1210" i="2"/>
  <c r="H1211" i="2"/>
  <c r="I1211" i="2" s="1"/>
  <c r="H1212" i="2"/>
  <c r="I1212" i="2" s="1"/>
  <c r="H1213" i="2"/>
  <c r="I1213" i="2" s="1"/>
  <c r="H1214" i="2"/>
  <c r="H1215" i="2"/>
  <c r="I1215" i="2" s="1"/>
  <c r="H1216" i="2"/>
  <c r="I1216" i="2" s="1"/>
  <c r="H1217" i="2"/>
  <c r="I1217" i="2" s="1"/>
  <c r="H1218" i="2"/>
  <c r="I1218" i="2" s="1"/>
  <c r="H1219" i="2"/>
  <c r="I1219" i="2" s="1"/>
  <c r="H1220" i="2"/>
  <c r="I1220" i="2" s="1"/>
  <c r="H1221" i="2"/>
  <c r="H1222" i="2"/>
  <c r="I1222" i="2" s="1"/>
  <c r="H1223" i="2"/>
  <c r="I1223" i="2" s="1"/>
  <c r="H1224" i="2"/>
  <c r="I1224" i="2" s="1"/>
  <c r="H1225" i="2"/>
  <c r="H1226" i="2"/>
  <c r="I1226" i="2" s="1"/>
  <c r="H1227" i="2"/>
  <c r="I1227" i="2" s="1"/>
  <c r="H1228" i="2"/>
  <c r="H1229" i="2"/>
  <c r="I1229" i="2" s="1"/>
  <c r="H1230" i="2"/>
  <c r="I1230" i="2" s="1"/>
  <c r="H1231" i="2"/>
  <c r="I1231" i="2" s="1"/>
  <c r="H1232" i="2"/>
  <c r="I1232" i="2" s="1"/>
  <c r="H1233" i="2"/>
  <c r="H1234" i="2"/>
  <c r="I1234" i="2" s="1"/>
  <c r="H1235" i="2"/>
  <c r="H1236" i="2"/>
  <c r="H1237" i="2"/>
  <c r="I1237" i="2" s="1"/>
  <c r="H1238" i="2"/>
  <c r="I1238" i="2" s="1"/>
  <c r="H1239" i="2"/>
  <c r="I1239" i="2" s="1"/>
  <c r="H1240" i="2"/>
  <c r="I1240" i="2" s="1"/>
  <c r="H1241" i="2"/>
  <c r="H1242" i="2"/>
  <c r="H1243" i="2"/>
  <c r="H1244" i="2"/>
  <c r="I1244" i="2" s="1"/>
  <c r="H1245" i="2"/>
  <c r="I1245" i="2" s="1"/>
  <c r="H1246" i="2"/>
  <c r="I1246" i="2" s="1"/>
  <c r="H1247" i="2"/>
  <c r="I1247" i="2" s="1"/>
  <c r="H1248" i="2"/>
  <c r="I1248" i="2" s="1"/>
  <c r="H1249" i="2"/>
  <c r="I1249" i="2" s="1"/>
  <c r="H1250" i="2"/>
  <c r="I1250" i="2" s="1"/>
  <c r="H1251" i="2"/>
  <c r="I1251" i="2" s="1"/>
  <c r="H1252" i="2"/>
  <c r="H1253" i="2"/>
  <c r="I1253" i="2" s="1"/>
  <c r="H1254" i="2"/>
  <c r="I1254" i="2" s="1"/>
  <c r="H1255" i="2"/>
  <c r="I1255" i="2" s="1"/>
  <c r="H1256" i="2"/>
  <c r="I1256" i="2" s="1"/>
  <c r="H1257" i="2"/>
  <c r="I1257" i="2" s="1"/>
  <c r="H1258" i="2"/>
  <c r="I1258" i="2" s="1"/>
  <c r="H1259" i="2"/>
  <c r="I1259" i="2" s="1"/>
  <c r="H1260" i="2"/>
  <c r="H1261" i="2"/>
  <c r="I1261" i="2" s="1"/>
  <c r="H1262" i="2"/>
  <c r="H1263" i="2"/>
  <c r="I1263" i="2" s="1"/>
  <c r="H1264" i="2"/>
  <c r="I1264" i="2" s="1"/>
  <c r="H1265" i="2"/>
  <c r="I1265" i="2" s="1"/>
  <c r="H1266" i="2"/>
  <c r="I1266" i="2" s="1"/>
  <c r="H1267" i="2"/>
  <c r="I1267" i="2" s="1"/>
  <c r="H1268" i="2"/>
  <c r="I1268" i="2" s="1"/>
  <c r="H1269" i="2"/>
  <c r="H1270" i="2"/>
  <c r="I1270" i="2" s="1"/>
  <c r="H1271" i="2"/>
  <c r="H1272" i="2"/>
  <c r="I1272" i="2" s="1"/>
  <c r="H1273" i="2"/>
  <c r="H1274" i="2"/>
  <c r="I1274" i="2" s="1"/>
  <c r="H1275" i="2"/>
  <c r="H1276" i="2"/>
  <c r="I1276" i="2" s="1"/>
  <c r="H1277" i="2"/>
  <c r="H1278" i="2"/>
  <c r="I1278" i="2" s="1"/>
  <c r="H1279" i="2"/>
  <c r="I1279" i="2" s="1"/>
  <c r="H1280" i="2"/>
  <c r="I1280" i="2" s="1"/>
  <c r="H1281" i="2"/>
  <c r="H1282" i="2"/>
  <c r="I1282" i="2" s="1"/>
  <c r="H1283" i="2"/>
  <c r="H1284" i="2"/>
  <c r="I1284" i="2" s="1"/>
  <c r="H1285" i="2"/>
  <c r="I1285" i="2" s="1"/>
  <c r="H1286" i="2"/>
  <c r="I1286" i="2" s="1"/>
  <c r="H1287" i="2"/>
  <c r="I1287" i="2" s="1"/>
  <c r="H1288" i="2"/>
  <c r="H1289" i="2"/>
  <c r="I1289" i="2" s="1"/>
  <c r="H1290" i="2"/>
  <c r="H1291" i="2"/>
  <c r="H1292" i="2"/>
  <c r="I1292" i="2" s="1"/>
  <c r="H1293" i="2"/>
  <c r="I1293" i="2" s="1"/>
  <c r="H1294" i="2"/>
  <c r="I1294" i="2" s="1"/>
  <c r="H1295" i="2"/>
  <c r="H1296" i="2"/>
  <c r="I1296" i="2" s="1"/>
  <c r="H1297" i="2"/>
  <c r="I1297" i="2" s="1"/>
  <c r="H1298" i="2"/>
  <c r="I1298" i="2" s="1"/>
  <c r="H1299" i="2"/>
  <c r="H1300" i="2"/>
  <c r="I1300" i="2" s="1"/>
  <c r="H1301" i="2"/>
  <c r="I1301" i="2" s="1"/>
  <c r="H1302" i="2"/>
  <c r="I1302" i="2" s="1"/>
  <c r="H1303" i="2"/>
  <c r="H1304" i="2"/>
  <c r="I1304" i="2" s="1"/>
  <c r="H1305" i="2"/>
  <c r="I1305" i="2" s="1"/>
  <c r="H1306" i="2"/>
  <c r="I1306" i="2" s="1"/>
  <c r="H1307" i="2"/>
  <c r="H1308" i="2"/>
  <c r="H1309" i="2"/>
  <c r="I1309" i="2" s="1"/>
  <c r="H1310" i="2"/>
  <c r="I1310" i="2" s="1"/>
  <c r="H1311" i="2"/>
  <c r="I1311" i="2" s="1"/>
  <c r="H1312" i="2"/>
  <c r="I1312" i="2" s="1"/>
  <c r="H1313" i="2"/>
  <c r="H1314" i="2"/>
  <c r="I1314" i="2" s="1"/>
  <c r="H1315" i="2"/>
  <c r="I1315" i="2" s="1"/>
  <c r="H1316" i="2"/>
  <c r="I1316" i="2" s="1"/>
  <c r="H1317" i="2"/>
  <c r="I1317" i="2" s="1"/>
  <c r="H1318" i="2"/>
  <c r="I1318" i="2" s="1"/>
  <c r="H1319" i="2"/>
  <c r="I1319" i="2" s="1"/>
  <c r="H1320" i="2"/>
  <c r="I1320" i="2" s="1"/>
  <c r="H1321" i="2"/>
  <c r="I1321" i="2" s="1"/>
  <c r="H1322" i="2"/>
  <c r="I1322" i="2" s="1"/>
  <c r="H1323" i="2"/>
  <c r="I1323" i="2" s="1"/>
  <c r="H1324" i="2"/>
  <c r="I1324" i="2" s="1"/>
  <c r="H1325" i="2"/>
  <c r="I1325" i="2" s="1"/>
  <c r="H1326" i="2"/>
  <c r="I1326" i="2" s="1"/>
  <c r="H1327" i="2"/>
  <c r="H1328" i="2"/>
  <c r="H1329" i="2"/>
  <c r="H1330" i="2"/>
  <c r="I1330" i="2" s="1"/>
  <c r="H1331" i="2"/>
  <c r="I1331" i="2" s="1"/>
  <c r="H1332" i="2"/>
  <c r="H1333" i="2"/>
  <c r="I1333" i="2" s="1"/>
  <c r="H1334" i="2"/>
  <c r="H1335" i="2"/>
  <c r="I1335" i="2" s="1"/>
  <c r="H1336" i="2"/>
  <c r="H1337" i="2"/>
  <c r="I1337" i="2" s="1"/>
  <c r="H1338" i="2"/>
  <c r="I1338" i="2" s="1"/>
  <c r="H1339" i="2"/>
  <c r="I1339" i="2" s="1"/>
  <c r="H1340" i="2"/>
  <c r="H1341" i="2"/>
  <c r="H1342" i="2"/>
  <c r="I1342" i="2" s="1"/>
  <c r="H1343" i="2"/>
  <c r="I1343" i="2" s="1"/>
  <c r="H1344" i="2"/>
  <c r="H1345" i="2"/>
  <c r="H1346" i="2"/>
  <c r="H1347" i="2"/>
  <c r="I1347" i="2" s="1"/>
  <c r="H1348" i="2"/>
  <c r="I1348" i="2" s="1"/>
  <c r="H1349" i="2"/>
  <c r="I1349" i="2" s="1"/>
  <c r="H1350" i="2"/>
  <c r="I1350" i="2" s="1"/>
  <c r="H1351" i="2"/>
  <c r="I1351" i="2" s="1"/>
  <c r="H1352" i="2"/>
  <c r="I1352" i="2" s="1"/>
  <c r="H1353" i="2"/>
  <c r="I1353" i="2" s="1"/>
  <c r="H1354" i="2"/>
  <c r="H1355" i="2"/>
  <c r="I1355" i="2" s="1"/>
  <c r="H1356" i="2"/>
  <c r="I1356" i="2" s="1"/>
  <c r="H1357" i="2"/>
  <c r="H1358" i="2"/>
  <c r="H1359" i="2"/>
  <c r="H1360" i="2"/>
  <c r="I1360" i="2" s="1"/>
  <c r="H1361" i="2"/>
  <c r="H1362" i="2"/>
  <c r="I1362" i="2" s="1"/>
  <c r="H1363" i="2"/>
  <c r="I1363" i="2" s="1"/>
  <c r="H1364" i="2"/>
  <c r="H1365" i="2"/>
  <c r="H1366" i="2"/>
  <c r="I1366" i="2" s="1"/>
  <c r="H1367" i="2"/>
  <c r="I1367" i="2" s="1"/>
  <c r="H1368" i="2"/>
  <c r="I1368" i="2" s="1"/>
  <c r="H1369" i="2"/>
  <c r="I1369" i="2" s="1"/>
  <c r="H1370" i="2"/>
  <c r="I1370" i="2" s="1"/>
  <c r="H1371" i="2"/>
  <c r="I1371" i="2" s="1"/>
  <c r="H1372" i="2"/>
  <c r="I1372" i="2" s="1"/>
  <c r="H1373" i="2"/>
  <c r="H1374" i="2"/>
  <c r="I1374" i="2" s="1"/>
  <c r="H1375" i="2"/>
  <c r="I1375" i="2" s="1"/>
  <c r="H1376" i="2"/>
  <c r="I1376" i="2" s="1"/>
  <c r="H1377" i="2"/>
  <c r="I1377" i="2" s="1"/>
  <c r="H1378" i="2"/>
  <c r="H1379" i="2"/>
  <c r="I1379" i="2" s="1"/>
  <c r="H1380" i="2"/>
  <c r="I1380" i="2" s="1"/>
  <c r="H1381" i="2"/>
  <c r="I1381" i="2" s="1"/>
  <c r="H1382" i="2"/>
  <c r="H1383" i="2"/>
  <c r="I1383" i="2" s="1"/>
  <c r="H1384" i="2"/>
  <c r="I1384" i="2" s="1"/>
  <c r="H1385" i="2"/>
  <c r="I1385" i="2" s="1"/>
  <c r="H1386" i="2"/>
  <c r="I1386" i="2" s="1"/>
  <c r="H1387" i="2"/>
  <c r="I1387" i="2" s="1"/>
  <c r="H1388" i="2"/>
  <c r="H1389" i="2"/>
  <c r="I1389" i="2" s="1"/>
  <c r="H1390" i="2"/>
  <c r="I1390" i="2" s="1"/>
  <c r="H1391" i="2"/>
  <c r="H1392" i="2"/>
  <c r="I1392" i="2" s="1"/>
  <c r="H1393" i="2"/>
  <c r="H1394" i="2"/>
  <c r="H1395" i="2"/>
  <c r="I1395" i="2" s="1"/>
  <c r="H1396" i="2"/>
  <c r="I1396" i="2" s="1"/>
  <c r="H1397" i="2"/>
  <c r="I1397" i="2" s="1"/>
  <c r="H1398" i="2"/>
  <c r="I1398" i="2" s="1"/>
  <c r="H1399" i="2"/>
  <c r="H1400" i="2"/>
  <c r="I1400" i="2" s="1"/>
  <c r="H1401" i="2"/>
  <c r="I1401" i="2" s="1"/>
  <c r="H1402" i="2"/>
  <c r="H1403" i="2"/>
  <c r="I1403" i="2" s="1"/>
  <c r="H1404" i="2"/>
  <c r="I1404" i="2" s="1"/>
  <c r="H1405" i="2"/>
  <c r="H1406" i="2"/>
  <c r="I1406" i="2" s="1"/>
  <c r="H1407" i="2"/>
  <c r="I1407" i="2" s="1"/>
  <c r="H1408" i="2"/>
  <c r="H1409" i="2"/>
  <c r="I1409" i="2" s="1"/>
  <c r="H1410" i="2"/>
  <c r="I1410" i="2" s="1"/>
  <c r="H1411" i="2"/>
  <c r="I1411" i="2" s="1"/>
  <c r="H1412" i="2"/>
  <c r="I1412" i="2" s="1"/>
  <c r="H1413" i="2"/>
  <c r="I1413" i="2" s="1"/>
  <c r="H1414" i="2"/>
  <c r="H1415" i="2"/>
  <c r="H1416" i="2"/>
  <c r="I1416" i="2" s="1"/>
  <c r="H1417" i="2"/>
  <c r="H1418" i="2"/>
  <c r="I1418" i="2" s="1"/>
  <c r="H1419" i="2"/>
  <c r="I1419" i="2" s="1"/>
  <c r="H1420" i="2"/>
  <c r="I1420" i="2" s="1"/>
  <c r="H1421" i="2"/>
  <c r="I1421" i="2" s="1"/>
  <c r="H1422" i="2"/>
  <c r="I1422" i="2" s="1"/>
  <c r="H1423" i="2"/>
  <c r="I1423" i="2" s="1"/>
  <c r="H1424" i="2"/>
  <c r="I1424" i="2" s="1"/>
  <c r="H1425" i="2"/>
  <c r="H1426" i="2"/>
  <c r="I1426" i="2" s="1"/>
  <c r="H1427" i="2"/>
  <c r="I1427" i="2" s="1"/>
  <c r="H1428" i="2"/>
  <c r="I1428" i="2" s="1"/>
  <c r="H1429" i="2"/>
  <c r="H1430" i="2"/>
  <c r="H1431" i="2"/>
  <c r="I1431" i="2" s="1"/>
  <c r="H1432" i="2"/>
  <c r="I1432" i="2" s="1"/>
  <c r="H1433" i="2"/>
  <c r="I1433" i="2" s="1"/>
  <c r="H1434" i="2"/>
  <c r="I1434" i="2" s="1"/>
  <c r="H1435" i="2"/>
  <c r="I1435" i="2" s="1"/>
  <c r="H1436" i="2"/>
  <c r="I1436" i="2" s="1"/>
  <c r="H1437" i="2"/>
  <c r="I1437" i="2" s="1"/>
  <c r="H1438" i="2"/>
  <c r="I1438" i="2" s="1"/>
  <c r="H1439" i="2"/>
  <c r="I1439" i="2" s="1"/>
  <c r="H1440" i="2"/>
  <c r="H1441" i="2"/>
  <c r="I1441" i="2" s="1"/>
  <c r="H1442" i="2"/>
  <c r="I1442" i="2" s="1"/>
  <c r="H1443" i="2"/>
  <c r="I1443" i="2" s="1"/>
  <c r="H1444" i="2"/>
  <c r="I1444" i="2" s="1"/>
  <c r="H1445" i="2"/>
  <c r="I1445" i="2" s="1"/>
  <c r="H1446" i="2"/>
  <c r="I1446" i="2" s="1"/>
  <c r="H1447" i="2"/>
  <c r="H1448" i="2"/>
  <c r="H1449" i="2"/>
  <c r="H1450" i="2"/>
  <c r="I1450" i="2" s="1"/>
  <c r="H1451" i="2"/>
  <c r="I1451" i="2" s="1"/>
  <c r="H1452" i="2"/>
  <c r="I1452" i="2" s="1"/>
  <c r="H1453" i="2"/>
  <c r="I1453" i="2" s="1"/>
  <c r="H1454" i="2"/>
  <c r="I1454" i="2" s="1"/>
  <c r="H1455" i="2"/>
  <c r="I1455" i="2" s="1"/>
  <c r="H1456" i="2"/>
  <c r="I1456" i="2" s="1"/>
  <c r="H1457" i="2"/>
  <c r="H1458" i="2"/>
  <c r="H1459" i="2"/>
  <c r="H1460" i="2"/>
  <c r="H1461" i="2"/>
  <c r="I1461" i="2" s="1"/>
  <c r="H1462" i="2"/>
  <c r="H1463" i="2"/>
  <c r="I1463" i="2" s="1"/>
  <c r="H1464" i="2"/>
  <c r="I1464" i="2" s="1"/>
  <c r="H1465" i="2"/>
  <c r="I1465" i="2" s="1"/>
  <c r="H1466" i="2"/>
  <c r="I1466" i="2" s="1"/>
  <c r="H1467" i="2"/>
  <c r="H1468" i="2"/>
  <c r="I1468" i="2" s="1"/>
  <c r="H1469" i="2"/>
  <c r="I1469" i="2" s="1"/>
  <c r="H1470" i="2"/>
  <c r="H1471" i="2"/>
  <c r="I1471" i="2" s="1"/>
  <c r="H1472" i="2"/>
  <c r="I1472" i="2" s="1"/>
  <c r="H1473" i="2"/>
  <c r="I1473" i="2" s="1"/>
  <c r="H1474" i="2"/>
  <c r="H1475" i="2"/>
  <c r="I1475" i="2" s="1"/>
  <c r="H1476" i="2"/>
  <c r="I1476" i="2" s="1"/>
  <c r="H1477" i="2"/>
  <c r="I1477" i="2" s="1"/>
  <c r="H1478" i="2"/>
  <c r="I1478" i="2" s="1"/>
  <c r="H1479" i="2"/>
  <c r="H1480" i="2"/>
  <c r="H1481" i="2"/>
  <c r="H1482" i="2"/>
  <c r="H1483" i="2"/>
  <c r="H1484" i="2"/>
  <c r="I1484" i="2" s="1"/>
  <c r="H1485" i="2"/>
  <c r="I1485" i="2" s="1"/>
  <c r="H1486" i="2"/>
  <c r="I1486" i="2" s="1"/>
  <c r="H1487" i="2"/>
  <c r="I1487" i="2" s="1"/>
  <c r="H1488" i="2"/>
  <c r="I1488" i="2" s="1"/>
  <c r="H1489" i="2"/>
  <c r="I1489" i="2" s="1"/>
  <c r="H1490" i="2"/>
  <c r="H1491" i="2"/>
  <c r="I1491" i="2" s="1"/>
  <c r="H1492" i="2"/>
  <c r="I1492" i="2" s="1"/>
  <c r="H1493" i="2"/>
  <c r="I1493" i="2" s="1"/>
  <c r="H1494" i="2"/>
  <c r="I1494" i="2" s="1"/>
  <c r="H1495" i="2"/>
  <c r="H1496" i="2"/>
  <c r="I1496" i="2" s="1"/>
  <c r="H1497" i="2"/>
  <c r="I1497" i="2" s="1"/>
  <c r="H1498" i="2"/>
  <c r="I1498" i="2" s="1"/>
  <c r="H1499" i="2"/>
  <c r="H1500" i="2"/>
  <c r="I1500" i="2" s="1"/>
  <c r="H1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286C34-0714-40B6-A83E-2EBEB69EED8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<sst xmlns="http://schemas.openxmlformats.org/spreadsheetml/2006/main" count="10579" uniqueCount="1590">
  <si>
    <t>Date</t>
  </si>
  <si>
    <t>Transaction Description</t>
  </si>
  <si>
    <t>Category</t>
  </si>
  <si>
    <t>Amount</t>
  </si>
  <si>
    <t>Type</t>
  </si>
  <si>
    <t>Score each.</t>
  </si>
  <si>
    <t>Food &amp; Drink</t>
  </si>
  <si>
    <t>Expense</t>
  </si>
  <si>
    <t>Quality throughout.</t>
  </si>
  <si>
    <t>Utilities</t>
  </si>
  <si>
    <t>Instead ahead despite measure ago.</t>
  </si>
  <si>
    <t>Rent</t>
  </si>
  <si>
    <t>Information last everything thank serve.</t>
  </si>
  <si>
    <t>Investment</t>
  </si>
  <si>
    <t>Income</t>
  </si>
  <si>
    <t>Future choice whatever from.</t>
  </si>
  <si>
    <t>Benefit suggest page southern.</t>
  </si>
  <si>
    <t>Shopping</t>
  </si>
  <si>
    <t>By two bad fall pick.</t>
  </si>
  <si>
    <t>Court attorney product significant world.</t>
  </si>
  <si>
    <t>Other</t>
  </si>
  <si>
    <t>Herself law.</t>
  </si>
  <si>
    <t>Entertainment</t>
  </si>
  <si>
    <t>Have decide environment.</t>
  </si>
  <si>
    <t>Play move each left establish.</t>
  </si>
  <si>
    <t>Health &amp; Fitness</t>
  </si>
  <si>
    <t>Range successful simply.</t>
  </si>
  <si>
    <t>Salary</t>
  </si>
  <si>
    <t>Source husband.</t>
  </si>
  <si>
    <t>Tree note responsibility.</t>
  </si>
  <si>
    <t>How trip learn enter.</t>
  </si>
  <si>
    <t>Much section investment on gun.</t>
  </si>
  <si>
    <t>Management sense technology check civil.</t>
  </si>
  <si>
    <t>As high you more wife.</t>
  </si>
  <si>
    <t>Race mr.</t>
  </si>
  <si>
    <t>Travel</t>
  </si>
  <si>
    <t>Born itself law west.</t>
  </si>
  <si>
    <t>Seven medical blood personal.</t>
  </si>
  <si>
    <t>Current hear claim well two.</t>
  </si>
  <si>
    <t>Food affect upon these story.</t>
  </si>
  <si>
    <t>Around there water.</t>
  </si>
  <si>
    <t>Staff within mouth call.</t>
  </si>
  <si>
    <t>Close month parent who up.</t>
  </si>
  <si>
    <t>Human public health.</t>
  </si>
  <si>
    <t>Building different full open.</t>
  </si>
  <si>
    <t>Detail audience piece director town.</t>
  </si>
  <si>
    <t>Method everything.</t>
  </si>
  <si>
    <t>Much rich think.</t>
  </si>
  <si>
    <t>Drug list imagine behind.</t>
  </si>
  <si>
    <t>Interest level rock pull.</t>
  </si>
  <si>
    <t>I fund.</t>
  </si>
  <si>
    <t>Court movie cell.</t>
  </si>
  <si>
    <t>Leg themselves away.</t>
  </si>
  <si>
    <t>Anything yourself.</t>
  </si>
  <si>
    <t>Unit support.</t>
  </si>
  <si>
    <t>Magazine degree husband around.</t>
  </si>
  <si>
    <t>World enter.</t>
  </si>
  <si>
    <t>Institution whatever yet.</t>
  </si>
  <si>
    <t>Choice father why often.</t>
  </si>
  <si>
    <t>Security arm.</t>
  </si>
  <si>
    <t>Me system church whether.</t>
  </si>
  <si>
    <t>Attention attack technology.</t>
  </si>
  <si>
    <t>Walk now often.</t>
  </si>
  <si>
    <t>Bank price north first end.</t>
  </si>
  <si>
    <t>Enter capital population.</t>
  </si>
  <si>
    <t>Upon very act perform.</t>
  </si>
  <si>
    <t>Available defense.</t>
  </si>
  <si>
    <t>Value thing these.</t>
  </si>
  <si>
    <t>Citizen street region.</t>
  </si>
  <si>
    <t>Property never.</t>
  </si>
  <si>
    <t>Enough threat score.</t>
  </si>
  <si>
    <t>Example decision garden.</t>
  </si>
  <si>
    <t>Major town suffer begin.</t>
  </si>
  <si>
    <t>Analysis four capital.</t>
  </si>
  <si>
    <t>Scientist necessary into.</t>
  </si>
  <si>
    <t>Away third.</t>
  </si>
  <si>
    <t>Along hard need involve among.</t>
  </si>
  <si>
    <t>Together decide.</t>
  </si>
  <si>
    <t>Government nice.</t>
  </si>
  <si>
    <t>See understand door class son.</t>
  </si>
  <si>
    <t>Agent say forward us.</t>
  </si>
  <si>
    <t>City red him.</t>
  </si>
  <si>
    <t>Develop staff least figure.</t>
  </si>
  <si>
    <t>Age cover foreign.</t>
  </si>
  <si>
    <t>Go meeting quickly.</t>
  </si>
  <si>
    <t>Voice boy wife condition.</t>
  </si>
  <si>
    <t>Board its.</t>
  </si>
  <si>
    <t>Paper memory history office.</t>
  </si>
  <si>
    <t>Remember ability.</t>
  </si>
  <si>
    <t>Hair attorney professional.</t>
  </si>
  <si>
    <t>Finish summer rest feel finally.</t>
  </si>
  <si>
    <t>I fast camera inside.</t>
  </si>
  <si>
    <t>Past feeling nature.</t>
  </si>
  <si>
    <t>Expert involve oil.</t>
  </si>
  <si>
    <t>Kid put memory soldier.</t>
  </si>
  <si>
    <t>Exist professional.</t>
  </si>
  <si>
    <t>Stand seem.</t>
  </si>
  <si>
    <t>Southern challenge animal.</t>
  </si>
  <si>
    <t>Sure authority increase picture create.</t>
  </si>
  <si>
    <t>Hundred challenge reach throughout.</t>
  </si>
  <si>
    <t>Despite sound receive let.</t>
  </si>
  <si>
    <t>True building card.</t>
  </si>
  <si>
    <t>Write other wear through partner.</t>
  </si>
  <si>
    <t>Store natural today season.</t>
  </si>
  <si>
    <t>Else easy point she.</t>
  </si>
  <si>
    <t>Phone ever back experience.</t>
  </si>
  <si>
    <t>Floor music catch discuss.</t>
  </si>
  <si>
    <t>Ask imagine my.</t>
  </si>
  <si>
    <t>Deal information.</t>
  </si>
  <si>
    <t>Task she.</t>
  </si>
  <si>
    <t>Accept goal send table.</t>
  </si>
  <si>
    <t>Section national owner determine detail.</t>
  </si>
  <si>
    <t>Ahead from quickly identify.</t>
  </si>
  <si>
    <t>Try wonder move trade.</t>
  </si>
  <si>
    <t>Base investment.</t>
  </si>
  <si>
    <t>Anyone here deep.</t>
  </si>
  <si>
    <t>Seven here sell story.</t>
  </si>
  <si>
    <t>Like see.</t>
  </si>
  <si>
    <t>Difference attention whatever american.</t>
  </si>
  <si>
    <t>Current after charge.</t>
  </si>
  <si>
    <t>Prove nor design record.</t>
  </si>
  <si>
    <t>Paper white responsibility.</t>
  </si>
  <si>
    <t>Blue agent find.</t>
  </si>
  <si>
    <t>Walk cup option store.</t>
  </si>
  <si>
    <t>Recent feeling.</t>
  </si>
  <si>
    <t>Site girl into have media.</t>
  </si>
  <si>
    <t>Support state.</t>
  </si>
  <si>
    <t>Whether player stock religious.</t>
  </si>
  <si>
    <t>Safe whole establish.</t>
  </si>
  <si>
    <t>Let stay or focus.</t>
  </si>
  <si>
    <t>Everything late.</t>
  </si>
  <si>
    <t>Particular her agreement surface consider.</t>
  </si>
  <si>
    <t>Something future they red.</t>
  </si>
  <si>
    <t>Act way beat result major.</t>
  </si>
  <si>
    <t>Position make society behavior.</t>
  </si>
  <si>
    <t>Reality fill ok list.</t>
  </si>
  <si>
    <t>International second former reflect.</t>
  </si>
  <si>
    <t>Edge building court.</t>
  </si>
  <si>
    <t>Week real course school everybody.</t>
  </si>
  <si>
    <t>Executive beyond create dinner conference.</t>
  </si>
  <si>
    <t>Call animal approach factor want.</t>
  </si>
  <si>
    <t>Their off.</t>
  </si>
  <si>
    <t>Key continue anything wait.</t>
  </si>
  <si>
    <t>State husband.</t>
  </si>
  <si>
    <t>Picture approach chance none fight.</t>
  </si>
  <si>
    <t>Newspaper indicate other.</t>
  </si>
  <si>
    <t>Herself training father open investment.</t>
  </si>
  <si>
    <t>Art whether between several personal.</t>
  </si>
  <si>
    <t>Church community.</t>
  </si>
  <si>
    <t>Able late order.</t>
  </si>
  <si>
    <t>Discuss religious.</t>
  </si>
  <si>
    <t>Reach under.</t>
  </si>
  <si>
    <t>Boy different chance enter.</t>
  </si>
  <si>
    <t>Arrive society.</t>
  </si>
  <si>
    <t>Keep light fight.</t>
  </si>
  <si>
    <t>Matter management ball.</t>
  </si>
  <si>
    <t>Same page ago director.</t>
  </si>
  <si>
    <t>Week yourself public especially american.</t>
  </si>
  <si>
    <t>Million kind everything young.</t>
  </si>
  <si>
    <t>Why like impact fly.</t>
  </si>
  <si>
    <t>Form really explain.</t>
  </si>
  <si>
    <t>Already because education break significant.</t>
  </si>
  <si>
    <t>Price my.</t>
  </si>
  <si>
    <t>Could gun.</t>
  </si>
  <si>
    <t>Kind appear environment capital explain.</t>
  </si>
  <si>
    <t>Ahead picture son.</t>
  </si>
  <si>
    <t>Nearly need behavior.</t>
  </si>
  <si>
    <t>Water positive child usually.</t>
  </si>
  <si>
    <t>Relate indeed lot line lead.</t>
  </si>
  <si>
    <t>Course out second carry.</t>
  </si>
  <si>
    <t>Significant take future.</t>
  </si>
  <si>
    <t>Star executive fear.</t>
  </si>
  <si>
    <t>Your majority chance mrs generation.</t>
  </si>
  <si>
    <t>Help usually thank wonder draw.</t>
  </si>
  <si>
    <t>Task improve fish.</t>
  </si>
  <si>
    <t>History professional star wonder.</t>
  </si>
  <si>
    <t>Call whole.</t>
  </si>
  <si>
    <t>Them key.</t>
  </si>
  <si>
    <t>Address century that wide.</t>
  </si>
  <si>
    <t>Sit enter perhaps however.</t>
  </si>
  <si>
    <t>System teacher here first.</t>
  </si>
  <si>
    <t>Along attention piece tv young.</t>
  </si>
  <si>
    <t>Within set region beyond.</t>
  </si>
  <si>
    <t>Tough animal someone.</t>
  </si>
  <si>
    <t>Hear certainly most not.</t>
  </si>
  <si>
    <t>Company participant him.</t>
  </si>
  <si>
    <t>Tree central leave effect.</t>
  </si>
  <si>
    <t>Together let.</t>
  </si>
  <si>
    <t>Citizen kid generation onto police.</t>
  </si>
  <si>
    <t>Lead few yourself.</t>
  </si>
  <si>
    <t>Down occur.</t>
  </si>
  <si>
    <t>Yeah far within.</t>
  </si>
  <si>
    <t>Account ten sing.</t>
  </si>
  <si>
    <t>Seat strategy total simply discover.</t>
  </si>
  <si>
    <t>Pm per question.</t>
  </si>
  <si>
    <t>Best physical always small almost.</t>
  </si>
  <si>
    <t>Bed far section.</t>
  </si>
  <si>
    <t>Car much will.</t>
  </si>
  <si>
    <t>Tree store either station.</t>
  </si>
  <si>
    <t>Second full boy.</t>
  </si>
  <si>
    <t>Senior difficult put.</t>
  </si>
  <si>
    <t>Hand so add mr lawyer.</t>
  </si>
  <si>
    <t>Herself police he push likely.</t>
  </si>
  <si>
    <t>Trip determine as statement.</t>
  </si>
  <si>
    <t>Bring animal also you.</t>
  </si>
  <si>
    <t>Doctor mr.</t>
  </si>
  <si>
    <t>He we recent music.</t>
  </si>
  <si>
    <t>Those pressure street.</t>
  </si>
  <si>
    <t>Allow have kitchen.</t>
  </si>
  <si>
    <t>Between rate name within.</t>
  </si>
  <si>
    <t>Huge couple.</t>
  </si>
  <si>
    <t>Begin deep police wife.</t>
  </si>
  <si>
    <t>During call north attention.</t>
  </si>
  <si>
    <t>Only spend do.</t>
  </si>
  <si>
    <t>Able teach certain candidate economy.</t>
  </si>
  <si>
    <t>Produce ago.</t>
  </si>
  <si>
    <t>So draw food company.</t>
  </si>
  <si>
    <t>Score moment second.</t>
  </si>
  <si>
    <t>Sing message board mean.</t>
  </si>
  <si>
    <t>Feeling poor all your suggest.</t>
  </si>
  <si>
    <t>Make travel.</t>
  </si>
  <si>
    <t>Focus chance.</t>
  </si>
  <si>
    <t>Person one republican.</t>
  </si>
  <si>
    <t>Most law painting between reduce.</t>
  </si>
  <si>
    <t>Involve thousand including.</t>
  </si>
  <si>
    <t>Indeed believe interview professor.</t>
  </si>
  <si>
    <t>Rather listen before.</t>
  </si>
  <si>
    <t>It season.</t>
  </si>
  <si>
    <t>News only no.</t>
  </si>
  <si>
    <t>Improve them wait.</t>
  </si>
  <si>
    <t>Why outside.</t>
  </si>
  <si>
    <t>Official defense.</t>
  </si>
  <si>
    <t>Suggest glass news.</t>
  </si>
  <si>
    <t>Off southern suddenly.</t>
  </si>
  <si>
    <t>Participant price.</t>
  </si>
  <si>
    <t>Congress reflect.</t>
  </si>
  <si>
    <t>Go consider century price.</t>
  </si>
  <si>
    <t>Scientist will begin.</t>
  </si>
  <si>
    <t>Heavy law church.</t>
  </si>
  <si>
    <t>Since nothing be apply.</t>
  </si>
  <si>
    <t>Anyone bank kitchen interest parent.</t>
  </si>
  <si>
    <t>Democratic mention generation.</t>
  </si>
  <si>
    <t>Question or money.</t>
  </si>
  <si>
    <t>Determine worker.</t>
  </si>
  <si>
    <t>Daughter war.</t>
  </si>
  <si>
    <t>Face build market.</t>
  </si>
  <si>
    <t>Can mouth discover.</t>
  </si>
  <si>
    <t>Author technology amount affect.</t>
  </si>
  <si>
    <t>Office of remember individual.</t>
  </si>
  <si>
    <t>Again foot soon peace.</t>
  </si>
  <si>
    <t>Join black.</t>
  </si>
  <si>
    <t>Hundred bad that second develop.</t>
  </si>
  <si>
    <t>Member box.</t>
  </si>
  <si>
    <t>Town glass road.</t>
  </si>
  <si>
    <t>Bill eight community.</t>
  </si>
  <si>
    <t>Concern significant.</t>
  </si>
  <si>
    <t>Senior service large under.</t>
  </si>
  <si>
    <t>Follow wife firm key light.</t>
  </si>
  <si>
    <t>Option goal avoid.</t>
  </si>
  <si>
    <t>Also hard expert popular.</t>
  </si>
  <si>
    <t>Order his oil west school.</t>
  </si>
  <si>
    <t>Training occur could painting.</t>
  </si>
  <si>
    <t>Whatever late specific.</t>
  </si>
  <si>
    <t>Mean common.</t>
  </si>
  <si>
    <t>Yard model particular hair.</t>
  </si>
  <si>
    <t>Impact full our smile.</t>
  </si>
  <si>
    <t>Form newspaper.</t>
  </si>
  <si>
    <t>Edge surface who.</t>
  </si>
  <si>
    <t>Bank professional true financial.</t>
  </si>
  <si>
    <t>Organization visit finally.</t>
  </si>
  <si>
    <t>Spend prove stock school.</t>
  </si>
  <si>
    <t>Position interest.</t>
  </si>
  <si>
    <t>Guy congress.</t>
  </si>
  <si>
    <t>Way main difficult case.</t>
  </si>
  <si>
    <t>Such big side.</t>
  </si>
  <si>
    <t>Product then.</t>
  </si>
  <si>
    <t>Heavy class story side speak.</t>
  </si>
  <si>
    <t>Analysis hair rest wide.</t>
  </si>
  <si>
    <t>Doctor dream whole six.</t>
  </si>
  <si>
    <t>Question now key show.</t>
  </si>
  <si>
    <t>Month whom stage soon.</t>
  </si>
  <si>
    <t>Appear lose he.</t>
  </si>
  <si>
    <t>Surface expect several evening town.</t>
  </si>
  <si>
    <t>Begin treat stage this.</t>
  </si>
  <si>
    <t>Apply maybe dog yes.</t>
  </si>
  <si>
    <t>Agreement us stuff.</t>
  </si>
  <si>
    <t>Case expert stop.</t>
  </si>
  <si>
    <t>Large accept bad eight.</t>
  </si>
  <si>
    <t>Vote participant institution simply down.</t>
  </si>
  <si>
    <t>Draw police.</t>
  </si>
  <si>
    <t>Book toward.</t>
  </si>
  <si>
    <t>Place offer.</t>
  </si>
  <si>
    <t>Investment pass drive.</t>
  </si>
  <si>
    <t>Professor beat window.</t>
  </si>
  <si>
    <t>Name skill medical after them.</t>
  </si>
  <si>
    <t>Wonder effect administration small.</t>
  </si>
  <si>
    <t>Run pick sign.</t>
  </si>
  <si>
    <t>And national spend.</t>
  </si>
  <si>
    <t>Wonder long consider care.</t>
  </si>
  <si>
    <t>Fall analysis.</t>
  </si>
  <si>
    <t>Firm financial.</t>
  </si>
  <si>
    <t>List already positive experience television.</t>
  </si>
  <si>
    <t>Event son join hundred.</t>
  </si>
  <si>
    <t>Fund cost reality happen.</t>
  </si>
  <si>
    <t>Song risk bad.</t>
  </si>
  <si>
    <t>Family bill foreign fast knowledge.</t>
  </si>
  <si>
    <t>Ready goal amount.</t>
  </si>
  <si>
    <t>Your ever woman way avoid.</t>
  </si>
  <si>
    <t>Message seek civil all.</t>
  </si>
  <si>
    <t>Call door.</t>
  </si>
  <si>
    <t>Him note painting quickly.</t>
  </si>
  <si>
    <t>Know baby case happen.</t>
  </si>
  <si>
    <t>Economic box save.</t>
  </si>
  <si>
    <t>Hit no energy employee land.</t>
  </si>
  <si>
    <t>Customer career available common.</t>
  </si>
  <si>
    <t>Specific whose.</t>
  </si>
  <si>
    <t>Remember nearly face feel.</t>
  </si>
  <si>
    <t>Soldier meeting building.</t>
  </si>
  <si>
    <t>Door management guess.</t>
  </si>
  <si>
    <t>Level work candidate this.</t>
  </si>
  <si>
    <t>Huge response long.</t>
  </si>
  <si>
    <t>Statement available win politics.</t>
  </si>
  <si>
    <t>Quite general there sister.</t>
  </si>
  <si>
    <t>Item treat area.</t>
  </si>
  <si>
    <t>Check clearly follow remember generation.</t>
  </si>
  <si>
    <t>Suffer economy play.</t>
  </si>
  <si>
    <t>By field move.</t>
  </si>
  <si>
    <t>Option oil commercial.</t>
  </si>
  <si>
    <t>American tell ball we side.</t>
  </si>
  <si>
    <t>Short indicate police.</t>
  </si>
  <si>
    <t>Nation politics few each southern.</t>
  </si>
  <si>
    <t>Law read citizen.</t>
  </si>
  <si>
    <t>Less future century technology.</t>
  </si>
  <si>
    <t>Wish candidate have no.</t>
  </si>
  <si>
    <t>Letter environment easy.</t>
  </si>
  <si>
    <t>Face his.</t>
  </si>
  <si>
    <t>While total spend.</t>
  </si>
  <si>
    <t>Couple city you level.</t>
  </si>
  <si>
    <t>Age war measure whom.</t>
  </si>
  <si>
    <t>Good anything manager think pressure.</t>
  </si>
  <si>
    <t>Mr suggest issue.</t>
  </si>
  <si>
    <t>Shake hand hundred now.</t>
  </si>
  <si>
    <t>Network available mean share.</t>
  </si>
  <si>
    <t>Quite budget window hour some.</t>
  </si>
  <si>
    <t>Voice sense current meeting matter.</t>
  </si>
  <si>
    <t>Case four.</t>
  </si>
  <si>
    <t>Lead paper middle foreign party.</t>
  </si>
  <si>
    <t>Wrong school federal from.</t>
  </si>
  <si>
    <t>Majority none little admit former.</t>
  </si>
  <si>
    <t>On someone rise read.</t>
  </si>
  <si>
    <t>Listen whose situation simply officer.</t>
  </si>
  <si>
    <t>Lose modern return simple herself.</t>
  </si>
  <si>
    <t>Occur red.</t>
  </si>
  <si>
    <t>Kid industry.</t>
  </si>
  <si>
    <t>Improve simple turn.</t>
  </si>
  <si>
    <t>Million night your.</t>
  </si>
  <si>
    <t>Heavy what least mouth national.</t>
  </si>
  <si>
    <t>Machine whatever everything fear walk.</t>
  </si>
  <si>
    <t>Relate real major.</t>
  </si>
  <si>
    <t>Night various return explain.</t>
  </si>
  <si>
    <t>Here woman stand west source.</t>
  </si>
  <si>
    <t>Explain research.</t>
  </si>
  <si>
    <t>Pretty section degree still.</t>
  </si>
  <si>
    <t>Receive case past only drug.</t>
  </si>
  <si>
    <t>Point appear including.</t>
  </si>
  <si>
    <t>Race case.</t>
  </si>
  <si>
    <t>Imagine various there.</t>
  </si>
  <si>
    <t>Sense expert experience.</t>
  </si>
  <si>
    <t>Present discussion.</t>
  </si>
  <si>
    <t>Individual study value.</t>
  </si>
  <si>
    <t>Small control see the.</t>
  </si>
  <si>
    <t>Across nothing.</t>
  </si>
  <si>
    <t>Expect writer myself management.</t>
  </si>
  <si>
    <t>Life cover both class.</t>
  </si>
  <si>
    <t>Responsibility add front.</t>
  </si>
  <si>
    <t>Purpose cover particularly police if.</t>
  </si>
  <si>
    <t>Foreign husband believe word local.</t>
  </si>
  <si>
    <t>End dog.</t>
  </si>
  <si>
    <t>Few reveal activity president.</t>
  </si>
  <si>
    <t>Property let.</t>
  </si>
  <si>
    <t>Rather type thousand show.</t>
  </si>
  <si>
    <t>Happen determine whatever.</t>
  </si>
  <si>
    <t>Lawyer writer health.</t>
  </si>
  <si>
    <t>Serious soon stay seven.</t>
  </si>
  <si>
    <t>Land region back nor article.</t>
  </si>
  <si>
    <t>Dark mr clearly take.</t>
  </si>
  <si>
    <t>Quite response.</t>
  </si>
  <si>
    <t>Together knowledge.</t>
  </si>
  <si>
    <t>Car indeed nor next.</t>
  </si>
  <si>
    <t>How staff.</t>
  </si>
  <si>
    <t>Authority interest red must art.</t>
  </si>
  <si>
    <t>All important shoulder she.</t>
  </si>
  <si>
    <t>Year him thank trade.</t>
  </si>
  <si>
    <t>Radio product.</t>
  </si>
  <si>
    <t>President girl condition.</t>
  </si>
  <si>
    <t>More road development about.</t>
  </si>
  <si>
    <t>Leg rest interest.</t>
  </si>
  <si>
    <t>Easy get every.</t>
  </si>
  <si>
    <t>Special information.</t>
  </si>
  <si>
    <t>Deal beyond almost.</t>
  </si>
  <si>
    <t>Scientist i doctor.</t>
  </si>
  <si>
    <t>Cell year.</t>
  </si>
  <si>
    <t>Five our pull fly few.</t>
  </si>
  <si>
    <t>Determine feel article we they.</t>
  </si>
  <si>
    <t>Quickly new another general poor.</t>
  </si>
  <si>
    <t>Five indicate chance heavy senior.</t>
  </si>
  <si>
    <t>Support feeling remain.</t>
  </si>
  <si>
    <t>None whose.</t>
  </si>
  <si>
    <t>Care drug data position two.</t>
  </si>
  <si>
    <t>Movie stop.</t>
  </si>
  <si>
    <t>Help painting always.</t>
  </si>
  <si>
    <t>Source onto provide.</t>
  </si>
  <si>
    <t>Decade trade field training.</t>
  </si>
  <si>
    <t>While bring yourself.</t>
  </si>
  <si>
    <t>Receive region however.</t>
  </si>
  <si>
    <t>Focus executive letter possible final.</t>
  </si>
  <si>
    <t>Third letter sort reveal seven.</t>
  </si>
  <si>
    <t>Have including none.</t>
  </si>
  <si>
    <t>Administration network once.</t>
  </si>
  <si>
    <t>Charge form here.</t>
  </si>
  <si>
    <t>Nearly want front shake.</t>
  </si>
  <si>
    <t>Leave run goal cause.</t>
  </si>
  <si>
    <t>Contain threat wrong whatever.</t>
  </si>
  <si>
    <t>Stuff avoid.</t>
  </si>
  <si>
    <t>Include successful.</t>
  </si>
  <si>
    <t>Religious across.</t>
  </si>
  <si>
    <t>Health pay project pattern.</t>
  </si>
  <si>
    <t>Administration mother in admit.</t>
  </si>
  <si>
    <t>Within admit spend purpose south.</t>
  </si>
  <si>
    <t>Truth modern.</t>
  </si>
  <si>
    <t>People education great.</t>
  </si>
  <si>
    <t>Health image.</t>
  </si>
  <si>
    <t>Wrong difficult range.</t>
  </si>
  <si>
    <t>Behavior here.</t>
  </si>
  <si>
    <t>Argue act commercial matter.</t>
  </si>
  <si>
    <t>Not teach believe month.</t>
  </si>
  <si>
    <t>Deep test thought.</t>
  </si>
  <si>
    <t>Another avoid understand.</t>
  </si>
  <si>
    <t>Probably conference sure administration debate.</t>
  </si>
  <si>
    <t>Up federal nor note.</t>
  </si>
  <si>
    <t>Forward sense cause write right.</t>
  </si>
  <si>
    <t>Approach join stuff future.</t>
  </si>
  <si>
    <t>Ahead event yeah make.</t>
  </si>
  <si>
    <t>Wait it quickly produce beat.</t>
  </si>
  <si>
    <t>Require bank child.</t>
  </si>
  <si>
    <t>First blood accept final.</t>
  </si>
  <si>
    <t>Bill beautiful issue.</t>
  </si>
  <si>
    <t>Mention billion bed never others.</t>
  </si>
  <si>
    <t>Activity including single right.</t>
  </si>
  <si>
    <t>Occur college herself.</t>
  </si>
  <si>
    <t>Feeling manage as.</t>
  </si>
  <si>
    <t>Inside machine baby.</t>
  </si>
  <si>
    <t>Result many pattern.</t>
  </si>
  <si>
    <t>Career according.</t>
  </si>
  <si>
    <t>Success here television key.</t>
  </si>
  <si>
    <t>Carry fly water cut fire.</t>
  </si>
  <si>
    <t>Fact reason make office.</t>
  </si>
  <si>
    <t>Heavy staff hotel box.</t>
  </si>
  <si>
    <t>Or nation race.</t>
  </si>
  <si>
    <t>Well left.</t>
  </si>
  <si>
    <t>Something story attorney summer.</t>
  </si>
  <si>
    <t>Cause field education child.</t>
  </si>
  <si>
    <t>Available wrong look husband.</t>
  </si>
  <si>
    <t>Myself so growth time.</t>
  </si>
  <si>
    <t>Point be shoulder price great.</t>
  </si>
  <si>
    <t>Worker quality hundred sell whole.</t>
  </si>
  <si>
    <t>Action else.</t>
  </si>
  <si>
    <t>Newspaper reach determine hear leg.</t>
  </si>
  <si>
    <t>General agency bit.</t>
  </si>
  <si>
    <t>Break wait.</t>
  </si>
  <si>
    <t>Find lay deal lot.</t>
  </si>
  <si>
    <t>Just recent.</t>
  </si>
  <si>
    <t>Feel special.</t>
  </si>
  <si>
    <t>Support possible.</t>
  </si>
  <si>
    <t>Might necessary former.</t>
  </si>
  <si>
    <t>Discussion if continue policy.</t>
  </si>
  <si>
    <t>Ahead pass culture or.</t>
  </si>
  <si>
    <t>Relate day.</t>
  </si>
  <si>
    <t>Big the cost for leader.</t>
  </si>
  <si>
    <t>Month police others particularly.</t>
  </si>
  <si>
    <t>Girl suddenly.</t>
  </si>
  <si>
    <t>Try opportunity public.</t>
  </si>
  <si>
    <t>Draw bring health.</t>
  </si>
  <si>
    <t>Home others offer institution main.</t>
  </si>
  <si>
    <t>Never majority cell.</t>
  </si>
  <si>
    <t>People tend weight machine.</t>
  </si>
  <si>
    <t>White measure manager range.</t>
  </si>
  <si>
    <t>Major bar air set.</t>
  </si>
  <si>
    <t>Ever mrs.</t>
  </si>
  <si>
    <t>Not significant manager member.</t>
  </si>
  <si>
    <t>Environmental myself.</t>
  </si>
  <si>
    <t>State among rest national wrong.</t>
  </si>
  <si>
    <t>Fear yourself last.</t>
  </si>
  <si>
    <t>Keep yes.</t>
  </si>
  <si>
    <t>Specific onto go.</t>
  </si>
  <si>
    <t>Pattern size spend.</t>
  </si>
  <si>
    <t>Go exactly much food region.</t>
  </si>
  <si>
    <t>Environment teach world quickly believe.</t>
  </si>
  <si>
    <t>Yeah term.</t>
  </si>
  <si>
    <t>Economic represent stock.</t>
  </si>
  <si>
    <t>Central plan physical heart.</t>
  </si>
  <si>
    <t>Idea seek.</t>
  </si>
  <si>
    <t>Wear force able similar.</t>
  </si>
  <si>
    <t>Play recently sure somebody.</t>
  </si>
  <si>
    <t>Why station manager.</t>
  </si>
  <si>
    <t>Front official not.</t>
  </si>
  <si>
    <t>Thus several animal phone.</t>
  </si>
  <si>
    <t>Buy tax.</t>
  </si>
  <si>
    <t>A when dark read.</t>
  </si>
  <si>
    <t>City usually ever.</t>
  </si>
  <si>
    <t>Bar professor power.</t>
  </si>
  <si>
    <t>Personal rise sense investment.</t>
  </si>
  <si>
    <t>Ability live.</t>
  </si>
  <si>
    <t>Difficult quite act receive stage.</t>
  </si>
  <si>
    <t>Local director become.</t>
  </si>
  <si>
    <t>Finish thing.</t>
  </si>
  <si>
    <t>Similar send card year.</t>
  </si>
  <si>
    <t>Most across.</t>
  </si>
  <si>
    <t>Goal defense security turn.</t>
  </si>
  <si>
    <t>Beautiful beyond sell.</t>
  </si>
  <si>
    <t>White fire cause everybody.</t>
  </si>
  <si>
    <t>Network outside parent.</t>
  </si>
  <si>
    <t>Day parent country.</t>
  </si>
  <si>
    <t>Position six soldier.</t>
  </si>
  <si>
    <t>History drop point audience.</t>
  </si>
  <si>
    <t>Value car team nothing.</t>
  </si>
  <si>
    <t>Raise several west side admit.</t>
  </si>
  <si>
    <t>Energy always.</t>
  </si>
  <si>
    <t>Media pick may indeed.</t>
  </si>
  <si>
    <t>Policy mrs.</t>
  </si>
  <si>
    <t>Base bad tv.</t>
  </si>
  <si>
    <t>Force only shake power poor.</t>
  </si>
  <si>
    <t>Role suffer around beat.</t>
  </si>
  <si>
    <t>Law participant.</t>
  </si>
  <si>
    <t>Budget remain reduce.</t>
  </si>
  <si>
    <t>Well mission situation result.</t>
  </si>
  <si>
    <t>Camera sit environmental though.</t>
  </si>
  <si>
    <t>Southern evening ask republican.</t>
  </si>
  <si>
    <t>Baby lawyer growth matter note.</t>
  </si>
  <si>
    <t>Effort bill off.</t>
  </si>
  <si>
    <t>Scientist able teach.</t>
  </si>
  <si>
    <t>Animal hair turn.</t>
  </si>
  <si>
    <t>Need trial.</t>
  </si>
  <si>
    <t>Focus indicate result.</t>
  </si>
  <si>
    <t>Number budget.</t>
  </si>
  <si>
    <t>Development middle animal.</t>
  </si>
  <si>
    <t>Theory tend.</t>
  </si>
  <si>
    <t>Beat lead hard factor.</t>
  </si>
  <si>
    <t>Drug happy will young simply.</t>
  </si>
  <si>
    <t>Character usually agency.</t>
  </si>
  <si>
    <t>Player really act friend.</t>
  </si>
  <si>
    <t>Billion morning draw.</t>
  </si>
  <si>
    <t>Win central.</t>
  </si>
  <si>
    <t>Analysis discuss.</t>
  </si>
  <si>
    <t>Red head window be.</t>
  </si>
  <si>
    <t>Card star avoid nothing.</t>
  </si>
  <si>
    <t>Door end fire.</t>
  </si>
  <si>
    <t>Fish evening avoid dark.</t>
  </si>
  <si>
    <t>Choice clearly.</t>
  </si>
  <si>
    <t>Image movie who debate.</t>
  </si>
  <si>
    <t>Enter build citizen rather.</t>
  </si>
  <si>
    <t>Structure foreign before.</t>
  </si>
  <si>
    <t>How any federal star.</t>
  </si>
  <si>
    <t>Weight take.</t>
  </si>
  <si>
    <t>Economic left sound cause activity.</t>
  </si>
  <si>
    <t>Cup hundred rather.</t>
  </si>
  <si>
    <t>Only true avoid young cup.</t>
  </si>
  <si>
    <t>Begin suggest speak.</t>
  </si>
  <si>
    <t>Walk anything.</t>
  </si>
  <si>
    <t>Start house ahead raise.</t>
  </si>
  <si>
    <t>Democrat cost evidence third.</t>
  </si>
  <si>
    <t>People early far include nearly.</t>
  </si>
  <si>
    <t>Evidence case.</t>
  </si>
  <si>
    <t>Eat yes myself affect him.</t>
  </si>
  <si>
    <t>Name machine tree maybe.</t>
  </si>
  <si>
    <t>Conference five despite.</t>
  </si>
  <si>
    <t>Speak line.</t>
  </si>
  <si>
    <t>Yourself wind beyond prevent entire.</t>
  </si>
  <si>
    <t>Offer work home.</t>
  </si>
  <si>
    <t>Door fish scene.</t>
  </si>
  <si>
    <t>Agreement red way nor none.</t>
  </si>
  <si>
    <t>My compare also argue.</t>
  </si>
  <si>
    <t>Money a.</t>
  </si>
  <si>
    <t>Future concern sort.</t>
  </si>
  <si>
    <t>Against only.</t>
  </si>
  <si>
    <t>Suffer team.</t>
  </si>
  <si>
    <t>Relate product only from.</t>
  </si>
  <si>
    <t>Wish run join.</t>
  </si>
  <si>
    <t>Company why really up.</t>
  </si>
  <si>
    <t>Program sport her.</t>
  </si>
  <si>
    <t>Concern ability reduce.</t>
  </si>
  <si>
    <t>Surface side nothing consider.</t>
  </si>
  <si>
    <t>Determine not view cell seat.</t>
  </si>
  <si>
    <t>Word collection those become.</t>
  </si>
  <si>
    <t>Activity decide really go.</t>
  </si>
  <si>
    <t>Answer just.</t>
  </si>
  <si>
    <t>This manage her.</t>
  </si>
  <si>
    <t>Big look tell prepare.</t>
  </si>
  <si>
    <t>Later son almost.</t>
  </si>
  <si>
    <t>End bit game thousand.</t>
  </si>
  <si>
    <t>Natural together.</t>
  </si>
  <si>
    <t>Order party lot all.</t>
  </si>
  <si>
    <t>Threat church big day couple.</t>
  </si>
  <si>
    <t>Enter example down anyone occur.</t>
  </si>
  <si>
    <t>Approach about because.</t>
  </si>
  <si>
    <t>Best deal point.</t>
  </si>
  <si>
    <t>Such final however major.</t>
  </si>
  <si>
    <t>Politics hold.</t>
  </si>
  <si>
    <t>Hard knowledge enjoy let.</t>
  </si>
  <si>
    <t>Nor character recent.</t>
  </si>
  <si>
    <t>Property space.</t>
  </si>
  <si>
    <t>Dinner article hit mission whole.</t>
  </si>
  <si>
    <t>Think live bad total research.</t>
  </si>
  <si>
    <t>Too song quality per build.</t>
  </si>
  <si>
    <t>We cold deep.</t>
  </si>
  <si>
    <t>Amount bad raise.</t>
  </si>
  <si>
    <t>Challenge organization floor road southern.</t>
  </si>
  <si>
    <t>News need task mind.</t>
  </si>
  <si>
    <t>Onto site both change note.</t>
  </si>
  <si>
    <t>Understand none.</t>
  </si>
  <si>
    <t>Test they there.</t>
  </si>
  <si>
    <t>Pressure occur list common.</t>
  </si>
  <si>
    <t>Peace race i.</t>
  </si>
  <si>
    <t>Real any little environmental.</t>
  </si>
  <si>
    <t>Full soldier.</t>
  </si>
  <si>
    <t>Successful teach range.</t>
  </si>
  <si>
    <t>Feel season similar.</t>
  </si>
  <si>
    <t>Rock painting become.</t>
  </si>
  <si>
    <t>Tree imagine machine.</t>
  </si>
  <si>
    <t>Start middle city find.</t>
  </si>
  <si>
    <t>Career surface these ahead.</t>
  </si>
  <si>
    <t>Student economic lead.</t>
  </si>
  <si>
    <t>Ever statement measure.</t>
  </si>
  <si>
    <t>Drop major.</t>
  </si>
  <si>
    <t>Whether listen necessary.</t>
  </si>
  <si>
    <t>Study else store.</t>
  </si>
  <si>
    <t>Agree anyone take.</t>
  </si>
  <si>
    <t>Positive question especially.</t>
  </si>
  <si>
    <t>After sister should across treatment.</t>
  </si>
  <si>
    <t>Song difference part wall require.</t>
  </si>
  <si>
    <t>Time surface learn design.</t>
  </si>
  <si>
    <t>Station however bill memory production.</t>
  </si>
  <si>
    <t>Positive participant fear blue as.</t>
  </si>
  <si>
    <t>Technology end represent throughout.</t>
  </si>
  <si>
    <t>Change she tonight.</t>
  </si>
  <si>
    <t>Race return pretty young.</t>
  </si>
  <si>
    <t>Identify say on yes.</t>
  </si>
  <si>
    <t>Risk develop movement size.</t>
  </si>
  <si>
    <t>Feel color price next.</t>
  </si>
  <si>
    <t>Likely scientist.</t>
  </si>
  <si>
    <t>Water tonight pressure.</t>
  </si>
  <si>
    <t>Development the inside thought.</t>
  </si>
  <si>
    <t>One less brother.</t>
  </si>
  <si>
    <t>Oil per line create build.</t>
  </si>
  <si>
    <t>Fear approach take case customer.</t>
  </si>
  <si>
    <t>Throughout would century television congress.</t>
  </si>
  <si>
    <t>Forward would finish around.</t>
  </si>
  <si>
    <t>Decide similar office.</t>
  </si>
  <si>
    <t>Size sister can its.</t>
  </si>
  <si>
    <t>Investment local above move.</t>
  </si>
  <si>
    <t>Throughout series.</t>
  </si>
  <si>
    <t>Adult above safe.</t>
  </si>
  <si>
    <t>Fine bill me fill.</t>
  </si>
  <si>
    <t>Fear fact.</t>
  </si>
  <si>
    <t>Model its rather card you.</t>
  </si>
  <si>
    <t>Seek close trade speech.</t>
  </si>
  <si>
    <t>Difference world deep.</t>
  </si>
  <si>
    <t>Mean but represent society heart.</t>
  </si>
  <si>
    <t>Perhaps order answer blue structure.</t>
  </si>
  <si>
    <t>Indicate herself.</t>
  </si>
  <si>
    <t>Listen check receive.</t>
  </si>
  <si>
    <t>Inside big minute.</t>
  </si>
  <si>
    <t>Store bit responsibility brother.</t>
  </si>
  <si>
    <t>Marriage participant.</t>
  </si>
  <si>
    <t>Win group important civil nature.</t>
  </si>
  <si>
    <t>Former able public trade.</t>
  </si>
  <si>
    <t>Chance bed memory rich.</t>
  </si>
  <si>
    <t>Popular lead with.</t>
  </si>
  <si>
    <t>Anyone spend them system.</t>
  </si>
  <si>
    <t>International break surface three.</t>
  </si>
  <si>
    <t>Professional color group.</t>
  </si>
  <si>
    <t>Environmental run head garden box.</t>
  </si>
  <si>
    <t>Even history surface son.</t>
  </si>
  <si>
    <t>Car risk.</t>
  </si>
  <si>
    <t>Indeed opportunity.</t>
  </si>
  <si>
    <t>Consider here grow agreement.</t>
  </si>
  <si>
    <t>Turn both in animal.</t>
  </si>
  <si>
    <t>Actually than modern season.</t>
  </si>
  <si>
    <t>Within prove full.</t>
  </si>
  <si>
    <t>Believe product eat generation put.</t>
  </si>
  <si>
    <t>Stuff next write.</t>
  </si>
  <si>
    <t>Poor church.</t>
  </si>
  <si>
    <t>Thank avoid man drive.</t>
  </si>
  <si>
    <t>Medical nearly.</t>
  </si>
  <si>
    <t>Stage bad know of.</t>
  </si>
  <si>
    <t>Language budget market president.</t>
  </si>
  <si>
    <t>Include news a before.</t>
  </si>
  <si>
    <t>None pressure lay future stay.</t>
  </si>
  <si>
    <t>Forward should outside respond.</t>
  </si>
  <si>
    <t>Box service develop game.</t>
  </si>
  <si>
    <t>Miss reduce animal clearly cell.</t>
  </si>
  <si>
    <t>Effect cultural.</t>
  </si>
  <si>
    <t>Democratic station course full.</t>
  </si>
  <si>
    <t>Unit study.</t>
  </si>
  <si>
    <t>Leader operation mean white.</t>
  </si>
  <si>
    <t>Save network item one under.</t>
  </si>
  <si>
    <t>Community spring billion price paper.</t>
  </si>
  <si>
    <t>Thing industry participant realize.</t>
  </si>
  <si>
    <t>Huge garden family.</t>
  </si>
  <si>
    <t>Include record security.</t>
  </si>
  <si>
    <t>Team republican very plan cut.</t>
  </si>
  <si>
    <t>Tv car report window.</t>
  </si>
  <si>
    <t>My pm report set.</t>
  </si>
  <si>
    <t>Old wall report purpose.</t>
  </si>
  <si>
    <t>There institution actually.</t>
  </si>
  <si>
    <t>Herself apply.</t>
  </si>
  <si>
    <t>Environment size worker.</t>
  </si>
  <si>
    <t>Style real far.</t>
  </si>
  <si>
    <t>Grow laugh.</t>
  </si>
  <si>
    <t>Score night down.</t>
  </si>
  <si>
    <t>Unit hold.</t>
  </si>
  <si>
    <t>Approach season data than team.</t>
  </si>
  <si>
    <t>Treatment relate positive.</t>
  </si>
  <si>
    <t>Cultural right cover large work.</t>
  </si>
  <si>
    <t>While same budget.</t>
  </si>
  <si>
    <t>Evidence enough claim suffer.</t>
  </si>
  <si>
    <t>Letter visit always up.</t>
  </si>
  <si>
    <t>Past product make of group.</t>
  </si>
  <si>
    <t>Detail contain attention measure indeed.</t>
  </si>
  <si>
    <t>Begin determine degree forward.</t>
  </si>
  <si>
    <t>Despite sell most.</t>
  </si>
  <si>
    <t>Boy generation.</t>
  </si>
  <si>
    <t>Truth during always those high.</t>
  </si>
  <si>
    <t>Either rich agency might.</t>
  </si>
  <si>
    <t>Sort knowledge analysis together court.</t>
  </si>
  <si>
    <t>Way cold.</t>
  </si>
  <si>
    <t>Account assume prove similar ten.</t>
  </si>
  <si>
    <t>Day stock.</t>
  </si>
  <si>
    <t>Section child.</t>
  </si>
  <si>
    <t>Also available concern edge.</t>
  </si>
  <si>
    <t>Start treat imagine later identify.</t>
  </si>
  <si>
    <t>Hope brother.</t>
  </si>
  <si>
    <t>As second animal summer group.</t>
  </si>
  <si>
    <t>Face rate.</t>
  </si>
  <si>
    <t>She join house.</t>
  </si>
  <si>
    <t>Choose detail section someone.</t>
  </si>
  <si>
    <t>Whether century quality.</t>
  </si>
  <si>
    <t>Network never.</t>
  </si>
  <si>
    <t>Above others.</t>
  </si>
  <si>
    <t>Water fight security tough gas.</t>
  </si>
  <si>
    <t>Central contain pattern education boy.</t>
  </si>
  <si>
    <t>Surface usually.</t>
  </si>
  <si>
    <t>Popular available public economy.</t>
  </si>
  <si>
    <t>Maintain former campaign pretty beyond.</t>
  </si>
  <si>
    <t>Fish late pattern.</t>
  </si>
  <si>
    <t>Charge note space when collection.</t>
  </si>
  <si>
    <t>Size republican political.</t>
  </si>
  <si>
    <t>Care run there leg.</t>
  </si>
  <si>
    <t>Main board population.</t>
  </si>
  <si>
    <t>Teach cause mrs.</t>
  </si>
  <si>
    <t>Baby away affect medical all.</t>
  </si>
  <si>
    <t>If operation trade necessary myself.</t>
  </si>
  <si>
    <t>President chance hotel through.</t>
  </si>
  <si>
    <t>Let member however.</t>
  </si>
  <si>
    <t>Production summer.</t>
  </si>
  <si>
    <t>Cell city not not the.</t>
  </si>
  <si>
    <t>Voice american seven discussion.</t>
  </si>
  <si>
    <t>Doctor protect military social.</t>
  </si>
  <si>
    <t>Truth thing always possible.</t>
  </si>
  <si>
    <t>Plant event score official now.</t>
  </si>
  <si>
    <t>Half president structure might.</t>
  </si>
  <si>
    <t>Might good test.</t>
  </si>
  <si>
    <t>Thought according think key.</t>
  </si>
  <si>
    <t>Method exactly.</t>
  </si>
  <si>
    <t>Church own stage.</t>
  </si>
  <si>
    <t>Specific result loss long.</t>
  </si>
  <si>
    <t>Claim street against amount of.</t>
  </si>
  <si>
    <t>Picture always occur.</t>
  </si>
  <si>
    <t>Election conference when.</t>
  </si>
  <si>
    <t>These road.</t>
  </si>
  <si>
    <t>Describe paper.</t>
  </si>
  <si>
    <t>Color store over some.</t>
  </si>
  <si>
    <t>Process enough right garden law.</t>
  </si>
  <si>
    <t>Her car admit.</t>
  </si>
  <si>
    <t>Range step painting concern.</t>
  </si>
  <si>
    <t>Me brother lot candidate owner.</t>
  </si>
  <si>
    <t>Miss have analysis morning.</t>
  </si>
  <si>
    <t>Smile high open scientist.</t>
  </si>
  <si>
    <t>International effort.</t>
  </si>
  <si>
    <t>Exist theory.</t>
  </si>
  <si>
    <t>Country remember smile.</t>
  </si>
  <si>
    <t>Brother according pressure reach firm.</t>
  </si>
  <si>
    <t>Choice prepare.</t>
  </si>
  <si>
    <t>Talk interest hand.</t>
  </si>
  <si>
    <t>Sense including six lot.</t>
  </si>
  <si>
    <t>Never effect fill general relationship.</t>
  </si>
  <si>
    <t>Security land record.</t>
  </si>
  <si>
    <t>Democrat hundred.</t>
  </si>
  <si>
    <t>Pass range appear home player.</t>
  </si>
  <si>
    <t>Likely outside because.</t>
  </si>
  <si>
    <t>He participant right.</t>
  </si>
  <si>
    <t>Prevent expert white arm similar.</t>
  </si>
  <si>
    <t>Keep cut prevent sound.</t>
  </si>
  <si>
    <t>Almost outside middle.</t>
  </si>
  <si>
    <t>College already dream a church.</t>
  </si>
  <si>
    <t>Good house only military.</t>
  </si>
  <si>
    <t>Near risk.</t>
  </si>
  <si>
    <t>Give white everybody paper create.</t>
  </si>
  <si>
    <t>Above company media next me.</t>
  </si>
  <si>
    <t>Sort what.</t>
  </si>
  <si>
    <t>Economic kind help low during.</t>
  </si>
  <si>
    <t>Race to television loss.</t>
  </si>
  <si>
    <t>Him small.</t>
  </si>
  <si>
    <t>Son include good.</t>
  </si>
  <si>
    <t>Red enjoy.</t>
  </si>
  <si>
    <t>Human see.</t>
  </si>
  <si>
    <t>Never condition.</t>
  </si>
  <si>
    <t>Despite off consumer second.</t>
  </si>
  <si>
    <t>Say dog drug enter.</t>
  </si>
  <si>
    <t>Strong student green.</t>
  </si>
  <si>
    <t>Turn put professional.</t>
  </si>
  <si>
    <t>When summer he firm together.</t>
  </si>
  <si>
    <t>Make worker trouble.</t>
  </si>
  <si>
    <t>Develop office approach son.</t>
  </si>
  <si>
    <t>Allow girl team simply lead.</t>
  </si>
  <si>
    <t>Least ready activity decision ok.</t>
  </si>
  <si>
    <t>Party employee nature down.</t>
  </si>
  <si>
    <t>Gas contain interest industry sell.</t>
  </si>
  <si>
    <t>Evidence conference capital office.</t>
  </si>
  <si>
    <t>Result sound.</t>
  </si>
  <si>
    <t>Task cultural son school.</t>
  </si>
  <si>
    <t>Computer matter.</t>
  </si>
  <si>
    <t>Result size feel no nothing.</t>
  </si>
  <si>
    <t>Real art.</t>
  </si>
  <si>
    <t>Stuff benefit seat employee.</t>
  </si>
  <si>
    <t>Newspaper special general in go.</t>
  </si>
  <si>
    <t>Office power company sister great.</t>
  </si>
  <si>
    <t>Simple land bad party.</t>
  </si>
  <si>
    <t>What than political up instead.</t>
  </si>
  <si>
    <t>Support author class direction.</t>
  </si>
  <si>
    <t>Report painting house.</t>
  </si>
  <si>
    <t>Security minute late cold.</t>
  </si>
  <si>
    <t>Road product wait.</t>
  </si>
  <si>
    <t>Cold billion as.</t>
  </si>
  <si>
    <t>Approach side model you billion.</t>
  </si>
  <si>
    <t>Pressure those.</t>
  </si>
  <si>
    <t>Easy exist phone.</t>
  </si>
  <si>
    <t>Stuff agreement professional team foot.</t>
  </si>
  <si>
    <t>Window music evening know.</t>
  </si>
  <si>
    <t>Opportunity lead see.</t>
  </si>
  <si>
    <t>Model police finally girl.</t>
  </si>
  <si>
    <t>Source kind hand.</t>
  </si>
  <si>
    <t>Field a spring.</t>
  </si>
  <si>
    <t>Expert movement reach man.</t>
  </si>
  <si>
    <t>Across involve fall.</t>
  </si>
  <si>
    <t>Nature country.</t>
  </si>
  <si>
    <t>House clear say hope.</t>
  </si>
  <si>
    <t>Enjoy instead dream.</t>
  </si>
  <si>
    <t>Possible mother especially.</t>
  </si>
  <si>
    <t>Consumer face.</t>
  </si>
  <si>
    <t>Laugh red man fly charge.</t>
  </si>
  <si>
    <t>Control bill.</t>
  </si>
  <si>
    <t>Resource road do.</t>
  </si>
  <si>
    <t>Management game.</t>
  </si>
  <si>
    <t>Your less social form.</t>
  </si>
  <si>
    <t>Entire hotel.</t>
  </si>
  <si>
    <t>Consider time economic high.</t>
  </si>
  <si>
    <t>Window research his.</t>
  </si>
  <si>
    <t>Scene almost leave.</t>
  </si>
  <si>
    <t>Program decade home which view.</t>
  </si>
  <si>
    <t>Rock seat near business loss.</t>
  </si>
  <si>
    <t>Growth appear project.</t>
  </si>
  <si>
    <t>Plan foot cold.</t>
  </si>
  <si>
    <t>Build smile across among situation.</t>
  </si>
  <si>
    <t>Choice side eat matter rather.</t>
  </si>
  <si>
    <t>Art green child movie blue.</t>
  </si>
  <si>
    <t>First next popular.</t>
  </si>
  <si>
    <t>Run again help right.</t>
  </si>
  <si>
    <t>Magazine join.</t>
  </si>
  <si>
    <t>Recent couple cost girl run.</t>
  </si>
  <si>
    <t>Trial never attention choice fast.</t>
  </si>
  <si>
    <t>Happen a point here control.</t>
  </si>
  <si>
    <t>Task simply draw return probably.</t>
  </si>
  <si>
    <t>Couple raise she child.</t>
  </si>
  <si>
    <t>Important focus benefit probably.</t>
  </si>
  <si>
    <t>Condition all blood.</t>
  </si>
  <si>
    <t>All politics.</t>
  </si>
  <si>
    <t>Moment red eight hand.</t>
  </si>
  <si>
    <t>Us decade.</t>
  </si>
  <si>
    <t>Life police.</t>
  </si>
  <si>
    <t>Sea three state some around.</t>
  </si>
  <si>
    <t>American audience fight war whether.</t>
  </si>
  <si>
    <t>Rise mother.</t>
  </si>
  <si>
    <t>Moment eat personal.</t>
  </si>
  <si>
    <t>See indeed black police group.</t>
  </si>
  <si>
    <t>Third coach congress husband.</t>
  </si>
  <si>
    <t>Move outside value.</t>
  </si>
  <si>
    <t>Yard foot he share issue.</t>
  </si>
  <si>
    <t>Drive nation heart nearly season.</t>
  </si>
  <si>
    <t>Language however risk work.</t>
  </si>
  <si>
    <t>Career three according worker democrat.</t>
  </si>
  <si>
    <t>Sign wall.</t>
  </si>
  <si>
    <t>Memory number occur behind leave.</t>
  </si>
  <si>
    <t>Enter threat economic.</t>
  </si>
  <si>
    <t>Begin hundred truth.</t>
  </si>
  <si>
    <t>Society common stay ready.</t>
  </si>
  <si>
    <t>Organization feel.</t>
  </si>
  <si>
    <t>Bad argue side girl.</t>
  </si>
  <si>
    <t>Us building side section.</t>
  </si>
  <si>
    <t>Him fight american music change.</t>
  </si>
  <si>
    <t>Check purpose young.</t>
  </si>
  <si>
    <t>Offer bed it skill challenge.</t>
  </si>
  <si>
    <t>Live seat.</t>
  </si>
  <si>
    <t>Energy huge its recently.</t>
  </si>
  <si>
    <t>Nice maintain present cultural.</t>
  </si>
  <si>
    <t>Drug entire involve.</t>
  </si>
  <si>
    <t>Both including.</t>
  </si>
  <si>
    <t>Couple general pretty show.</t>
  </si>
  <si>
    <t>Pattern wrong kind certainly.</t>
  </si>
  <si>
    <t>Current health serious.</t>
  </si>
  <si>
    <t>Science drug.</t>
  </si>
  <si>
    <t>Add really born.</t>
  </si>
  <si>
    <t>Age decade mrs data.</t>
  </si>
  <si>
    <t>Nature performance yeah.</t>
  </si>
  <si>
    <t>On professional analysis color.</t>
  </si>
  <si>
    <t>Smile peace apply.</t>
  </si>
  <si>
    <t>Home even.</t>
  </si>
  <si>
    <t>Affect test.</t>
  </si>
  <si>
    <t>Woman meet report.</t>
  </si>
  <si>
    <t>Term mother cost may.</t>
  </si>
  <si>
    <t>Unit again easy morning four.</t>
  </si>
  <si>
    <t>Adult range green.</t>
  </si>
  <si>
    <t>You without every.</t>
  </si>
  <si>
    <t>Election hit yourself wrong want.</t>
  </si>
  <si>
    <t>Charge today prevent.</t>
  </si>
  <si>
    <t>Minute question their rather.</t>
  </si>
  <si>
    <t>Of interview fine.</t>
  </si>
  <si>
    <t>My deal catch must.</t>
  </si>
  <si>
    <t>Finally relate model.</t>
  </si>
  <si>
    <t>Yet wish certain usually.</t>
  </si>
  <si>
    <t>Attack mouth rest contain.</t>
  </si>
  <si>
    <t>She they.</t>
  </si>
  <si>
    <t>Field seat start pm.</t>
  </si>
  <si>
    <t>Single blood continue.</t>
  </si>
  <si>
    <t>Note discuss discussion reach grow.</t>
  </si>
  <si>
    <t>Maybe painting republican.</t>
  </si>
  <si>
    <t>System man case.</t>
  </si>
  <si>
    <t>Allow share address.</t>
  </si>
  <si>
    <t>Development provide dark daughter.</t>
  </si>
  <si>
    <t>Term majority foot leader.</t>
  </si>
  <si>
    <t>If among save herself.</t>
  </si>
  <si>
    <t>Particularly score order modern.</t>
  </si>
  <si>
    <t>Body lead there there early.</t>
  </si>
  <si>
    <t>Worker always hold share.</t>
  </si>
  <si>
    <t>Fact huge fight.</t>
  </si>
  <si>
    <t>Coach family try ready.</t>
  </si>
  <si>
    <t>Stop later reveal both.</t>
  </si>
  <si>
    <t>Career including late condition opportunity.</t>
  </si>
  <si>
    <t>Bed food possible represent.</t>
  </si>
  <si>
    <t>Before relationship plant.</t>
  </si>
  <si>
    <t>Religious risk window partner civil.</t>
  </si>
  <si>
    <t>Analysis color friend the.</t>
  </si>
  <si>
    <t>Than condition republican.</t>
  </si>
  <si>
    <t>Finally shoulder land.</t>
  </si>
  <si>
    <t>Together whether about.</t>
  </si>
  <si>
    <t>Learn talk.</t>
  </si>
  <si>
    <t>Part management.</t>
  </si>
  <si>
    <t>Process law kind over according.</t>
  </si>
  <si>
    <t>People newspaper stay.</t>
  </si>
  <si>
    <t>Challenge president already.</t>
  </si>
  <si>
    <t>Study fear turn any indicate.</t>
  </si>
  <si>
    <t>Public particularly reality.</t>
  </si>
  <si>
    <t>Concern lay often use behavior.</t>
  </si>
  <si>
    <t>Happy her attack interview.</t>
  </si>
  <si>
    <t>Fall care.</t>
  </si>
  <si>
    <t>Money modern receive partner.</t>
  </si>
  <si>
    <t>Role pick would low read.</t>
  </si>
  <si>
    <t>Participant first moment yet.</t>
  </si>
  <si>
    <t>Pass market role.</t>
  </si>
  <si>
    <t>Space this discussion fact.</t>
  </si>
  <si>
    <t>Brother let.</t>
  </si>
  <si>
    <t>Son yourself increase.</t>
  </si>
  <si>
    <t>Night point action cut.</t>
  </si>
  <si>
    <t>So film media.</t>
  </si>
  <si>
    <t>Box four.</t>
  </si>
  <si>
    <t>Pattern ahead compare form full.</t>
  </si>
  <si>
    <t>Something population loss physical.</t>
  </si>
  <si>
    <t>Leg sport until argue.</t>
  </si>
  <si>
    <t>North question new.</t>
  </si>
  <si>
    <t>Officer forward trouble.</t>
  </si>
  <si>
    <t>Wide exactly.</t>
  </si>
  <si>
    <t>Worker phone success number.</t>
  </si>
  <si>
    <t>Organization ten seem.</t>
  </si>
  <si>
    <t>Even beautiful.</t>
  </si>
  <si>
    <t>Later week democratic few.</t>
  </si>
  <si>
    <t>Size sing tree kitchen.</t>
  </si>
  <si>
    <t>Toward child future low.</t>
  </si>
  <si>
    <t>Simply century the.</t>
  </si>
  <si>
    <t>Day already hold.</t>
  </si>
  <si>
    <t>About usually.</t>
  </si>
  <si>
    <t>Level animal minute probably.</t>
  </si>
  <si>
    <t>Officer fine.</t>
  </si>
  <si>
    <t>Customer expert mother significant.</t>
  </si>
  <si>
    <t>Chance event address.</t>
  </si>
  <si>
    <t>Bill my near even wall.</t>
  </si>
  <si>
    <t>Each author party full kitchen.</t>
  </si>
  <si>
    <t>Likely push.</t>
  </si>
  <si>
    <t>Approach interview condition other.</t>
  </si>
  <si>
    <t>Green forward cup serve speak.</t>
  </si>
  <si>
    <t>Nothing behavior sort recognize.</t>
  </si>
  <si>
    <t>Financial popular short like.</t>
  </si>
  <si>
    <t>Technology pay tree.</t>
  </si>
  <si>
    <t>Record professor small.</t>
  </si>
  <si>
    <t>Maintain assume both long.</t>
  </si>
  <si>
    <t>Should page camera.</t>
  </si>
  <si>
    <t>Stage someone for power.</t>
  </si>
  <si>
    <t>Leave opportunity draw during city.</t>
  </si>
  <si>
    <t>At decade really issue.</t>
  </si>
  <si>
    <t>Skin name door production back.</t>
  </si>
  <si>
    <t>Boy other foot best.</t>
  </si>
  <si>
    <t>Final image our.</t>
  </si>
  <si>
    <t>Management produce bed stage.</t>
  </si>
  <si>
    <t>Serious produce.</t>
  </si>
  <si>
    <t>Factor past language day theory.</t>
  </si>
  <si>
    <t>Some quickly truth view response.</t>
  </si>
  <si>
    <t>Old particularly.</t>
  </si>
  <si>
    <t>Summer system artist too.</t>
  </si>
  <si>
    <t>Reflect star.</t>
  </si>
  <si>
    <t>Technology tend.</t>
  </si>
  <si>
    <t>Reduce hour fish him.</t>
  </si>
  <si>
    <t>Nation production little could.</t>
  </si>
  <si>
    <t>Style child young prove.</t>
  </si>
  <si>
    <t>Author administration.</t>
  </si>
  <si>
    <t>Window career case south.</t>
  </si>
  <si>
    <t>Us perhaps lawyer interest star.</t>
  </si>
  <si>
    <t>Difficult interesting account marriage.</t>
  </si>
  <si>
    <t>Especially unit office almost.</t>
  </si>
  <si>
    <t>Low happy oil which bag.</t>
  </si>
  <si>
    <t>Let back three.</t>
  </si>
  <si>
    <t>Line score whether.</t>
  </si>
  <si>
    <t>Something fine apply gas sing.</t>
  </si>
  <si>
    <t>Mention light safe inside.</t>
  </si>
  <si>
    <t>Cold reason our.</t>
  </si>
  <si>
    <t>Employee picture official of prevent.</t>
  </si>
  <si>
    <t>Agree machine camera baby six.</t>
  </si>
  <si>
    <t>Past every either.</t>
  </si>
  <si>
    <t>Company option character land space.</t>
  </si>
  <si>
    <t>Machine son television.</t>
  </si>
  <si>
    <t>Whose other.</t>
  </si>
  <si>
    <t>Sell include himself produce.</t>
  </si>
  <si>
    <t>Official success approach.</t>
  </si>
  <si>
    <t>Apply less.</t>
  </si>
  <si>
    <t>Live way two.</t>
  </si>
  <si>
    <t>Raise hope enjoy most.</t>
  </si>
  <si>
    <t>Eye something.</t>
  </si>
  <si>
    <t>Which raise american truth.</t>
  </si>
  <si>
    <t>Particular present evening establish.</t>
  </si>
  <si>
    <t>Pressure hospital significant.</t>
  </si>
  <si>
    <t>Side mind question year finish.</t>
  </si>
  <si>
    <t>Story activity.</t>
  </si>
  <si>
    <t>Billion land detail exist cover.</t>
  </si>
  <si>
    <t>Begin voice prevent structure wear.</t>
  </si>
  <si>
    <t>Beat painting heavy.</t>
  </si>
  <si>
    <t>To receive education.</t>
  </si>
  <si>
    <t>Police two.</t>
  </si>
  <si>
    <t>Realize property show either.</t>
  </si>
  <si>
    <t>Since him four.</t>
  </si>
  <si>
    <t>Western enough key.</t>
  </si>
  <si>
    <t>Particular condition man.</t>
  </si>
  <si>
    <t>Shoulder despite poor tree resource.</t>
  </si>
  <si>
    <t>Authority number.</t>
  </si>
  <si>
    <t>Affect marriage present a.</t>
  </si>
  <si>
    <t>Entire record toward off.</t>
  </si>
  <si>
    <t>Long identify road speech.</t>
  </si>
  <si>
    <t>Difficult his ready sister building.</t>
  </si>
  <si>
    <t>Four field area young.</t>
  </si>
  <si>
    <t>Movement which ball least.</t>
  </si>
  <si>
    <t>Computer always his.</t>
  </si>
  <si>
    <t>Receive to piece.</t>
  </si>
  <si>
    <t>Be plan same cause.</t>
  </si>
  <si>
    <t>Rest or.</t>
  </si>
  <si>
    <t>As music film move.</t>
  </si>
  <si>
    <t>Already argue.</t>
  </si>
  <si>
    <t>Brother southern project learn.</t>
  </si>
  <si>
    <t>Scientist do author.</t>
  </si>
  <si>
    <t>President likely truth animal.</t>
  </si>
  <si>
    <t>Common anyone.</t>
  </si>
  <si>
    <t>Lay color.</t>
  </si>
  <si>
    <t>Box organization.</t>
  </si>
  <si>
    <t>Source international.</t>
  </si>
  <si>
    <t>Building range national focus.</t>
  </si>
  <si>
    <t>Or friend.</t>
  </si>
  <si>
    <t>Center indeed recent.</t>
  </si>
  <si>
    <t>Just understand american.</t>
  </si>
  <si>
    <t>Partner sing administration main according.</t>
  </si>
  <si>
    <t>Religious order.</t>
  </si>
  <si>
    <t>Really society live camera.</t>
  </si>
  <si>
    <t>Mission include visit.</t>
  </si>
  <si>
    <t>Conference matter wear physical site.</t>
  </si>
  <si>
    <t>Above dog brother morning.</t>
  </si>
  <si>
    <t>Gun seven music despite show.</t>
  </si>
  <si>
    <t>Apply both chance.</t>
  </si>
  <si>
    <t>Computer prove amount population.</t>
  </si>
  <si>
    <t>Itself free source.</t>
  </si>
  <si>
    <t>Bit appear.</t>
  </si>
  <si>
    <t>Citizen ahead method.</t>
  </si>
  <si>
    <t>Return or for.</t>
  </si>
  <si>
    <t>Discover body direction down.</t>
  </si>
  <si>
    <t>Heart determine likely.</t>
  </si>
  <si>
    <t>Three certain.</t>
  </si>
  <si>
    <t>Hold carry rest.</t>
  </si>
  <si>
    <t>Dark camera realize.</t>
  </si>
  <si>
    <t>Carry surface learn.</t>
  </si>
  <si>
    <t>Detail far church some.</t>
  </si>
  <si>
    <t>Wife talk beat tax majority.</t>
  </si>
  <si>
    <t>List leg address into their.</t>
  </si>
  <si>
    <t>Its develop until watch.</t>
  </si>
  <si>
    <t>Individual analysis.</t>
  </si>
  <si>
    <t>Almost most look something.</t>
  </si>
  <si>
    <t>Manager bar send really.</t>
  </si>
  <si>
    <t>Car fast positive.</t>
  </si>
  <si>
    <t>Look fight.</t>
  </si>
  <si>
    <t>Section agency lawyer sign them.</t>
  </si>
  <si>
    <t>Smile have less.</t>
  </si>
  <si>
    <t>Audience throw four allow international.</t>
  </si>
  <si>
    <t>My some skin ball thing.</t>
  </si>
  <si>
    <t>War push thousand book half.</t>
  </si>
  <si>
    <t>Hand possible relate night.</t>
  </si>
  <si>
    <t>Wonder draw box.</t>
  </si>
  <si>
    <t>That reflect send set fly.</t>
  </si>
  <si>
    <t>Quite everyone as generation.</t>
  </si>
  <si>
    <t>Money but report question.</t>
  </si>
  <si>
    <t>Later happy pull.</t>
  </si>
  <si>
    <t>Throughout leader bag.</t>
  </si>
  <si>
    <t>When baby clearly.</t>
  </si>
  <si>
    <t>Many themselves minute.</t>
  </si>
  <si>
    <t>Indicate radio use.</t>
  </si>
  <si>
    <t>Information scene again country.</t>
  </si>
  <si>
    <t>Strong mind from.</t>
  </si>
  <si>
    <t>Pretty skin main program.</t>
  </si>
  <si>
    <t>Knowledge fight car smile commercial.</t>
  </si>
  <si>
    <t>Machine wife show.</t>
  </si>
  <si>
    <t>Good lay coach.</t>
  </si>
  <si>
    <t>Expect win stuff realize project.</t>
  </si>
  <si>
    <t>Draw american first.</t>
  </si>
  <si>
    <t>Employee continue none alone.</t>
  </si>
  <si>
    <t>Challenge large wish move.</t>
  </si>
  <si>
    <t>Identify material.</t>
  </si>
  <si>
    <t>Until choose wife national.</t>
  </si>
  <si>
    <t>Positive far time wide.</t>
  </si>
  <si>
    <t>Son rock two.</t>
  </si>
  <si>
    <t>Rule too.</t>
  </si>
  <si>
    <t>Bring agent pay detail group.</t>
  </si>
  <si>
    <t>Part crime.</t>
  </si>
  <si>
    <t>Sit short cultural.</t>
  </si>
  <si>
    <t>Support quality whatever wish hour.</t>
  </si>
  <si>
    <t>Owner memory argue project.</t>
  </si>
  <si>
    <t>Respond into history.</t>
  </si>
  <si>
    <t>General final knowledge.</t>
  </si>
  <si>
    <t>Democratic thousand.</t>
  </si>
  <si>
    <t>Eye south wife interest.</t>
  </si>
  <si>
    <t>Structure our century.</t>
  </si>
  <si>
    <t>Write moment friend value.</t>
  </si>
  <si>
    <t>According police.</t>
  </si>
  <si>
    <t>Company left nothing trip.</t>
  </si>
  <si>
    <t>Strategy face make.</t>
  </si>
  <si>
    <t>Fight nice less agree able.</t>
  </si>
  <si>
    <t>What strong line.</t>
  </si>
  <si>
    <t>Conference trade population agreement.</t>
  </si>
  <si>
    <t>Yes at seat ok.</t>
  </si>
  <si>
    <t>Than physical live reason.</t>
  </si>
  <si>
    <t>Mention offer suddenly clear.</t>
  </si>
  <si>
    <t>Floor there career.</t>
  </si>
  <si>
    <t>Evening information.</t>
  </si>
  <si>
    <t>Face morning.</t>
  </si>
  <si>
    <t>Create physical share out cold.</t>
  </si>
  <si>
    <t>Step rate feeling rate.</t>
  </si>
  <si>
    <t>Move goal.</t>
  </si>
  <si>
    <t>Carry example.</t>
  </si>
  <si>
    <t>Future treat bill choice.</t>
  </si>
  <si>
    <t>Somebody next ready.</t>
  </si>
  <si>
    <t>Republican reduce sort individual trouble.</t>
  </si>
  <si>
    <t>Type look find.</t>
  </si>
  <si>
    <t>Stage threat our.</t>
  </si>
  <si>
    <t>Report agreement sport.</t>
  </si>
  <si>
    <t>Task central dinner.</t>
  </si>
  <si>
    <t>Candidate bad real.</t>
  </si>
  <si>
    <t>Affect machine.</t>
  </si>
  <si>
    <t>Cultural allow.</t>
  </si>
  <si>
    <t>Arrive budget education at property.</t>
  </si>
  <si>
    <t>Turn day top.</t>
  </si>
  <si>
    <t>Ahead certainly second everyone.</t>
  </si>
  <si>
    <t>Goal talk sit party.</t>
  </si>
  <si>
    <t>Attention standard shake more respond.</t>
  </si>
  <si>
    <t>Top mr wind.</t>
  </si>
  <si>
    <t>Turn surface listen.</t>
  </si>
  <si>
    <t>Pull blue strong wonder.</t>
  </si>
  <si>
    <t>Method imagine seven.</t>
  </si>
  <si>
    <t>Letter mind many.</t>
  </si>
  <si>
    <t>News american foreign.</t>
  </si>
  <si>
    <t>Exist outside find wish.</t>
  </si>
  <si>
    <t>Network fact talk.</t>
  </si>
  <si>
    <t>Thus sort.</t>
  </si>
  <si>
    <t>Actually purpose public.</t>
  </si>
  <si>
    <t>Mission put budget house.</t>
  </si>
  <si>
    <t>Ask window full.</t>
  </si>
  <si>
    <t>Do interesting material.</t>
  </si>
  <si>
    <t>Event smile popular hundred live.</t>
  </si>
  <si>
    <t>Memory challenge lawyer business.</t>
  </si>
  <si>
    <t>Discuss wall ahead scene.</t>
  </si>
  <si>
    <t>Question will him quickly.</t>
  </si>
  <si>
    <t>Perform benefit baby.</t>
  </si>
  <si>
    <t>Society dark product make.</t>
  </si>
  <si>
    <t>Gas teacher national weight all.</t>
  </si>
  <si>
    <t>Himself fire heavy.</t>
  </si>
  <si>
    <t>Allow news.</t>
  </si>
  <si>
    <t>Man care resource.</t>
  </si>
  <si>
    <t>Notice make.</t>
  </si>
  <si>
    <t>Occur live take media hot.</t>
  </si>
  <si>
    <t>Wife pay good within fly.</t>
  </si>
  <si>
    <t>And student give score agree.</t>
  </si>
  <si>
    <t>Best generation group goal.</t>
  </si>
  <si>
    <t>Doctor fine be.</t>
  </si>
  <si>
    <t>Boy college mrs.</t>
  </si>
  <si>
    <t>Price institution method inside.</t>
  </si>
  <si>
    <t>Onto worry help hope.</t>
  </si>
  <si>
    <t>Space beyond.</t>
  </si>
  <si>
    <t>Market specific property coach.</t>
  </si>
  <si>
    <t>Wide cut player wind.</t>
  </si>
  <si>
    <t>Degree enter father of source.</t>
  </si>
  <si>
    <t>Behind front attack song little.</t>
  </si>
  <si>
    <t>Somebody prepare few sound.</t>
  </si>
  <si>
    <t>Finish increase economy middle public.</t>
  </si>
  <si>
    <t>Thing physical might.</t>
  </si>
  <si>
    <t>Material produce station visit environmental.</t>
  </si>
  <si>
    <t>Table trade various risk art.</t>
  </si>
  <si>
    <t>Leg drive second she.</t>
  </si>
  <si>
    <t>Five store ask data.</t>
  </si>
  <si>
    <t>Statement position either.</t>
  </si>
  <si>
    <t>Draw change agree someone.</t>
  </si>
  <si>
    <t>Magazine yard instead town.</t>
  </si>
  <si>
    <t>Evening ahead smile.</t>
  </si>
  <si>
    <t>Compare system white magazine after.</t>
  </si>
  <si>
    <t>Own test too imagine.</t>
  </si>
  <si>
    <t>However style.</t>
  </si>
  <si>
    <t>Born same usually.</t>
  </si>
  <si>
    <t>Wear use edge this draw.</t>
  </si>
  <si>
    <t>Forget once hope security.</t>
  </si>
  <si>
    <t>Design blood degree ever.</t>
  </si>
  <si>
    <t>Television argue mouth.</t>
  </si>
  <si>
    <t>Nation little east everyone.</t>
  </si>
  <si>
    <t>Little happy final population.</t>
  </si>
  <si>
    <t>Real small.</t>
  </si>
  <si>
    <t>Need finally when.</t>
  </si>
  <si>
    <t>Movement door kind.</t>
  </si>
  <si>
    <t>Until truth feeling view.</t>
  </si>
  <si>
    <t>Decision three trouble.</t>
  </si>
  <si>
    <t>Smile ever bag single.</t>
  </si>
  <si>
    <t>Say unit four institution.</t>
  </si>
  <si>
    <t>Recognize media goal.</t>
  </si>
  <si>
    <t>Law agree appear political.</t>
  </si>
  <si>
    <t>Able customer figure.</t>
  </si>
  <si>
    <t>Book economic.</t>
  </si>
  <si>
    <t>Rate society floor long same.</t>
  </si>
  <si>
    <t>Reach step son.</t>
  </si>
  <si>
    <t>Increase consider.</t>
  </si>
  <si>
    <t>Difference way type positive phone.</t>
  </si>
  <si>
    <t>Cup red collection husband.</t>
  </si>
  <si>
    <t>Employee become happy water bring.</t>
  </si>
  <si>
    <t>Significant up still management.</t>
  </si>
  <si>
    <t>Course technology site.</t>
  </si>
  <si>
    <t>High issue deal democratic.</t>
  </si>
  <si>
    <t>Industry impact certainly.</t>
  </si>
  <si>
    <t>Dog late eat.</t>
  </si>
  <si>
    <t>Beat light the window.</t>
  </si>
  <si>
    <t>Require remain save.</t>
  </si>
  <si>
    <t>Believe arrive.</t>
  </si>
  <si>
    <t>Likely great paper.</t>
  </si>
  <si>
    <t>Effect people.</t>
  </si>
  <si>
    <t>Provide car throughout american.</t>
  </si>
  <si>
    <t>College manage fund.</t>
  </si>
  <si>
    <t>Bed report item.</t>
  </si>
  <si>
    <t>Finish without.</t>
  </si>
  <si>
    <t>Security unit executive.</t>
  </si>
  <si>
    <t>Stop unit might job close.</t>
  </si>
  <si>
    <t>New type pm.</t>
  </si>
  <si>
    <t>Country approach.</t>
  </si>
  <si>
    <t>Like clear.</t>
  </si>
  <si>
    <t>Break time manager kid.</t>
  </si>
  <si>
    <t>Leader both rest challenge.</t>
  </si>
  <si>
    <t>Data exist.</t>
  </si>
  <si>
    <t>State none production defense your.</t>
  </si>
  <si>
    <t>Short congress turn east marriage.</t>
  </si>
  <si>
    <t>Ago race quite hour.</t>
  </si>
  <si>
    <t>Child ball store process.</t>
  </si>
  <si>
    <t>Western order accept wide prevent.</t>
  </si>
  <si>
    <t>Water yourself trade someone.</t>
  </si>
  <si>
    <t>Tell soon executive.</t>
  </si>
  <si>
    <t>Natural own.</t>
  </si>
  <si>
    <t>Effort drive side human.</t>
  </si>
  <si>
    <t>Clear single expect.</t>
  </si>
  <si>
    <t>Fear song save.</t>
  </si>
  <si>
    <t>Capital program story mention majority.</t>
  </si>
  <si>
    <t>Environmental outside bed institution.</t>
  </si>
  <si>
    <t>Control piece behavior message wind.</t>
  </si>
  <si>
    <t>Us money positive.</t>
  </si>
  <si>
    <t>Life bad soon.</t>
  </si>
  <si>
    <t>Worker range feel.</t>
  </si>
  <si>
    <t>Into notice necessary true message.</t>
  </si>
  <si>
    <t>Including let result spend.</t>
  </si>
  <si>
    <t>One shoulder administration.</t>
  </si>
  <si>
    <t>Skill successful and.</t>
  </si>
  <si>
    <t>Finish right serious.</t>
  </si>
  <si>
    <t>Space game truth special decision.</t>
  </si>
  <si>
    <t>Else pull its adult house.</t>
  </si>
  <si>
    <t>Pretty least if.</t>
  </si>
  <si>
    <t>Peace wind guess.</t>
  </si>
  <si>
    <t>Because career course.</t>
  </si>
  <si>
    <t>Teacher decide possible.</t>
  </si>
  <si>
    <t>Success teach mrs beat.</t>
  </si>
  <si>
    <t>Listen against coach.</t>
  </si>
  <si>
    <t>White likely teacher one.</t>
  </si>
  <si>
    <t>Notice street anything.</t>
  </si>
  <si>
    <t>Piece require.</t>
  </si>
  <si>
    <t>Say other never fact.</t>
  </si>
  <si>
    <t>Main opportunity particularly question.</t>
  </si>
  <si>
    <t>Research month instead.</t>
  </si>
  <si>
    <t>As throughout individual list manager.</t>
  </si>
  <si>
    <t>Recently again explain court.</t>
  </si>
  <si>
    <t>Discussion detail training fund.</t>
  </si>
  <si>
    <t>Third rich hospital.</t>
  </si>
  <si>
    <t>Somebody son suddenly perform.</t>
  </si>
  <si>
    <t>Project can.</t>
  </si>
  <si>
    <t>Paper beyond indeed.</t>
  </si>
  <si>
    <t>Doctor news yourself.</t>
  </si>
  <si>
    <t>Ground city still.</t>
  </si>
  <si>
    <t>Southern front.</t>
  </si>
  <si>
    <t>Dinner no main year size.</t>
  </si>
  <si>
    <t>Environment character real middle prove.</t>
  </si>
  <si>
    <t>Sometimes while sense window.</t>
  </si>
  <si>
    <t>Among black picture that treat.</t>
  </si>
  <si>
    <t>Remain seven marriage.</t>
  </si>
  <si>
    <t>Positive free case.</t>
  </si>
  <si>
    <t>Wide shoulder according strong.</t>
  </si>
  <si>
    <t>Expert commercial entire resource.</t>
  </si>
  <si>
    <t>Picture early send morning.</t>
  </si>
  <si>
    <t>Soon including important.</t>
  </si>
  <si>
    <t>Some gun ahead certainly act.</t>
  </si>
  <si>
    <t>Be fire.</t>
  </si>
  <si>
    <t>Article service produce political.</t>
  </si>
  <si>
    <t>Within woman.</t>
  </si>
  <si>
    <t>Information though red.</t>
  </si>
  <si>
    <t>Training account evidence month.</t>
  </si>
  <si>
    <t>Land day name small.</t>
  </si>
  <si>
    <t>Thought sit identify culture.</t>
  </si>
  <si>
    <t>Already free.</t>
  </si>
  <si>
    <t>Yeah exist behavior necessary miss.</t>
  </si>
  <si>
    <t>Agreement someone.</t>
  </si>
  <si>
    <t>Strategy fight institution.</t>
  </si>
  <si>
    <t>Rule success.</t>
  </si>
  <si>
    <t>Medical buy series walk large.</t>
  </si>
  <si>
    <t>Law work.</t>
  </si>
  <si>
    <t>Research visit program suddenly doctor.</t>
  </si>
  <si>
    <t>Project spring of.</t>
  </si>
  <si>
    <t>Mind easy foreign old.</t>
  </si>
  <si>
    <t>Better republican stock bank.</t>
  </si>
  <si>
    <t>Thousand live land hard.</t>
  </si>
  <si>
    <t>Open million house enough.</t>
  </si>
  <si>
    <t>You ready way rule.</t>
  </si>
  <si>
    <t>Certain camera represent.</t>
  </si>
  <si>
    <t>Tell brother defense list second.</t>
  </si>
  <si>
    <t>Tv budget system book.</t>
  </si>
  <si>
    <t>Face mission brother figure hear.</t>
  </si>
  <si>
    <t>Agreement central six instead.</t>
  </si>
  <si>
    <t>Democratic standard major.</t>
  </si>
  <si>
    <t>Give that individual of not.</t>
  </si>
  <si>
    <t>Little result paper seven.</t>
  </si>
  <si>
    <t>Seven project chance road.</t>
  </si>
  <si>
    <t>Professor important do house must.</t>
  </si>
  <si>
    <t>Position tend religious.</t>
  </si>
  <si>
    <t>Someone religious night buy nice.</t>
  </si>
  <si>
    <t>My serious whatever miss seek.</t>
  </si>
  <si>
    <t>Build view.</t>
  </si>
  <si>
    <t>Ever day.</t>
  </si>
  <si>
    <t>Be move fly open.</t>
  </si>
  <si>
    <t>Future congress.</t>
  </si>
  <si>
    <t>Fish either boy between collection.</t>
  </si>
  <si>
    <t>Eight bed fill.</t>
  </si>
  <si>
    <t>Arrive which consider.</t>
  </si>
  <si>
    <t>Hope floor include.</t>
  </si>
  <si>
    <t>Heart still building.</t>
  </si>
  <si>
    <t>Sell only manage.</t>
  </si>
  <si>
    <t>We especially five network.</t>
  </si>
  <si>
    <t>Ahead plant trial affect.</t>
  </si>
  <si>
    <t>Push east never size fight.</t>
  </si>
  <si>
    <t>Base player data whose.</t>
  </si>
  <si>
    <t>World site mr interest treatment.</t>
  </si>
  <si>
    <t>A let.</t>
  </si>
  <si>
    <t>A value lot.</t>
  </si>
  <si>
    <t>Yourself successful defense subject.</t>
  </si>
  <si>
    <t>Claim move.</t>
  </si>
  <si>
    <t>Bed recognize store.</t>
  </si>
  <si>
    <t>There decision measure.</t>
  </si>
  <si>
    <t>Play woman remain event.</t>
  </si>
  <si>
    <t>Decision where foreign trial.</t>
  </si>
  <si>
    <t>Participant above.</t>
  </si>
  <si>
    <t>Including time reflect.</t>
  </si>
  <si>
    <t>Ball theory prepare much throughout.</t>
  </si>
  <si>
    <t>Good spend still.</t>
  </si>
  <si>
    <t>Concern should recent across.</t>
  </si>
  <si>
    <t>View know develop after.</t>
  </si>
  <si>
    <t>Course staff personal space.</t>
  </si>
  <si>
    <t>Woman whose already.</t>
  </si>
  <si>
    <t>Decide cultural start how thank.</t>
  </si>
  <si>
    <t>Management necessary process not.</t>
  </si>
  <si>
    <t>Assume campaign assume.</t>
  </si>
  <si>
    <t>Talk thing rock ever summer.</t>
  </si>
  <si>
    <t>Pass quite third ability interview.</t>
  </si>
  <si>
    <t>Item yet ever quite.</t>
  </si>
  <si>
    <t>Guess service this different.</t>
  </si>
  <si>
    <t>Mother first hot free.</t>
  </si>
  <si>
    <t>Wrong difficult.</t>
  </si>
  <si>
    <t>True culture.</t>
  </si>
  <si>
    <t>As personal agreement.</t>
  </si>
  <si>
    <t>Or phone.</t>
  </si>
  <si>
    <t>East list when.</t>
  </si>
  <si>
    <t>Mind door authority outside.</t>
  </si>
  <si>
    <t>Personal often.</t>
  </si>
  <si>
    <t>True help.</t>
  </si>
  <si>
    <t>Artist sort area.</t>
  </si>
  <si>
    <t>Big argue.</t>
  </si>
  <si>
    <t>Sure i pay.</t>
  </si>
  <si>
    <t>Ten skin perhaps.</t>
  </si>
  <si>
    <t>Less into per big.</t>
  </si>
  <si>
    <t>Military onto blue activity.</t>
  </si>
  <si>
    <t>Smile cover of pm eight.</t>
  </si>
  <si>
    <t>Right know during someone.</t>
  </si>
  <si>
    <t>Find job where.</t>
  </si>
  <si>
    <t>On must certainly.</t>
  </si>
  <si>
    <t>Owner fact wife.</t>
  </si>
  <si>
    <t>Price certain down standard nice.</t>
  </si>
  <si>
    <t>Gas with policy cut.</t>
  </si>
  <si>
    <t>Country little reality level.</t>
  </si>
  <si>
    <t>Not friend federal forget bit.</t>
  </si>
  <si>
    <t>Detail about development discover.</t>
  </si>
  <si>
    <t>Lose shoulder spring.</t>
  </si>
  <si>
    <t>Hundred step according.</t>
  </si>
  <si>
    <t>Group never.</t>
  </si>
  <si>
    <t>Key place tree.</t>
  </si>
  <si>
    <t>Wish current.</t>
  </si>
  <si>
    <t>Despite energy company.</t>
  </si>
  <si>
    <t>Condition again successful.</t>
  </si>
  <si>
    <t>Story case.</t>
  </si>
  <si>
    <t>Very figure drive special.</t>
  </si>
  <si>
    <t>With young think there assume.</t>
  </si>
  <si>
    <t>Some court her.</t>
  </si>
  <si>
    <t>Outside with each animal.</t>
  </si>
  <si>
    <t>Take family chance.</t>
  </si>
  <si>
    <t>Picture evidence.</t>
  </si>
  <si>
    <t>Why though decide bank likely.</t>
  </si>
  <si>
    <t>Meet seem population.</t>
  </si>
  <si>
    <t>Material less focus hear.</t>
  </si>
  <si>
    <t>Listen ok point so.</t>
  </si>
  <si>
    <t>Detail data tell.</t>
  </si>
  <si>
    <t>Fill thousand number.</t>
  </si>
  <si>
    <t>Nearly care base.</t>
  </si>
  <si>
    <t>Goal once let perform international.</t>
  </si>
  <si>
    <t>Important source first him.</t>
  </si>
  <si>
    <t>Doctor population grow bar.</t>
  </si>
  <si>
    <t>National back everybody direction budget.</t>
  </si>
  <si>
    <t>National free.</t>
  </si>
  <si>
    <t>Few spring raise.</t>
  </si>
  <si>
    <t>Relationship your your.</t>
  </si>
  <si>
    <t>Across federal state.</t>
  </si>
  <si>
    <t>State serious activity pressure.</t>
  </si>
  <si>
    <t>Dinner rich decide do.</t>
  </si>
  <si>
    <t>Serious reveal left social fine.</t>
  </si>
  <si>
    <t>Show recently decide last.</t>
  </si>
  <si>
    <t>Hear officer.</t>
  </si>
  <si>
    <t>Wall act special.</t>
  </si>
  <si>
    <t>Different international sell several.</t>
  </si>
  <si>
    <t>For age size.</t>
  </si>
  <si>
    <t>With yes nothing.</t>
  </si>
  <si>
    <t>Woman daughter hospital move.</t>
  </si>
  <si>
    <t>Board notice later thus.</t>
  </si>
  <si>
    <t>Bit need allow.</t>
  </si>
  <si>
    <t>Cost attorney.</t>
  </si>
  <si>
    <t>Day fact modern.</t>
  </si>
  <si>
    <t>Happy action.</t>
  </si>
  <si>
    <t>Hospital writer can industry.</t>
  </si>
  <si>
    <t>Western tend candidate day.</t>
  </si>
  <si>
    <t>City offer financial data.</t>
  </si>
  <si>
    <t>Cut yard knowledge.</t>
  </si>
  <si>
    <t>Space moment travel these least.</t>
  </si>
  <si>
    <t>Say explain.</t>
  </si>
  <si>
    <t>Red republican father party.</t>
  </si>
  <si>
    <t>Eat tonight run leader.</t>
  </si>
  <si>
    <t>Believe recognize analysis those citizen.</t>
  </si>
  <si>
    <t>Project at risk.</t>
  </si>
  <si>
    <t>In seven building hard.</t>
  </si>
  <si>
    <t>Short for late education.</t>
  </si>
  <si>
    <t>Left available.</t>
  </si>
  <si>
    <t>Gas human create also.</t>
  </si>
  <si>
    <t>Remember carry.</t>
  </si>
  <si>
    <t>Leave bar prevent require.</t>
  </si>
  <si>
    <t>Likely evidence claim.</t>
  </si>
  <si>
    <t>Beyond family movement hospital back.</t>
  </si>
  <si>
    <t>Child group describe.</t>
  </si>
  <si>
    <t>Democratic recent student specific political.</t>
  </si>
  <si>
    <t>Real know our any.</t>
  </si>
  <si>
    <t>Up hear draw.</t>
  </si>
  <si>
    <t>Instead writer.</t>
  </si>
  <si>
    <t>Quite as when.</t>
  </si>
  <si>
    <t>Right analysis mention.</t>
  </si>
  <si>
    <t>No couple debate must.</t>
  </si>
  <si>
    <t>Discussion black follow.</t>
  </si>
  <si>
    <t>Pressure activity defense detail.</t>
  </si>
  <si>
    <t>Month-Year</t>
  </si>
  <si>
    <t>Year</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</si>
  <si>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</si>
  <si>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</si>
  <si>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</si>
  <si>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</si>
  <si>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</si>
  <si>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</si>
  <si>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</si>
  <si>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</si>
  <si>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</si>
  <si>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</si>
  <si>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</si>
  <si>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</si>
  <si>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</si>
  <si>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</si>
  <si>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</si>
  <si>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</si>
  <si>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</si>
  <si>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</si>
  <si>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</si>
  <si>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</si>
  <si>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</si>
  <si>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</si>
  <si>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</si>
  <si>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</si>
  <si>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</si>
  <si>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</si>
  <si>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</si>
  <si>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</si>
  <si>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</si>
  <si>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</si>
  <si>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</si>
  <si>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</si>
  <si>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</si>
  <si>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</si>
  <si>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</si>
  <si>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</si>
  <si>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</si>
  <si>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</si>
  <si>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</si>
  <si>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</si>
  <si>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</si>
  <si>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</si>
  <si>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</si>
  <si>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</si>
  <si>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</si>
  <si>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</si>
  <si>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</si>
  <si>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</si>
  <si>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</si>
  <si>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</si>
  <si>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</si>
  <si>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</si>
  <si>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</si>
  <si>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</si>
  <si>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</si>
  <si>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</si>
  <si>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</si>
  <si>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</si>
  <si>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</si>
  <si>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</si>
  <si>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Monthly Budget</t>
  </si>
  <si>
    <t>Over Budget Flag</t>
  </si>
  <si>
    <t>Net Amount</t>
  </si>
  <si>
    <t>Row Labels</t>
  </si>
  <si>
    <t>Grand Total</t>
  </si>
  <si>
    <t>Column Labels</t>
  </si>
  <si>
    <t>Sum of Amount</t>
  </si>
  <si>
    <t>Net Savings</t>
  </si>
  <si>
    <t>Savings Rate %</t>
  </si>
  <si>
    <t>OK</t>
  </si>
  <si>
    <t>Over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</si>
</sst>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409]* #,##0.00_ ;_-[$$-409]* \-#,##0.0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164" fontId="0" fillId="0" borderId="0" xfId="1" applyNumberFormat="1" applyFont="1"/>
    <xf numFmtId="0" fontId="0" fillId="0" borderId="0" xfId="0" applyAlignment="1">
      <alignment horizontal="left" vertical="top"/>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9" fontId="0" fillId="0" borderId="0" xfId="43" applyFont="1"/>
    <xf numFmtId="0" fontId="14" fillId="33" borderId="0" xfId="0" applyFont="1"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13">
    <dxf>
      <font>
        <color theme="0"/>
      </font>
    </dxf>
    <dxf>
      <fill>
        <patternFill>
          <bgColor theme="4"/>
        </patternFill>
      </fill>
      <border diagonalUp="0" diagonalDown="0">
        <left style="medium">
          <color theme="0"/>
        </left>
        <right style="medium">
          <color theme="0"/>
        </right>
        <top style="medium">
          <color theme="0"/>
        </top>
        <bottom style="medium">
          <color theme="0"/>
        </bottom>
        <vertical/>
        <horizontal/>
      </border>
    </dxf>
    <dxf>
      <alignment horizontal="left" vertical="top" textRotation="0" wrapText="0" indent="0" justifyLastLine="0" shrinkToFit="0" readingOrder="0"/>
    </dxf>
    <dxf>
      <numFmt numFmtId="0" formatCode="General"/>
    </dxf>
    <dxf>
      <numFmt numFmtId="0" formatCode="General"/>
    </dxf>
    <dxf>
      <numFmt numFmtId="0" formatCode="General"/>
    </dxf>
    <dxf>
      <numFmt numFmtId="164" formatCode="_-[$$-409]* #,##0.00_ ;_-[$$-409]* \-#,##0.00\ ;_-[$$-409]* &quot;-&quot;??_ ;_-@_ "/>
    </dxf>
    <dxf>
      <numFmt numFmtId="0" formatCode="General"/>
    </dxf>
    <dxf>
      <numFmt numFmtId="0" formatCode="General"/>
    </dxf>
    <dxf>
      <numFmt numFmtId="19" formatCode="m/d/yyyy"/>
    </dxf>
    <dxf>
      <numFmt numFmtId="19" formatCode="m/d/yyyy"/>
    </dxf>
    <dxf>
      <font>
        <color theme="0"/>
      </font>
      <border>
        <bottom style="thin">
          <color theme="4"/>
        </bottom>
        <vertical/>
        <horizontal/>
      </border>
    </dxf>
    <dxf>
      <font>
        <color theme="1"/>
      </font>
      <fill>
        <patternFill>
          <bgColor theme="4"/>
        </patternFill>
      </fill>
      <border>
        <left style="thick">
          <color theme="1"/>
        </left>
        <right style="thick">
          <color theme="1"/>
        </right>
        <top style="thick">
          <color theme="1"/>
        </top>
        <bottom style="thick">
          <color theme="1"/>
        </bottom>
        <vertical/>
        <horizontal/>
      </border>
    </dxf>
  </dxfs>
  <tableStyles count="2" defaultTableStyle="TableStyleMedium2" defaultPivotStyle="PivotStyleLight16">
    <tableStyle name="Slicer Style 4" pivot="0" table="0" count="10" xr9:uid="{AD098840-D812-47A1-8FDE-7A24BE0B3BC1}">
      <tableStyleElement type="wholeTable" dxfId="1"/>
      <tableStyleElement type="headerRow" dxfId="0"/>
    </tableStyle>
    <tableStyle name="SlicerStyleDark1 2" pivot="0" table="0" count="10" xr9:uid="{90F8E816-60B4-4977-9DD9-17F4B7DADA77}">
      <tableStyleElement type="wholeTable" dxfId="12"/>
      <tableStyleElement type="headerRow" dxfId="11"/>
    </tableStyle>
  </tableStyles>
  <extLst>
    <ext xmlns:x14="http://schemas.microsoft.com/office/spreadsheetml/2009/9/main" uri="{46F421CA-312F-682f-3DD2-61675219B42D}">
      <x14:dxfs count="16">
        <dxf>
          <font>
            <color theme="0"/>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ill>
            <patternFill>
              <bgColor theme="0"/>
            </patternFill>
          </fill>
          <border>
            <left style="thick">
              <color auto="1"/>
            </left>
            <right style="thick">
              <color auto="1"/>
            </right>
            <top style="thick">
              <color auto="1"/>
            </top>
            <bottom style="thick">
              <color auto="1"/>
            </bottom>
          </border>
        </dxf>
        <dxf>
          <fill>
            <patternFill>
              <bgColor theme="0"/>
            </patternFill>
          </fill>
        </dxf>
        <dxf>
          <font>
            <color theme="0"/>
          </font>
        </dxf>
        <dxf>
          <font>
            <color theme="0"/>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theme="1"/>
          </font>
          <fill>
            <patternFill patternType="solid">
              <fgColor theme="0"/>
              <bgColor theme="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Pivot_Tables!$K$3:$K$4</c:f>
              <c:strCache>
                <c:ptCount val="1"/>
                <c:pt idx="0">
                  <c:v>Expense</c:v>
                </c:pt>
              </c:strCache>
            </c:strRef>
          </c:tx>
          <c:spPr>
            <a:ln w="28575" cap="rnd">
              <a:solidFill>
                <a:schemeClr val="accent1"/>
              </a:solidFill>
              <a:round/>
            </a:ln>
            <a:effectLst/>
          </c:spPr>
          <c:marker>
            <c:symbol val="none"/>
          </c:marker>
          <c:cat>
            <c:strRef>
              <c:f>Pivot_Tables!$J$5:$J$16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Pivot_Tables!$K$5:$K$16</c:f>
              <c:numCache>
                <c:formatCode>_-[$$-409]* #,##0.00_ ;_-[$$-409]* \-#,##0.00\ ;_-[$$-409]* "-"??_ ;_-@_ </c:formatCode>
                <c:ptCount val="12"/>
                <c:pt idx="0">
                  <c:v>26896.850000000002</c:v>
                </c:pt>
                <c:pt idx="1">
                  <c:v>20152.329999999998</c:v>
                </c:pt>
                <c:pt idx="2">
                  <c:v>14306.03</c:v>
                </c:pt>
                <c:pt idx="3">
                  <c:v>13539.609999999997</c:v>
                </c:pt>
                <c:pt idx="4">
                  <c:v>14511.28</c:v>
                </c:pt>
                <c:pt idx="5">
                  <c:v>18657.79</c:v>
                </c:pt>
                <c:pt idx="6">
                  <c:v>23401.73</c:v>
                </c:pt>
                <c:pt idx="7">
                  <c:v>19141.54</c:v>
                </c:pt>
                <c:pt idx="8">
                  <c:v>17504.03</c:v>
                </c:pt>
                <c:pt idx="9">
                  <c:v>18805.86</c:v>
                </c:pt>
                <c:pt idx="10">
                  <c:v>17912.190000000002</c:v>
                </c:pt>
                <c:pt idx="11">
                  <c:v>10154.57</c:v>
                </c:pt>
              </c:numCache>
            </c:numRef>
          </c:val>
          <c:smooth val="0"/>
          <c:extLst>
            <c:ext xmlns:c16="http://schemas.microsoft.com/office/drawing/2014/chart" uri="{C3380CC4-5D6E-409C-BE32-E72D297353CC}">
              <c16:uniqueId val="{00000000-35FB-4839-AF34-7C2363E8EC90}"/>
            </c:ext>
          </c:extLst>
        </c:ser>
        <c:ser>
          <c:idx val="1"/>
          <c:order val="1"/>
          <c:tx>
            <c:strRef>
              <c:f>Pivot_Tables!$L$3:$L$4</c:f>
              <c:strCache>
                <c:ptCount val="1"/>
                <c:pt idx="0">
                  <c:v>Income</c:v>
                </c:pt>
              </c:strCache>
            </c:strRef>
          </c:tx>
          <c:spPr>
            <a:ln w="28575" cap="rnd">
              <a:solidFill>
                <a:schemeClr val="accent2"/>
              </a:solidFill>
              <a:round/>
            </a:ln>
            <a:effectLst/>
          </c:spPr>
          <c:marker>
            <c:symbol val="none"/>
          </c:marker>
          <c:cat>
            <c:strRef>
              <c:f>Pivot_Tables!$J$5:$J$16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Pivot_Tables!$L$5:$L$16</c:f>
              <c:numCache>
                <c:formatCode>_-[$$-409]* #,##0.00_ ;_-[$$-409]* \-#,##0.00\ ;_-[$$-409]* "-"??_ ;_-@_ </c:formatCode>
                <c:ptCount val="12"/>
                <c:pt idx="0">
                  <c:v>25993.279999999999</c:v>
                </c:pt>
                <c:pt idx="1">
                  <c:v>16291.97</c:v>
                </c:pt>
                <c:pt idx="2">
                  <c:v>8970.4</c:v>
                </c:pt>
                <c:pt idx="3">
                  <c:v>24685.559999999998</c:v>
                </c:pt>
                <c:pt idx="4">
                  <c:v>5607.28</c:v>
                </c:pt>
                <c:pt idx="5">
                  <c:v>17866.28</c:v>
                </c:pt>
                <c:pt idx="6">
                  <c:v>23668.350000000002</c:v>
                </c:pt>
                <c:pt idx="7">
                  <c:v>10447.15</c:v>
                </c:pt>
                <c:pt idx="8">
                  <c:v>21827.91</c:v>
                </c:pt>
                <c:pt idx="9">
                  <c:v>17152.349999999999</c:v>
                </c:pt>
                <c:pt idx="10">
                  <c:v>29792.77</c:v>
                </c:pt>
                <c:pt idx="11">
                  <c:v>7314.35</c:v>
                </c:pt>
              </c:numCache>
            </c:numRef>
          </c:val>
          <c:smooth val="0"/>
          <c:extLst>
            <c:ext xmlns:c16="http://schemas.microsoft.com/office/drawing/2014/chart" uri="{C3380CC4-5D6E-409C-BE32-E72D297353CC}">
              <c16:uniqueId val="{00000007-22A3-47F7-ACB3-2E3B43E75E4A}"/>
            </c:ext>
          </c:extLst>
        </c:ser>
        <c:dLbls>
          <c:showLegendKey val="0"/>
          <c:showVal val="0"/>
          <c:showCatName val="0"/>
          <c:showSerName val="0"/>
          <c:showPercent val="0"/>
          <c:showBubbleSize val="0"/>
        </c:dLbls>
        <c:smooth val="0"/>
        <c:axId val="941916975"/>
        <c:axId val="941910735"/>
      </c:lineChart>
      <c:catAx>
        <c:axId val="9419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10735"/>
        <c:crosses val="autoZero"/>
        <c:auto val="1"/>
        <c:lblAlgn val="ctr"/>
        <c:lblOffset val="100"/>
        <c:noMultiLvlLbl val="0"/>
      </c:catAx>
      <c:valAx>
        <c:axId val="94191073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Pivot_Tables!$E$3</c:f>
              <c:strCache>
                <c:ptCount val="1"/>
                <c:pt idx="0">
                  <c:v>Total</c:v>
                </c:pt>
              </c:strCache>
            </c:strRef>
          </c:tx>
          <c:spPr>
            <a:solidFill>
              <a:schemeClr val="accent1"/>
            </a:solidFill>
            <a:ln>
              <a:noFill/>
            </a:ln>
            <a:effectLst/>
          </c:spPr>
          <c:invertIfNegative val="0"/>
          <c:cat>
            <c:strRef>
              <c:f>Pivot_Tables!$D$4:$D$11</c:f>
              <c:strCache>
                <c:ptCount val="7"/>
                <c:pt idx="0">
                  <c:v>Entertainment</c:v>
                </c:pt>
                <c:pt idx="1">
                  <c:v>Food &amp; Drink</c:v>
                </c:pt>
                <c:pt idx="2">
                  <c:v>Health &amp; Fitness</c:v>
                </c:pt>
                <c:pt idx="3">
                  <c:v>Rent</c:v>
                </c:pt>
                <c:pt idx="4">
                  <c:v>Shopping</c:v>
                </c:pt>
                <c:pt idx="5">
                  <c:v>Travel</c:v>
                </c:pt>
                <c:pt idx="6">
                  <c:v>Utilities</c:v>
                </c:pt>
              </c:strCache>
            </c:strRef>
          </c:cat>
          <c:val>
            <c:numRef>
              <c:f>Pivot_Tables!$E$4:$E$11</c:f>
              <c:numCache>
                <c:formatCode>_-[$$-409]* #,##0.00_ ;_-[$$-409]* \-#,##0.00\ ;_-[$$-409]* "-"??_ ;_-@_ </c:formatCode>
                <c:ptCount val="7"/>
                <c:pt idx="0">
                  <c:v>37801.549999999996</c:v>
                </c:pt>
                <c:pt idx="1">
                  <c:v>33094.939999999995</c:v>
                </c:pt>
                <c:pt idx="2">
                  <c:v>30198.84</c:v>
                </c:pt>
                <c:pt idx="3">
                  <c:v>25344.409999999996</c:v>
                </c:pt>
                <c:pt idx="4">
                  <c:v>23154.159999999996</c:v>
                </c:pt>
                <c:pt idx="5">
                  <c:v>40314.14</c:v>
                </c:pt>
                <c:pt idx="6">
                  <c:v>25075.77</c:v>
                </c:pt>
              </c:numCache>
            </c:numRef>
          </c:val>
          <c:extLst>
            <c:ext xmlns:c16="http://schemas.microsoft.com/office/drawing/2014/chart" uri="{C3380CC4-5D6E-409C-BE32-E72D297353CC}">
              <c16:uniqueId val="{00000000-CD23-4619-B57A-D2C2E2A32CC6}"/>
            </c:ext>
          </c:extLst>
        </c:ser>
        <c:dLbls>
          <c:showLegendKey val="0"/>
          <c:showVal val="0"/>
          <c:showCatName val="0"/>
          <c:showSerName val="0"/>
          <c:showPercent val="0"/>
          <c:showBubbleSize val="0"/>
        </c:dLbls>
        <c:gapWidth val="219"/>
        <c:axId val="941951535"/>
        <c:axId val="941952015"/>
      </c:barChart>
      <c:catAx>
        <c:axId val="94195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52015"/>
        <c:crosses val="autoZero"/>
        <c:auto val="1"/>
        <c:lblAlgn val="ctr"/>
        <c:lblOffset val="100"/>
        <c:noMultiLvlLbl val="0"/>
      </c:catAx>
      <c:valAx>
        <c:axId val="94195201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5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6-4C9B-9EDA-B074A7B4D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6-4C9B-9EDA-B074A7B4D9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C6-4C9B-9EDA-B074A7B4D9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C6-4C9B-9EDA-B074A7B4D9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C6-4C9B-9EDA-B074A7B4D9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3C6-4C9B-9EDA-B074A7B4D9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3C6-4C9B-9EDA-B074A7B4D9B4}"/>
              </c:ext>
            </c:extLst>
          </c:dPt>
          <c:cat>
            <c:strRef>
              <c:f>Pivot_Tables!$G$4:$G$11</c:f>
              <c:strCache>
                <c:ptCount val="7"/>
                <c:pt idx="0">
                  <c:v>Entertainment</c:v>
                </c:pt>
                <c:pt idx="1">
                  <c:v>Food &amp; Drink</c:v>
                </c:pt>
                <c:pt idx="2">
                  <c:v>Health &amp; Fitness</c:v>
                </c:pt>
                <c:pt idx="3">
                  <c:v>Rent</c:v>
                </c:pt>
                <c:pt idx="4">
                  <c:v>Shopping</c:v>
                </c:pt>
                <c:pt idx="5">
                  <c:v>Travel</c:v>
                </c:pt>
                <c:pt idx="6">
                  <c:v>Utilities</c:v>
                </c:pt>
              </c:strCache>
            </c:strRef>
          </c:cat>
          <c:val>
            <c:numRef>
              <c:f>Pivot_Tables!$H$4:$H$11</c:f>
              <c:numCache>
                <c:formatCode>0.00%</c:formatCode>
                <c:ptCount val="7"/>
                <c:pt idx="0">
                  <c:v>0.17583440353020072</c:v>
                </c:pt>
                <c:pt idx="1">
                  <c:v>0.15394154564476273</c:v>
                </c:pt>
                <c:pt idx="2">
                  <c:v>0.14047029867039756</c:v>
                </c:pt>
                <c:pt idx="3">
                  <c:v>0.11788985412436406</c:v>
                </c:pt>
                <c:pt idx="4">
                  <c:v>0.10770187764371651</c:v>
                </c:pt>
                <c:pt idx="5">
                  <c:v>0.18752174873075328</c:v>
                </c:pt>
                <c:pt idx="6">
                  <c:v>0.11664027165580516</c:v>
                </c:pt>
              </c:numCache>
            </c:numRef>
          </c:val>
          <c:extLst>
            <c:ext xmlns:c16="http://schemas.microsoft.com/office/drawing/2014/chart" uri="{C3380CC4-5D6E-409C-BE32-E72D297353CC}">
              <c16:uniqueId val="{00000000-D66F-42AF-90BA-414805D841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Pivot_Tables!$V$4</c:f>
              <c:strCache>
                <c:ptCount val="1"/>
                <c:pt idx="0">
                  <c:v>Total</c:v>
                </c:pt>
              </c:strCache>
            </c:strRef>
          </c:tx>
          <c:spPr>
            <a:solidFill>
              <a:schemeClr val="accent1"/>
            </a:solidFill>
            <a:ln w="19050">
              <a:solidFill>
                <a:schemeClr val="lt1"/>
              </a:solidFill>
            </a:ln>
            <a:effectLst/>
          </c:spPr>
          <c:invertIfNegative val="0"/>
          <c:cat>
            <c:strRef>
              <c:f>Pivot_Tables!$U$5:$U$7</c:f>
              <c:strCache>
                <c:ptCount val="2"/>
                <c:pt idx="0">
                  <c:v>OK</c:v>
                </c:pt>
                <c:pt idx="1">
                  <c:v>Over Budget</c:v>
                </c:pt>
              </c:strCache>
            </c:strRef>
          </c:cat>
          <c:val>
            <c:numRef>
              <c:f>Pivot_Tables!$V$5:$V$7</c:f>
              <c:numCache>
                <c:formatCode>_-[$$-409]* #,##0.00_ ;_-[$$-409]* \-#,##0.00\ ;_-[$$-409]* "-"??_ ;_-@_ </c:formatCode>
                <c:ptCount val="2"/>
                <c:pt idx="0">
                  <c:v>22542.899999999998</c:v>
                </c:pt>
                <c:pt idx="1">
                  <c:v>192440.91</c:v>
                </c:pt>
              </c:numCache>
            </c:numRef>
          </c:val>
          <c:extLst>
            <c:ext xmlns:c16="http://schemas.microsoft.com/office/drawing/2014/chart" uri="{C3380CC4-5D6E-409C-BE32-E72D297353CC}">
              <c16:uniqueId val="{00000000-A0F4-40AE-B32C-4DFFE306B758}"/>
            </c:ext>
          </c:extLst>
        </c:ser>
        <c:dLbls>
          <c:showLegendKey val="0"/>
          <c:showVal val="0"/>
          <c:showCatName val="0"/>
          <c:showSerName val="0"/>
          <c:showPercent val="0"/>
          <c:showBubbleSize val="0"/>
        </c:dLbls>
        <c:gapWidth val="150"/>
        <c:axId val="1417916176"/>
        <c:axId val="1417919056"/>
      </c:barChart>
      <c:catAx>
        <c:axId val="141791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919056"/>
        <c:auto val="1"/>
        <c:lblAlgn val="ctr"/>
        <c:lblOffset val="100"/>
        <c:noMultiLvlLbl val="0"/>
      </c:catAx>
      <c:valAx>
        <c:axId val="14179190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91617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PH" sz="1700" b="1"/>
              <a:t>MONTHLY</a:t>
            </a:r>
            <a:r>
              <a:rPr lang="en-PH" sz="1700" b="1" baseline="0"/>
              <a:t> INCOME VS EXPENSES</a:t>
            </a:r>
            <a:endParaRPr lang="en-PH" sz="1700" b="1"/>
          </a:p>
        </c:rich>
      </c:tx>
      <c:layout>
        <c:manualLayout>
          <c:xMode val="edge"/>
          <c:yMode val="edge"/>
          <c:x val="0.3267088859128468"/>
          <c:y val="5.289158723905081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chemeClr val="accent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51836238922276E-2"/>
          <c:y val="0.12676006046889551"/>
          <c:w val="0.890025692123524"/>
          <c:h val="0.63488852656267714"/>
        </c:manualLayout>
      </c:layout>
      <c:lineChart>
        <c:grouping val="standard"/>
        <c:varyColors val="0"/>
        <c:ser>
          <c:idx val="0"/>
          <c:order val="0"/>
          <c:tx>
            <c:strRef>
              <c:f>Pivot_Tables!$K$3:$K$4</c:f>
              <c:strCache>
                <c:ptCount val="1"/>
                <c:pt idx="0">
                  <c:v>Expense</c:v>
                </c:pt>
              </c:strCache>
            </c:strRef>
          </c:tx>
          <c:spPr>
            <a:ln w="28575" cap="rnd">
              <a:solidFill>
                <a:schemeClr val="bg1"/>
              </a:solidFill>
              <a:round/>
            </a:ln>
            <a:effectLst/>
          </c:spPr>
          <c:marker>
            <c:symbol val="circle"/>
            <c:size val="5"/>
            <c:spPr>
              <a:solidFill>
                <a:schemeClr val="accent1"/>
              </a:solidFill>
              <a:ln w="9525">
                <a:solidFill>
                  <a:schemeClr val="bg1"/>
                </a:solidFill>
              </a:ln>
              <a:effectLst/>
            </c:spPr>
          </c:marker>
          <c:cat>
            <c:strRef>
              <c:f>Pivot_Tables!$J$5:$J$16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Pivot_Tables!$K$5:$K$16</c:f>
              <c:numCache>
                <c:formatCode>_-[$$-409]* #,##0.00_ ;_-[$$-409]* \-#,##0.00\ ;_-[$$-409]* "-"??_ ;_-@_ </c:formatCode>
                <c:ptCount val="12"/>
                <c:pt idx="0">
                  <c:v>26896.850000000002</c:v>
                </c:pt>
                <c:pt idx="1">
                  <c:v>20152.329999999998</c:v>
                </c:pt>
                <c:pt idx="2">
                  <c:v>14306.03</c:v>
                </c:pt>
                <c:pt idx="3">
                  <c:v>13539.609999999997</c:v>
                </c:pt>
                <c:pt idx="4">
                  <c:v>14511.28</c:v>
                </c:pt>
                <c:pt idx="5">
                  <c:v>18657.79</c:v>
                </c:pt>
                <c:pt idx="6">
                  <c:v>23401.73</c:v>
                </c:pt>
                <c:pt idx="7">
                  <c:v>19141.54</c:v>
                </c:pt>
                <c:pt idx="8">
                  <c:v>17504.03</c:v>
                </c:pt>
                <c:pt idx="9">
                  <c:v>18805.86</c:v>
                </c:pt>
                <c:pt idx="10">
                  <c:v>17912.190000000002</c:v>
                </c:pt>
                <c:pt idx="11">
                  <c:v>10154.57</c:v>
                </c:pt>
              </c:numCache>
            </c:numRef>
          </c:val>
          <c:smooth val="0"/>
          <c:extLst>
            <c:ext xmlns:c16="http://schemas.microsoft.com/office/drawing/2014/chart" uri="{C3380CC4-5D6E-409C-BE32-E72D297353CC}">
              <c16:uniqueId val="{00000000-6FBD-44F6-A691-74822FF94BE8}"/>
            </c:ext>
          </c:extLst>
        </c:ser>
        <c:ser>
          <c:idx val="1"/>
          <c:order val="1"/>
          <c:tx>
            <c:strRef>
              <c:f>Pivot_Tables!$L$3:$L$4</c:f>
              <c:strCache>
                <c:ptCount val="1"/>
                <c:pt idx="0">
                  <c:v>Income</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cat>
            <c:strRef>
              <c:f>Pivot_Tables!$J$5:$J$16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Pivot_Tables!$L$5:$L$16</c:f>
              <c:numCache>
                <c:formatCode>_-[$$-409]* #,##0.00_ ;_-[$$-409]* \-#,##0.00\ ;_-[$$-409]* "-"??_ ;_-@_ </c:formatCode>
                <c:ptCount val="12"/>
                <c:pt idx="0">
                  <c:v>25993.279999999999</c:v>
                </c:pt>
                <c:pt idx="1">
                  <c:v>16291.97</c:v>
                </c:pt>
                <c:pt idx="2">
                  <c:v>8970.4</c:v>
                </c:pt>
                <c:pt idx="3">
                  <c:v>24685.559999999998</c:v>
                </c:pt>
                <c:pt idx="4">
                  <c:v>5607.28</c:v>
                </c:pt>
                <c:pt idx="5">
                  <c:v>17866.28</c:v>
                </c:pt>
                <c:pt idx="6">
                  <c:v>23668.350000000002</c:v>
                </c:pt>
                <c:pt idx="7">
                  <c:v>10447.15</c:v>
                </c:pt>
                <c:pt idx="8">
                  <c:v>21827.91</c:v>
                </c:pt>
                <c:pt idx="9">
                  <c:v>17152.349999999999</c:v>
                </c:pt>
                <c:pt idx="10">
                  <c:v>29792.77</c:v>
                </c:pt>
                <c:pt idx="11">
                  <c:v>7314.35</c:v>
                </c:pt>
              </c:numCache>
            </c:numRef>
          </c:val>
          <c:smooth val="0"/>
          <c:extLst>
            <c:ext xmlns:c16="http://schemas.microsoft.com/office/drawing/2014/chart" uri="{C3380CC4-5D6E-409C-BE32-E72D297353CC}">
              <c16:uniqueId val="{00000008-0194-498A-B675-220326AACEB3}"/>
            </c:ext>
          </c:extLst>
        </c:ser>
        <c:dLbls>
          <c:showLegendKey val="0"/>
          <c:showVal val="0"/>
          <c:showCatName val="0"/>
          <c:showSerName val="0"/>
          <c:showPercent val="0"/>
          <c:showBubbleSize val="0"/>
        </c:dLbls>
        <c:marker val="1"/>
        <c:smooth val="0"/>
        <c:axId val="941916975"/>
        <c:axId val="941910735"/>
      </c:lineChart>
      <c:catAx>
        <c:axId val="94191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41910735"/>
        <c:crosses val="autoZero"/>
        <c:auto val="1"/>
        <c:lblAlgn val="ctr"/>
        <c:lblOffset val="100"/>
        <c:noMultiLvlLbl val="0"/>
      </c:catAx>
      <c:valAx>
        <c:axId val="941910735"/>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941916975"/>
        <c:crosses val="autoZero"/>
        <c:crossBetween val="midCat"/>
      </c:valAx>
      <c:spPr>
        <a:noFill/>
        <a:ln>
          <a:noFill/>
        </a:ln>
        <a:effectLst/>
      </c:spPr>
    </c:plotArea>
    <c:legend>
      <c:legendPos val="t"/>
      <c:layout>
        <c:manualLayout>
          <c:xMode val="edge"/>
          <c:yMode val="edge"/>
          <c:x val="0.78814137383298299"/>
          <c:y val="3.1657318567363819E-2"/>
          <c:w val="0.18800214670266707"/>
          <c:h val="9.981445576080309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[Personal_Finance_Dataset_Project.xlsx]Pivot_Tables!PivotTable3</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PH" sz="1800" b="1"/>
              <a:t>SPENDING</a:t>
            </a:r>
            <a:r>
              <a:rPr lang="en-PH" sz="1800" b="1" baseline="0"/>
              <a:t> BY CATEGORY</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solidFill>
              <a:schemeClr val="accent2"/>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clustered"/>
        <c:varyColors val="0"/>
        <c:ser>
          <c:idx val="0"/>
          <c:order val="0"/>
          <c:tx>
            <c:strRef>
              <c:f>Pivot_Tables!$E$3</c:f>
              <c:strCache>
                <c:ptCount val="1"/>
                <c:pt idx="0">
                  <c:v>Total</c:v>
                </c:pt>
              </c:strCache>
            </c:strRef>
          </c:tx>
          <c:spPr>
            <a:solidFill>
              <a:schemeClr val="bg1"/>
            </a:solidFill>
            <a:ln>
              <a:noFill/>
            </a:ln>
            <a:effectLst/>
          </c:spPr>
          <c:invertIfNegative val="0"/>
          <c:dLbls>
            <c:spPr>
              <a:solidFill>
                <a:schemeClr val="accent2"/>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Pivot_Tables!$D$4:$D$11</c:f>
              <c:strCache>
                <c:ptCount val="7"/>
                <c:pt idx="0">
                  <c:v>Entertainment</c:v>
                </c:pt>
                <c:pt idx="1">
                  <c:v>Food &amp; Drink</c:v>
                </c:pt>
                <c:pt idx="2">
                  <c:v>Health &amp; Fitness</c:v>
                </c:pt>
                <c:pt idx="3">
                  <c:v>Rent</c:v>
                </c:pt>
                <c:pt idx="4">
                  <c:v>Shopping</c:v>
                </c:pt>
                <c:pt idx="5">
                  <c:v>Travel</c:v>
                </c:pt>
                <c:pt idx="6">
                  <c:v>Utilities</c:v>
                </c:pt>
              </c:strCache>
            </c:strRef>
          </c:cat>
          <c:val>
            <c:numRef>
              <c:f>Pivot_Tables!$E$4:$E$11</c:f>
              <c:numCache>
                <c:formatCode>_-[$$-409]* #,##0.00_ ;_-[$$-409]* \-#,##0.00\ ;_-[$$-409]* "-"??_ ;_-@_ </c:formatCode>
                <c:ptCount val="7"/>
                <c:pt idx="0">
                  <c:v>37801.549999999996</c:v>
                </c:pt>
                <c:pt idx="1">
                  <c:v>33094.939999999995</c:v>
                </c:pt>
                <c:pt idx="2">
                  <c:v>30198.84</c:v>
                </c:pt>
                <c:pt idx="3">
                  <c:v>25344.409999999996</c:v>
                </c:pt>
                <c:pt idx="4">
                  <c:v>23154.159999999996</c:v>
                </c:pt>
                <c:pt idx="5">
                  <c:v>40314.14</c:v>
                </c:pt>
                <c:pt idx="6">
                  <c:v>25075.77</c:v>
                </c:pt>
              </c:numCache>
            </c:numRef>
          </c:val>
          <c:extLst>
            <c:ext xmlns:c16="http://schemas.microsoft.com/office/drawing/2014/chart" uri="{C3380CC4-5D6E-409C-BE32-E72D297353CC}">
              <c16:uniqueId val="{00000000-0323-4AF4-B331-7B4009FAAAAD}"/>
            </c:ext>
          </c:extLst>
        </c:ser>
        <c:dLbls>
          <c:dLblPos val="outEnd"/>
          <c:showLegendKey val="0"/>
          <c:showVal val="1"/>
          <c:showCatName val="0"/>
          <c:showSerName val="0"/>
          <c:showPercent val="0"/>
          <c:showBubbleSize val="0"/>
        </c:dLbls>
        <c:gapWidth val="219"/>
        <c:axId val="941951535"/>
        <c:axId val="941952015"/>
      </c:barChart>
      <c:catAx>
        <c:axId val="941951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41952015"/>
        <c:crosses val="autoZero"/>
        <c:auto val="1"/>
        <c:lblAlgn val="ctr"/>
        <c:lblOffset val="100"/>
        <c:noMultiLvlLbl val="0"/>
      </c:catAx>
      <c:valAx>
        <c:axId val="941952015"/>
        <c:scaling>
          <c:orientation val="minMax"/>
        </c:scaling>
        <c:delete val="1"/>
        <c:axPos val="b"/>
        <c:numFmt formatCode="_-[$$-409]* #,##0.00_ ;_-[$$-409]* \-#,##0.00\ ;_-[$$-409]* &quot;-&quot;??_ ;_-@_ " sourceLinked="1"/>
        <c:majorTickMark val="none"/>
        <c:minorTickMark val="none"/>
        <c:tickLblPos val="nextTo"/>
        <c:crossAx val="94195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[Personal_Finance_Dataset_Project.xlsx]Pivot_Tables!PivotTable5</c:name>
    <c:fmtId val="4"/>
  </c:pivotSource>
  <c:chart>
    <c:title>
      <c:tx>
        <c:rich>
          <a:bodyPr rot="0" spcFirstLastPara="1" vertOverflow="ellipsis" vert="horz" wrap="square" anchor="ctr" anchorCtr="1"/>
          <a:lstStyle/>
          <a:p>
            <a:pPr algn="ctr" rtl="0">
              <a:defRPr lang="en-US" sz="1800" b="1" i="0" u="none" strike="noStrike" kern="1200" spc="0" baseline="0">
                <a:solidFill>
                  <a:sysClr val="window" lastClr="FFFFFF"/>
                </a:solidFill>
                <a:latin typeface="+mn-lt"/>
                <a:ea typeface="+mn-ea"/>
                <a:cs typeface="+mn-cs"/>
              </a:defRPr>
            </a:pPr>
            <a:r>
              <a:rPr lang="en-US" sz="1600" b="1" i="0" u="none" strike="noStrike" kern="1200" spc="0" baseline="0">
                <a:solidFill>
                  <a:sysClr val="window" lastClr="FFFFFF"/>
                </a:solidFill>
                <a:latin typeface="+mn-lt"/>
                <a:ea typeface="+mn-ea"/>
                <a:cs typeface="+mn-cs"/>
              </a:rPr>
              <a:t>EXPENSE DISTRIBUTION BY CATEGORY</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Pivot_Tables!$H$3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4E-41F9-B174-55E1ECE305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4E-41F9-B174-55E1ECE305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4E-41F9-B174-55E1ECE305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4E-41F9-B174-55E1ECE305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4E-41F9-B174-55E1ECE305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44E-41F9-B174-55E1ECE305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44E-41F9-B174-55E1ECE3059C}"/>
              </c:ext>
            </c:extLst>
          </c:dPt>
          <c:cat>
            <c:strRef>
              <c:f>Pivot_Tables!$G$4:$G$11</c:f>
              <c:strCache>
                <c:ptCount val="7"/>
                <c:pt idx="0">
                  <c:v>Entertainment</c:v>
                </c:pt>
                <c:pt idx="1">
                  <c:v>Food &amp; Drink</c:v>
                </c:pt>
                <c:pt idx="2">
                  <c:v>Health &amp; Fitness</c:v>
                </c:pt>
                <c:pt idx="3">
                  <c:v>Rent</c:v>
                </c:pt>
                <c:pt idx="4">
                  <c:v>Shopping</c:v>
                </c:pt>
                <c:pt idx="5">
                  <c:v>Travel</c:v>
                </c:pt>
                <c:pt idx="6">
                  <c:v>Utilities</c:v>
                </c:pt>
              </c:strCache>
            </c:strRef>
          </c:cat>
          <c:val>
            <c:numRef>
              <c:f>Pivot_Tables!$H$4:$H$11</c:f>
              <c:numCache>
                <c:formatCode>0.00%</c:formatCode>
                <c:ptCount val="7"/>
                <c:pt idx="0">
                  <c:v>0.17583440353020072</c:v>
                </c:pt>
                <c:pt idx="1">
                  <c:v>0.15394154564476273</c:v>
                </c:pt>
                <c:pt idx="2">
                  <c:v>0.14047029867039756</c:v>
                </c:pt>
                <c:pt idx="3">
                  <c:v>0.11788985412436406</c:v>
                </c:pt>
                <c:pt idx="4">
                  <c:v>0.10770187764371651</c:v>
                </c:pt>
                <c:pt idx="5">
                  <c:v>0.18752174873075328</c:v>
                </c:pt>
                <c:pt idx="6">
                  <c:v>0.11664027165580516</c:v>
                </c:pt>
              </c:numCache>
            </c:numRef>
          </c:val>
          <c:extLst>
            <c:ext xmlns:c16="http://schemas.microsoft.com/office/drawing/2014/chart" uri="{C3380CC4-5D6E-409C-BE32-E72D297353CC}">
              <c16:uniqueId val="{0000000E-E44E-41F9-B174-55E1ECE305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201546520108204"/>
          <c:y val="0.14638011329310169"/>
          <c:w val="0.2911032558271428"/>
          <c:h val="0.8045037320703218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[Personal_Finance_Dataset_Project.xlsx]Pivot_Tables!PivotTable2</c:name>
    <c:fmtId val="9"/>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PH" sz="1800" b="1"/>
              <a:t>BUDGET STATUS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19050">
            <a:solidFill>
              <a:schemeClr val="accent2"/>
            </a:solid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w="19050">
            <a:solidFill>
              <a:schemeClr val="accent2"/>
            </a:solidFill>
          </a:ln>
          <a:effectLst/>
        </c:spP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549762478695808"/>
                  <c:h val="0.15859642552719314"/>
                </c:manualLayout>
              </c15:layout>
            </c:ext>
          </c:extLst>
        </c:dLbl>
      </c:pivotFmt>
      <c:pivotFmt>
        <c:idx val="4"/>
        <c:spPr>
          <a:solidFill>
            <a:schemeClr val="bg1"/>
          </a:solidFill>
          <a:ln w="19050">
            <a:solidFill>
              <a:schemeClr val="accent2"/>
            </a:solidFill>
          </a:ln>
          <a:effectLst/>
        </c:spP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122300019920801"/>
                  <c:h val="0.15859642552719314"/>
                </c:manualLayout>
              </c15:layout>
            </c:ext>
          </c:extLst>
        </c:dLbl>
      </c:pivotFmt>
    </c:pivotFmts>
    <c:plotArea>
      <c:layout/>
      <c:barChart>
        <c:barDir val="col"/>
        <c:grouping val="clustered"/>
        <c:varyColors val="0"/>
        <c:ser>
          <c:idx val="0"/>
          <c:order val="0"/>
          <c:tx>
            <c:strRef>
              <c:f>Pivot_Tables!$V$4</c:f>
              <c:strCache>
                <c:ptCount val="1"/>
                <c:pt idx="0">
                  <c:v>Total</c:v>
                </c:pt>
              </c:strCache>
            </c:strRef>
          </c:tx>
          <c:spPr>
            <a:solidFill>
              <a:schemeClr val="bg1"/>
            </a:solidFill>
            <a:ln w="19050">
              <a:solidFill>
                <a:schemeClr val="accent2"/>
              </a:solid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122300019920801"/>
                      <c:h val="0.15859642552719314"/>
                    </c:manualLayout>
                  </c15:layout>
                </c:ext>
                <c:ext xmlns:c16="http://schemas.microsoft.com/office/drawing/2014/chart" uri="{C3380CC4-5D6E-409C-BE32-E72D297353CC}">
                  <c16:uniqueId val="{00000002-D00C-42D9-9309-AC9EF64D522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7549762478695808"/>
                      <c:h val="0.15859642552719314"/>
                    </c:manualLayout>
                  </c15:layout>
                </c:ext>
                <c:ext xmlns:c16="http://schemas.microsoft.com/office/drawing/2014/chart" uri="{C3380CC4-5D6E-409C-BE32-E72D297353CC}">
                  <c16:uniqueId val="{00000001-D00C-42D9-9309-AC9EF64D5229}"/>
                </c:ext>
              </c:extLst>
            </c:dLbl>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Pivot_Tables!$U$5:$U$7</c:f>
              <c:strCache>
                <c:ptCount val="2"/>
                <c:pt idx="0">
                  <c:v>OK</c:v>
                </c:pt>
                <c:pt idx="1">
                  <c:v>Over Budget</c:v>
                </c:pt>
              </c:strCache>
            </c:strRef>
          </c:cat>
          <c:val>
            <c:numRef>
              <c:f>Pivot_Tables!$V$5:$V$7</c:f>
              <c:numCache>
                <c:formatCode>_-[$$-409]* #,##0.00_ ;_-[$$-409]* \-#,##0.00\ ;_-[$$-409]* "-"??_ ;_-@_ </c:formatCode>
                <c:ptCount val="2"/>
                <c:pt idx="0">
                  <c:v>22542.899999999998</c:v>
                </c:pt>
                <c:pt idx="1">
                  <c:v>192440.91</c:v>
                </c:pt>
              </c:numCache>
            </c:numRef>
          </c:val>
          <c:extLst>
            <c:ext xmlns:c16="http://schemas.microsoft.com/office/drawing/2014/chart" uri="{C3380CC4-5D6E-409C-BE32-E72D297353CC}">
              <c16:uniqueId val="{00000000-D00C-42D9-9309-AC9EF64D5229}"/>
            </c:ext>
          </c:extLst>
        </c:ser>
        <c:dLbls>
          <c:dLblPos val="outEnd"/>
          <c:showLegendKey val="0"/>
          <c:showVal val="1"/>
          <c:showCatName val="0"/>
          <c:showSerName val="0"/>
          <c:showPercent val="0"/>
          <c:showBubbleSize val="0"/>
        </c:dLbls>
        <c:gapWidth val="150"/>
        <c:axId val="1417916176"/>
        <c:axId val="1417919056"/>
      </c:barChart>
      <c:catAx>
        <c:axId val="141791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1417919056"/>
        <c:crosses val="autoZero"/>
        <c:auto val="1"/>
        <c:lblAlgn val="ctr"/>
        <c:lblOffset val="100"/>
        <c:noMultiLvlLbl val="0"/>
      </c:catAx>
      <c:valAx>
        <c:axId val="1417919056"/>
        <c:scaling>
          <c:orientation val="minMax"/>
        </c:scaling>
        <c:delete val="1"/>
        <c:axPos val="l"/>
        <c:numFmt formatCode="_-[$$-409]* #,##0.00_ ;_-[$$-409]* \-#,##0.00\ ;_-[$$-409]* &quot;-&quot;??_ ;_-@_ " sourceLinked="1"/>
        <c:majorTickMark val="out"/>
        <c:minorTickMark val="none"/>
        <c:tickLblPos val="nextTo"/>
        <c:crossAx val="141791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226845</xdr:colOff>
      <xdr:row>2</xdr:row>
      <xdr:rowOff>32084</xdr:rowOff>
    </xdr:from>
    <xdr:to>
      <xdr:col>19</xdr:col>
      <xdr:colOff>86477</xdr:colOff>
      <xdr:row>16</xdr:row>
      <xdr:rowOff>143376</xdr:rowOff>
    </xdr:to>
    <xdr:graphicFrame macro="">
      <xdr:nvGraphicFramePr>
        <xdr:cNvPr id="4" name="Chart 3">
          <a:extLst>
            <a:ext uri="{FF2B5EF4-FFF2-40B4-BE49-F238E27FC236}">
              <a16:creationId xmlns:a16="http://schemas.microsoft.com/office/drawing/2014/main" id="{EE5FF90E-5A66-9B56-11B6-3291FB155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853489</xdr:colOff>
      <xdr:row>12</xdr:row>
      <xdr:rowOff>57150</xdr:rowOff>
    </xdr:from>
    <xdr:to>
      <xdr:col>7</xdr:col>
      <xdr:colOff>863516</xdr:colOff>
      <xdr:row>26</xdr:row>
      <xdr:rowOff>168442</xdr:rowOff>
    </xdr:to>
    <xdr:graphicFrame macro="">
      <xdr:nvGraphicFramePr>
        <xdr:cNvPr id="5" name="Chart 4">
          <a:extLst>
            <a:ext uri="{FF2B5EF4-FFF2-40B4-BE49-F238E27FC236}">
              <a16:creationId xmlns:a16="http://schemas.microsoft.com/office/drawing/2014/main" id="{F1565E4E-805F-D81D-EE47-BBBC00230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834690</xdr:colOff>
      <xdr:row>27</xdr:row>
      <xdr:rowOff>182479</xdr:rowOff>
    </xdr:from>
    <xdr:to>
      <xdr:col>7</xdr:col>
      <xdr:colOff>844717</xdr:colOff>
      <xdr:row>42</xdr:row>
      <xdr:rowOff>105777</xdr:rowOff>
    </xdr:to>
    <xdr:graphicFrame macro="">
      <xdr:nvGraphicFramePr>
        <xdr:cNvPr id="6" name="Chart 5">
          <a:extLst>
            <a:ext uri="{FF2B5EF4-FFF2-40B4-BE49-F238E27FC236}">
              <a16:creationId xmlns:a16="http://schemas.microsoft.com/office/drawing/2014/main" id="{6B84878C-E506-512C-2796-BDA716DD7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414838</xdr:colOff>
      <xdr:row>7</xdr:row>
      <xdr:rowOff>157413</xdr:rowOff>
    </xdr:from>
    <xdr:to>
      <xdr:col>25</xdr:col>
      <xdr:colOff>575259</xdr:colOff>
      <xdr:row>22</xdr:row>
      <xdr:rowOff>80712</xdr:rowOff>
    </xdr:to>
    <xdr:graphicFrame macro="">
      <xdr:nvGraphicFramePr>
        <xdr:cNvPr id="2" name="Chart 1">
          <a:extLst>
            <a:ext uri="{FF2B5EF4-FFF2-40B4-BE49-F238E27FC236}">
              <a16:creationId xmlns:a16="http://schemas.microsoft.com/office/drawing/2014/main" id="{4CA91590-8884-3D4D-41EA-7E8DC092B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130675</xdr:colOff>
      <xdr:row>0</xdr:row>
      <xdr:rowOff>105612</xdr:rowOff>
    </xdr:from>
    <xdr:to>
      <xdr:col>22</xdr:col>
      <xdr:colOff>264025</xdr:colOff>
      <xdr:row>3</xdr:row>
      <xdr:rowOff>169112</xdr:rowOff>
    </xdr:to>
    <xdr:sp macro="" textlink="">
      <xdr:nvSpPr>
        <xdr:cNvPr id="2" name="Rectangle 1">
          <a:extLst>
            <a:ext uri="{FF2B5EF4-FFF2-40B4-BE49-F238E27FC236}">
              <a16:creationId xmlns:a16="http://schemas.microsoft.com/office/drawing/2014/main" id="{EB73A732-7256-60D6-99EF-3C8B2032E0CC}"/>
            </a:ext>
          </a:extLst>
        </xdr:cNvPr>
        <xdr:cNvSpPr/>
      </xdr:nvSpPr>
      <xdr:spPr>
        <a:xfrm>
          <a:off x="741981" y="105612"/>
          <a:ext cx="12970775" cy="617940"/>
        </a:xfrm>
        <a:prstGeom prst="rect">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225171</xdr:colOff>
      <xdr:row>0</xdr:row>
      <xdr:rowOff>146476</xdr:rowOff>
    </xdr:from>
    <xdr:to>
      <xdr:col>16</xdr:col>
      <xdr:colOff>170290</xdr:colOff>
      <xdr:row>3</xdr:row>
      <xdr:rowOff>41701</xdr:rowOff>
    </xdr:to>
    <xdr:sp macro="" textlink="">
      <xdr:nvSpPr>
        <xdr:cNvPr id="3" name="TextBox 2">
          <a:extLst>
            <a:ext uri="{FF2B5EF4-FFF2-40B4-BE49-F238E27FC236}">
              <a16:creationId xmlns:a16="http://schemas.microsoft.com/office/drawing/2014/main" id="{3A34CD85-AA5A-EA9B-6ADC-67C80331E1FA}"/>
            </a:ext>
          </a:extLst>
        </xdr:cNvPr>
        <xdr:cNvSpPr txBox="1"/>
      </xdr:nvSpPr>
      <xdr:spPr>
        <a:xfrm>
          <a:off x="3893007" y="146476"/>
          <a:ext cx="6058179" cy="449665"/>
        </a:xfrm>
        <a:prstGeom prst="rect">
          <a:avLst/>
        </a:prstGeom>
        <a:noFill/>
        <a:ln w="9525" cmpd="sng">
          <a:noFill/>
        </a:ln>
        <a:effectLst>
          <a:outerShdw blurRad="50800" dist="38100" dir="2700000" algn="tl" rotWithShape="0">
            <a:schemeClr val="tx1">
              <a:alpha val="40000"/>
            </a:scheme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3200" b="1">
              <a:solidFill>
                <a:schemeClr val="bg1"/>
              </a:solidFill>
            </a:rPr>
            <a:t>PERSONAL FINANCE DASHBOARD</a:t>
          </a:r>
        </a:p>
      </xdr:txBody>
    </xdr:sp>
    <xdr:clientData/>
  </xdr:twoCellAnchor>
  <xdr:twoCellAnchor>
    <xdr:from>
      <xdr:col>6</xdr:col>
      <xdr:colOff>362833</xdr:colOff>
      <xdr:row>4</xdr:row>
      <xdr:rowOff>71035</xdr:rowOff>
    </xdr:from>
    <xdr:to>
      <xdr:col>10</xdr:col>
      <xdr:colOff>293981</xdr:colOff>
      <xdr:row>9</xdr:row>
      <xdr:rowOff>51985</xdr:rowOff>
    </xdr:to>
    <xdr:sp macro="" textlink="">
      <xdr:nvSpPr>
        <xdr:cNvPr id="4" name="Rectangle: Rounded Corners 3">
          <a:extLst>
            <a:ext uri="{FF2B5EF4-FFF2-40B4-BE49-F238E27FC236}">
              <a16:creationId xmlns:a16="http://schemas.microsoft.com/office/drawing/2014/main" id="{31F0E549-00D8-ADBE-BE9E-FA9694257CA8}"/>
            </a:ext>
          </a:extLst>
        </xdr:cNvPr>
        <xdr:cNvSpPr/>
      </xdr:nvSpPr>
      <xdr:spPr>
        <a:xfrm>
          <a:off x="4030669" y="810289"/>
          <a:ext cx="2376372" cy="905017"/>
        </a:xfrm>
        <a:prstGeom prst="roundRect">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700" b="1"/>
            <a:t>EXPENSE:</a:t>
          </a:r>
        </a:p>
      </xdr:txBody>
    </xdr:sp>
    <xdr:clientData/>
  </xdr:twoCellAnchor>
  <xdr:twoCellAnchor>
    <xdr:from>
      <xdr:col>6</xdr:col>
      <xdr:colOff>371133</xdr:colOff>
      <xdr:row>6</xdr:row>
      <xdr:rowOff>17720</xdr:rowOff>
    </xdr:from>
    <xdr:to>
      <xdr:col>10</xdr:col>
      <xdr:colOff>2173</xdr:colOff>
      <xdr:row>8</xdr:row>
      <xdr:rowOff>82302</xdr:rowOff>
    </xdr:to>
    <xdr:sp macro="" textlink="Pivot_Tables!B4">
      <xdr:nvSpPr>
        <xdr:cNvPr id="5" name="TextBox 4">
          <a:extLst>
            <a:ext uri="{FF2B5EF4-FFF2-40B4-BE49-F238E27FC236}">
              <a16:creationId xmlns:a16="http://schemas.microsoft.com/office/drawing/2014/main" id="{6B9D9C67-64BB-8E81-95AA-30D852DAC2B8}"/>
            </a:ext>
          </a:extLst>
        </xdr:cNvPr>
        <xdr:cNvSpPr txBox="1"/>
      </xdr:nvSpPr>
      <xdr:spPr>
        <a:xfrm>
          <a:off x="4007951" y="1131032"/>
          <a:ext cx="2055586" cy="435686"/>
        </a:xfrm>
        <a:prstGeom prst="rect">
          <a:avLst/>
        </a:prstGeom>
        <a:noFill/>
        <a:ln w="9525" cmpd="sng">
          <a:noFill/>
        </a:ln>
        <a:effectLst>
          <a:outerShdw blurRad="50800" dist="38100" dir="2700000" algn="tl" rotWithShape="0">
            <a:schemeClr val="tx1">
              <a:alpha val="40000"/>
            </a:scheme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11CFC7C-721F-40D6-A1F6-9C9FE98F8854}" type="TxLink">
            <a:rPr lang="en-US" sz="2400" b="1" i="0" u="none" strike="noStrike">
              <a:solidFill>
                <a:schemeClr val="bg1"/>
              </a:solidFill>
              <a:latin typeface="Aptos Narrow"/>
            </a:rPr>
            <a:pPr algn="l"/>
            <a:t> $214,983.81 </a:t>
          </a:fld>
          <a:endParaRPr lang="en-PH" sz="2400" b="1" i="0" u="none" strike="noStrike">
            <a:solidFill>
              <a:schemeClr val="bg1"/>
            </a:solidFill>
            <a:latin typeface="Aptos Narrow"/>
          </a:endParaRPr>
        </a:p>
      </xdr:txBody>
    </xdr:sp>
    <xdr:clientData/>
  </xdr:twoCellAnchor>
  <xdr:twoCellAnchor>
    <xdr:from>
      <xdr:col>1</xdr:col>
      <xdr:colOff>333105</xdr:colOff>
      <xdr:row>4</xdr:row>
      <xdr:rowOff>100447</xdr:rowOff>
    </xdr:from>
    <xdr:to>
      <xdr:col>6</xdr:col>
      <xdr:colOff>305740</xdr:colOff>
      <xdr:row>19</xdr:row>
      <xdr:rowOff>11759</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AB411B7B-9DB0-4232-88E2-AE82D94400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39241" y="842655"/>
              <a:ext cx="3003317" cy="269459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395908</xdr:colOff>
      <xdr:row>9</xdr:row>
      <xdr:rowOff>131848</xdr:rowOff>
    </xdr:from>
    <xdr:to>
      <xdr:col>22</xdr:col>
      <xdr:colOff>102832</xdr:colOff>
      <xdr:row>23</xdr:row>
      <xdr:rowOff>69046</xdr:rowOff>
    </xdr:to>
    <xdr:sp macro="" textlink="">
      <xdr:nvSpPr>
        <xdr:cNvPr id="18" name="Rectangle: Rounded Corners 17">
          <a:extLst>
            <a:ext uri="{FF2B5EF4-FFF2-40B4-BE49-F238E27FC236}">
              <a16:creationId xmlns:a16="http://schemas.microsoft.com/office/drawing/2014/main" id="{777BE047-C7F4-61A8-7553-87549B70D654}"/>
            </a:ext>
          </a:extLst>
        </xdr:cNvPr>
        <xdr:cNvSpPr/>
      </xdr:nvSpPr>
      <xdr:spPr>
        <a:xfrm>
          <a:off x="4063744" y="1795169"/>
          <a:ext cx="9487819" cy="2524586"/>
        </a:xfrm>
        <a:prstGeom prst="roundRect">
          <a:avLst>
            <a:gd name="adj" fmla="val 5691"/>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550750</xdr:colOff>
      <xdr:row>10</xdr:row>
      <xdr:rowOff>63749</xdr:rowOff>
    </xdr:from>
    <xdr:to>
      <xdr:col>21</xdr:col>
      <xdr:colOff>590437</xdr:colOff>
      <xdr:row>22</xdr:row>
      <xdr:rowOff>134305</xdr:rowOff>
    </xdr:to>
    <xdr:graphicFrame macro="">
      <xdr:nvGraphicFramePr>
        <xdr:cNvPr id="19" name="Chart 18">
          <a:extLst>
            <a:ext uri="{FF2B5EF4-FFF2-40B4-BE49-F238E27FC236}">
              <a16:creationId xmlns:a16="http://schemas.microsoft.com/office/drawing/2014/main" id="{8EE3DCFE-3582-4CB1-ADEA-B4558A447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373706</xdr:colOff>
      <xdr:row>23</xdr:row>
      <xdr:rowOff>146065</xdr:rowOff>
    </xdr:from>
    <xdr:to>
      <xdr:col>14</xdr:col>
      <xdr:colOff>282221</xdr:colOff>
      <xdr:row>37</xdr:row>
      <xdr:rowOff>30075</xdr:rowOff>
    </xdr:to>
    <xdr:sp macro="" textlink="">
      <xdr:nvSpPr>
        <xdr:cNvPr id="33" name="Rectangle: Rounded Corners 32">
          <a:extLst>
            <a:ext uri="{FF2B5EF4-FFF2-40B4-BE49-F238E27FC236}">
              <a16:creationId xmlns:a16="http://schemas.microsoft.com/office/drawing/2014/main" id="{F1999D3D-090D-469E-BE06-662A617B3F9D}"/>
            </a:ext>
          </a:extLst>
        </xdr:cNvPr>
        <xdr:cNvSpPr/>
      </xdr:nvSpPr>
      <xdr:spPr>
        <a:xfrm>
          <a:off x="4041542" y="4396774"/>
          <a:ext cx="4798963" cy="2471398"/>
        </a:xfrm>
        <a:prstGeom prst="roundRect">
          <a:avLst>
            <a:gd name="adj" fmla="val 8057"/>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2000" b="1"/>
        </a:p>
      </xdr:txBody>
    </xdr:sp>
    <xdr:clientData/>
  </xdr:twoCellAnchor>
  <xdr:twoCellAnchor>
    <xdr:from>
      <xdr:col>14</xdr:col>
      <xdr:colOff>329259</xdr:colOff>
      <xdr:row>23</xdr:row>
      <xdr:rowOff>146065</xdr:rowOff>
    </xdr:from>
    <xdr:to>
      <xdr:col>22</xdr:col>
      <xdr:colOff>157228</xdr:colOff>
      <xdr:row>37</xdr:row>
      <xdr:rowOff>30075</xdr:rowOff>
    </xdr:to>
    <xdr:sp macro="" textlink="">
      <xdr:nvSpPr>
        <xdr:cNvPr id="37" name="Rectangle: Rounded Corners 36">
          <a:extLst>
            <a:ext uri="{FF2B5EF4-FFF2-40B4-BE49-F238E27FC236}">
              <a16:creationId xmlns:a16="http://schemas.microsoft.com/office/drawing/2014/main" id="{4490C00E-64FD-DF76-9532-4A613E03D824}"/>
            </a:ext>
          </a:extLst>
        </xdr:cNvPr>
        <xdr:cNvSpPr/>
      </xdr:nvSpPr>
      <xdr:spPr>
        <a:xfrm>
          <a:off x="8887543" y="4396774"/>
          <a:ext cx="4718416" cy="2471398"/>
        </a:xfrm>
        <a:prstGeom prst="roundRect">
          <a:avLst>
            <a:gd name="adj" fmla="val 8862"/>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2000" b="1"/>
        </a:p>
      </xdr:txBody>
    </xdr:sp>
    <xdr:clientData/>
  </xdr:twoCellAnchor>
  <xdr:twoCellAnchor>
    <xdr:from>
      <xdr:col>6</xdr:col>
      <xdr:colOff>496363</xdr:colOff>
      <xdr:row>24</xdr:row>
      <xdr:rowOff>51988</xdr:rowOff>
    </xdr:from>
    <xdr:to>
      <xdr:col>14</xdr:col>
      <xdr:colOff>19097</xdr:colOff>
      <xdr:row>37</xdr:row>
      <xdr:rowOff>56732</xdr:rowOff>
    </xdr:to>
    <xdr:graphicFrame macro="">
      <xdr:nvGraphicFramePr>
        <xdr:cNvPr id="40" name="Chart 39">
          <a:extLst>
            <a:ext uri="{FF2B5EF4-FFF2-40B4-BE49-F238E27FC236}">
              <a16:creationId xmlns:a16="http://schemas.microsoft.com/office/drawing/2014/main" id="{45EB38C8-8FE1-41E6-91CA-71B59CE21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442430</xdr:colOff>
      <xdr:row>24</xdr:row>
      <xdr:rowOff>87266</xdr:rowOff>
    </xdr:from>
    <xdr:to>
      <xdr:col>22</xdr:col>
      <xdr:colOff>64454</xdr:colOff>
      <xdr:row>37</xdr:row>
      <xdr:rowOff>28471</xdr:rowOff>
    </xdr:to>
    <xdr:graphicFrame macro="">
      <xdr:nvGraphicFramePr>
        <xdr:cNvPr id="41" name="Chart 40">
          <a:extLst>
            <a:ext uri="{FF2B5EF4-FFF2-40B4-BE49-F238E27FC236}">
              <a16:creationId xmlns:a16="http://schemas.microsoft.com/office/drawing/2014/main" id="{070B358C-DF87-418C-B680-5AA66A956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322639</xdr:colOff>
      <xdr:row>19</xdr:row>
      <xdr:rowOff>133941</xdr:rowOff>
    </xdr:from>
    <xdr:to>
      <xdr:col>6</xdr:col>
      <xdr:colOff>317500</xdr:colOff>
      <xdr:row>37</xdr:row>
      <xdr:rowOff>0</xdr:rowOff>
    </xdr:to>
    <xdr:sp macro="" textlink="">
      <xdr:nvSpPr>
        <xdr:cNvPr id="7" name="Rectangle: Rounded Corners 6">
          <a:extLst>
            <a:ext uri="{FF2B5EF4-FFF2-40B4-BE49-F238E27FC236}">
              <a16:creationId xmlns:a16="http://schemas.microsoft.com/office/drawing/2014/main" id="{6C245B6A-E7BB-47F1-B3F3-9C7E8ACDEAA9}"/>
            </a:ext>
          </a:extLst>
        </xdr:cNvPr>
        <xdr:cNvSpPr/>
      </xdr:nvSpPr>
      <xdr:spPr>
        <a:xfrm>
          <a:off x="933945" y="3645396"/>
          <a:ext cx="3051391" cy="3192701"/>
        </a:xfrm>
        <a:prstGeom prst="roundRect">
          <a:avLst>
            <a:gd name="adj" fmla="val 6815"/>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800" b="1"/>
        </a:p>
      </xdr:txBody>
    </xdr:sp>
    <xdr:clientData/>
  </xdr:twoCellAnchor>
  <xdr:twoCellAnchor>
    <xdr:from>
      <xdr:col>10</xdr:col>
      <xdr:colOff>374592</xdr:colOff>
      <xdr:row>4</xdr:row>
      <xdr:rowOff>71035</xdr:rowOff>
    </xdr:from>
    <xdr:to>
      <xdr:col>14</xdr:col>
      <xdr:colOff>305740</xdr:colOff>
      <xdr:row>9</xdr:row>
      <xdr:rowOff>51985</xdr:rowOff>
    </xdr:to>
    <xdr:sp macro="" textlink="">
      <xdr:nvSpPr>
        <xdr:cNvPr id="20" name="Rectangle: Rounded Corners 19">
          <a:extLst>
            <a:ext uri="{FF2B5EF4-FFF2-40B4-BE49-F238E27FC236}">
              <a16:creationId xmlns:a16="http://schemas.microsoft.com/office/drawing/2014/main" id="{2391100C-61BB-55CD-3CE2-6A9355F75805}"/>
            </a:ext>
          </a:extLst>
        </xdr:cNvPr>
        <xdr:cNvSpPr/>
      </xdr:nvSpPr>
      <xdr:spPr>
        <a:xfrm>
          <a:off x="6487652" y="810289"/>
          <a:ext cx="2376372" cy="905017"/>
        </a:xfrm>
        <a:prstGeom prst="roundRect">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700" b="1"/>
            <a:t>INCOME:</a:t>
          </a:r>
        </a:p>
      </xdr:txBody>
    </xdr:sp>
    <xdr:clientData/>
  </xdr:twoCellAnchor>
  <xdr:twoCellAnchor>
    <xdr:from>
      <xdr:col>10</xdr:col>
      <xdr:colOff>384260</xdr:colOff>
      <xdr:row>6</xdr:row>
      <xdr:rowOff>24479</xdr:rowOff>
    </xdr:from>
    <xdr:to>
      <xdr:col>14</xdr:col>
      <xdr:colOff>7869</xdr:colOff>
      <xdr:row>8</xdr:row>
      <xdr:rowOff>82377</xdr:rowOff>
    </xdr:to>
    <xdr:sp macro="" textlink="Pivot_Tables!B5">
      <xdr:nvSpPr>
        <xdr:cNvPr id="10" name="TextBox 9">
          <a:extLst>
            <a:ext uri="{FF2B5EF4-FFF2-40B4-BE49-F238E27FC236}">
              <a16:creationId xmlns:a16="http://schemas.microsoft.com/office/drawing/2014/main" id="{4C571FEF-E4F9-4DC3-92E4-5CCF8B211046}"/>
            </a:ext>
          </a:extLst>
        </xdr:cNvPr>
        <xdr:cNvSpPr txBox="1"/>
      </xdr:nvSpPr>
      <xdr:spPr>
        <a:xfrm>
          <a:off x="6445624" y="1137791"/>
          <a:ext cx="2048154" cy="429002"/>
        </a:xfrm>
        <a:prstGeom prst="rect">
          <a:avLst/>
        </a:prstGeom>
        <a:noFill/>
        <a:ln w="9525" cmpd="sng">
          <a:noFill/>
        </a:ln>
        <a:effectLst>
          <a:outerShdw blurRad="50800" dist="38100" dir="2700000" algn="tl" rotWithShape="0">
            <a:schemeClr val="tx1">
              <a:alpha val="40000"/>
            </a:scheme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CE9A1FB-B9E4-4C3A-81C9-0E7EF6228BA5}" type="TxLink">
            <a:rPr lang="en-US" sz="2400" b="1" i="0" u="none" strike="noStrike">
              <a:solidFill>
                <a:schemeClr val="bg1"/>
              </a:solidFill>
              <a:latin typeface="Aptos Narrow"/>
              <a:ea typeface="+mn-ea"/>
              <a:cs typeface="+mn-cs"/>
            </a:rPr>
            <a:pPr marL="0" indent="0" algn="l"/>
            <a:t> $209,617.65 </a:t>
          </a:fld>
          <a:endParaRPr lang="en-PH" sz="2400" b="1" i="0" u="none" strike="noStrike">
            <a:solidFill>
              <a:schemeClr val="bg1"/>
            </a:solidFill>
            <a:latin typeface="Aptos Narrow"/>
            <a:ea typeface="+mn-ea"/>
            <a:cs typeface="+mn-cs"/>
          </a:endParaRPr>
        </a:p>
      </xdr:txBody>
    </xdr:sp>
    <xdr:clientData/>
  </xdr:twoCellAnchor>
  <xdr:twoCellAnchor>
    <xdr:from>
      <xdr:col>14</xdr:col>
      <xdr:colOff>351074</xdr:colOff>
      <xdr:row>4</xdr:row>
      <xdr:rowOff>71035</xdr:rowOff>
    </xdr:from>
    <xdr:to>
      <xdr:col>18</xdr:col>
      <xdr:colOff>282222</xdr:colOff>
      <xdr:row>9</xdr:row>
      <xdr:rowOff>51985</xdr:rowOff>
    </xdr:to>
    <xdr:sp macro="" textlink="">
      <xdr:nvSpPr>
        <xdr:cNvPr id="21" name="Rectangle: Rounded Corners 20">
          <a:extLst>
            <a:ext uri="{FF2B5EF4-FFF2-40B4-BE49-F238E27FC236}">
              <a16:creationId xmlns:a16="http://schemas.microsoft.com/office/drawing/2014/main" id="{037B7380-0F24-B36B-DAF3-58788D83E756}"/>
            </a:ext>
          </a:extLst>
        </xdr:cNvPr>
        <xdr:cNvSpPr/>
      </xdr:nvSpPr>
      <xdr:spPr>
        <a:xfrm>
          <a:off x="8909358" y="810289"/>
          <a:ext cx="2376371" cy="905017"/>
        </a:xfrm>
        <a:prstGeom prst="roundRect">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700" b="1"/>
            <a:t>NET SAVINGS:</a:t>
          </a:r>
        </a:p>
      </xdr:txBody>
    </xdr:sp>
    <xdr:clientData/>
  </xdr:twoCellAnchor>
  <xdr:twoCellAnchor>
    <xdr:from>
      <xdr:col>14</xdr:col>
      <xdr:colOff>371239</xdr:colOff>
      <xdr:row>6</xdr:row>
      <xdr:rowOff>11460</xdr:rowOff>
    </xdr:from>
    <xdr:to>
      <xdr:col>17</xdr:col>
      <xdr:colOff>465442</xdr:colOff>
      <xdr:row>8</xdr:row>
      <xdr:rowOff>117757</xdr:rowOff>
    </xdr:to>
    <xdr:sp macro="" textlink="Pivot_Tables!B7">
      <xdr:nvSpPr>
        <xdr:cNvPr id="13" name="TextBox 12">
          <a:extLst>
            <a:ext uri="{FF2B5EF4-FFF2-40B4-BE49-F238E27FC236}">
              <a16:creationId xmlns:a16="http://schemas.microsoft.com/office/drawing/2014/main" id="{142B7AFF-1363-BF02-F04E-007219C26208}"/>
            </a:ext>
          </a:extLst>
        </xdr:cNvPr>
        <xdr:cNvSpPr txBox="1"/>
      </xdr:nvSpPr>
      <xdr:spPr>
        <a:xfrm>
          <a:off x="8857148" y="1124772"/>
          <a:ext cx="1912612" cy="477401"/>
        </a:xfrm>
        <a:prstGeom prst="rect">
          <a:avLst/>
        </a:prstGeom>
        <a:noFill/>
        <a:ln w="9525" cmpd="sng">
          <a:noFill/>
        </a:ln>
        <a:effectLst>
          <a:outerShdw blurRad="50800" dist="38100" dir="2700000" algn="tl" rotWithShape="0">
            <a:schemeClr val="tx1">
              <a:alpha val="40000"/>
            </a:scheme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21CAF3A-B3B4-4865-BC6D-0E0823C7F379}" type="TxLink">
            <a:rPr lang="en-US" sz="2400" b="1" i="0" u="none" strike="noStrike">
              <a:solidFill>
                <a:schemeClr val="bg1"/>
              </a:solidFill>
              <a:latin typeface="Aptos Narrow"/>
              <a:ea typeface="+mn-ea"/>
              <a:cs typeface="+mn-cs"/>
            </a:rPr>
            <a:pPr marL="0" indent="0" algn="l"/>
            <a:t> $-5,366.16 </a:t>
          </a:fld>
          <a:endParaRPr lang="en-PH" sz="2400" b="1" i="0" u="none" strike="noStrike">
            <a:solidFill>
              <a:schemeClr val="bg1"/>
            </a:solidFill>
            <a:latin typeface="Aptos Narrow"/>
            <a:ea typeface="+mn-ea"/>
            <a:cs typeface="+mn-cs"/>
          </a:endParaRPr>
        </a:p>
      </xdr:txBody>
    </xdr:sp>
    <xdr:clientData/>
  </xdr:twoCellAnchor>
  <xdr:twoCellAnchor>
    <xdr:from>
      <xdr:col>18</xdr:col>
      <xdr:colOff>339314</xdr:colOff>
      <xdr:row>4</xdr:row>
      <xdr:rowOff>71035</xdr:rowOff>
    </xdr:from>
    <xdr:to>
      <xdr:col>22</xdr:col>
      <xdr:colOff>82314</xdr:colOff>
      <xdr:row>9</xdr:row>
      <xdr:rowOff>51985</xdr:rowOff>
    </xdr:to>
    <xdr:sp macro="" textlink="">
      <xdr:nvSpPr>
        <xdr:cNvPr id="22" name="Rectangle: Rounded Corners 21">
          <a:extLst>
            <a:ext uri="{FF2B5EF4-FFF2-40B4-BE49-F238E27FC236}">
              <a16:creationId xmlns:a16="http://schemas.microsoft.com/office/drawing/2014/main" id="{1119C3FF-1294-FB06-733E-D446B00E45BA}"/>
            </a:ext>
          </a:extLst>
        </xdr:cNvPr>
        <xdr:cNvSpPr/>
      </xdr:nvSpPr>
      <xdr:spPr>
        <a:xfrm>
          <a:off x="11342821" y="810289"/>
          <a:ext cx="2188224" cy="905017"/>
        </a:xfrm>
        <a:prstGeom prst="roundRect">
          <a:avLst/>
        </a:prstGeom>
        <a:ln>
          <a:noFill/>
        </a:ln>
        <a:effectLst>
          <a:outerShdw blurRad="50800" dist="38100" dir="2700000" algn="tl" rotWithShape="0">
            <a:schemeClr val="tx1">
              <a:alpha val="40000"/>
            </a:scheme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700" b="1"/>
            <a:t>NET SAVINGS:</a:t>
          </a:r>
        </a:p>
      </xdr:txBody>
    </xdr:sp>
    <xdr:clientData/>
  </xdr:twoCellAnchor>
  <xdr:twoCellAnchor>
    <xdr:from>
      <xdr:col>18</xdr:col>
      <xdr:colOff>383285</xdr:colOff>
      <xdr:row>6</xdr:row>
      <xdr:rowOff>20986</xdr:rowOff>
    </xdr:from>
    <xdr:to>
      <xdr:col>21</xdr:col>
      <xdr:colOff>411337</xdr:colOff>
      <xdr:row>8</xdr:row>
      <xdr:rowOff>95881</xdr:rowOff>
    </xdr:to>
    <xdr:sp macro="" textlink="Pivot_Tables!B8">
      <xdr:nvSpPr>
        <xdr:cNvPr id="14" name="TextBox 13">
          <a:extLst>
            <a:ext uri="{FF2B5EF4-FFF2-40B4-BE49-F238E27FC236}">
              <a16:creationId xmlns:a16="http://schemas.microsoft.com/office/drawing/2014/main" id="{BD4463B7-D6AA-8C48-7E1B-D444FD09AF32}"/>
            </a:ext>
          </a:extLst>
        </xdr:cNvPr>
        <xdr:cNvSpPr txBox="1"/>
      </xdr:nvSpPr>
      <xdr:spPr>
        <a:xfrm>
          <a:off x="11293740" y="1134298"/>
          <a:ext cx="1846461" cy="445999"/>
        </a:xfrm>
        <a:prstGeom prst="rect">
          <a:avLst/>
        </a:prstGeom>
        <a:noFill/>
        <a:ln w="9525" cmpd="sng">
          <a:noFill/>
        </a:ln>
        <a:effectLst>
          <a:outerShdw blurRad="50800" dist="38100" dir="2700000" algn="tl" rotWithShape="0">
            <a:schemeClr val="tx1">
              <a:alpha val="40000"/>
            </a:scheme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D62137-8782-4747-8567-D3B472C58106}" type="TxLink">
            <a:rPr lang="en-US" sz="2400" b="1" i="0" u="none" strike="noStrike">
              <a:solidFill>
                <a:schemeClr val="bg1"/>
              </a:solidFill>
              <a:latin typeface="Aptos Narrow"/>
              <a:ea typeface="+mn-ea"/>
              <a:cs typeface="+mn-cs"/>
            </a:rPr>
            <a:pPr marL="0" indent="0"/>
            <a:t>-3%</a:t>
          </a:fld>
          <a:endParaRPr lang="en-PH" sz="2400" b="1" i="0" u="none" strike="noStrike">
            <a:solidFill>
              <a:schemeClr val="bg1"/>
            </a:solidFill>
            <a:latin typeface="Aptos Narrow"/>
            <a:ea typeface="+mn-ea"/>
            <a:cs typeface="+mn-cs"/>
          </a:endParaRPr>
        </a:p>
      </xdr:txBody>
    </xdr:sp>
    <xdr:clientData/>
  </xdr:twoCellAnchor>
  <xdr:twoCellAnchor>
    <xdr:from>
      <xdr:col>1</xdr:col>
      <xdr:colOff>435429</xdr:colOff>
      <xdr:row>20</xdr:row>
      <xdr:rowOff>68035</xdr:rowOff>
    </xdr:from>
    <xdr:to>
      <xdr:col>6</xdr:col>
      <xdr:colOff>217714</xdr:colOff>
      <xdr:row>36</xdr:row>
      <xdr:rowOff>149678</xdr:rowOff>
    </xdr:to>
    <xdr:graphicFrame macro="">
      <xdr:nvGraphicFramePr>
        <xdr:cNvPr id="24" name="Chart 23">
          <a:extLst>
            <a:ext uri="{FF2B5EF4-FFF2-40B4-BE49-F238E27FC236}">
              <a16:creationId xmlns:a16="http://schemas.microsoft.com/office/drawing/2014/main" id="{AEB8DFCB-CC0D-4531-A49B-9B5AF0BA8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6.72980439815" createdVersion="8" refreshedVersion="8" minRefreshableVersion="3" recordCount="1500" xr:uid="{6FE70B99-BE9D-4EDA-9AE4-0E4B4BCF56B1}">
  <cacheSource type="worksheet">
    <worksheetSource name="Table1_1"/>
  </cacheSource>
  <cacheFields count="10">
    <cacheField name="Date" numFmtId="14">
      <sharedItems containsSemiMixedTypes="0" containsNonDate="0" containsDate="1" containsString="0" minDate="2020-01-02T00:00:00" maxDate="2024-12-30T00:00:00"/>
    </cacheField>
    <cacheField name="Transaction Description" numFmtId="0">
      <sharedItems count="1500">
        <s v="Score each."/>
        <s v="Quality throughout."/>
        <s v="Instead ahead despite measure ago."/>
        <s v="Information last everything thank serve."/>
        <s v="Future choice whatever from."/>
        <s v="Benefit suggest page southern."/>
        <s v="By two bad fall pick."/>
        <s v="Court attorney product significant world."/>
        <s v="Herself law."/>
        <s v="Have decide environment."/>
        <s v="Play move each left establish."/>
        <s v="Range successful simply."/>
        <s v="Source husband."/>
        <s v="Tree note responsibility."/>
        <s v="How trip learn enter."/>
        <s v="Much section investment on gun."/>
        <s v="Management sense technology check civil."/>
        <s v="As high you more wife."/>
        <s v="Race mr."/>
        <s v="Born itself law west."/>
        <s v="Seven medical blood personal."/>
        <s v="Current hear claim well two."/>
        <s v="Food affect upon these story."/>
        <s v="Around there water."/>
        <s v="Staff within mouth call."/>
        <s v="Close month parent who up."/>
        <s v="Human public health."/>
        <s v="Building different full open."/>
        <s v="Detail audience piece director town."/>
        <s v="Method everything."/>
        <s v="Much rich think."/>
        <s v="Drug list imagine behind."/>
        <s v="Interest level rock pull."/>
        <s v="I fund."/>
        <s v="Court movie cell."/>
        <s v="Leg themselves away."/>
        <s v="Anything yourself."/>
        <s v="Unit support."/>
        <s v="Magazine degree husband around."/>
        <s v="World enter."/>
        <s v="Institution whatever yet."/>
        <s v="Choice father why often."/>
        <s v="Security arm."/>
        <s v="Me system church whether."/>
        <s v="Attention attack technology."/>
        <s v="Walk now often."/>
        <s v="Bank price north first end."/>
        <s v="Enter capital population."/>
        <s v="Upon very act perform."/>
        <s v="Available defense."/>
        <s v="Value thing these."/>
        <s v="Citizen street region."/>
        <s v="Property never."/>
        <s v="Enough threat score."/>
        <s v="Example decision garden."/>
        <s v="Major town suffer begin."/>
        <s v="Analysis four capital."/>
        <s v="Scientist necessary into."/>
        <s v="Away third."/>
        <s v="Along hard need involve among."/>
        <s v="Together decide."/>
        <s v="Government nice."/>
        <s v="See understand door class son."/>
        <s v="Agent say forward us."/>
        <s v="City red him."/>
        <s v="Develop staff least figure."/>
        <s v="Age cover foreign."/>
        <s v="Go meeting quickly."/>
        <s v="Voice boy wife condition."/>
        <s v="Board its."/>
        <s v="Paper memory history office."/>
        <s v="Remember ability."/>
        <s v="Hair attorney professional."/>
        <s v="Finish summer rest feel finally."/>
        <s v="I fast camera inside."/>
        <s v="Past feeling nature."/>
        <s v="Expert involve oil."/>
        <s v="Kid put memory soldier."/>
        <s v="Exist professional."/>
        <s v="Stand seem."/>
        <s v="Southern challenge animal."/>
        <s v="Sure authority increase picture create."/>
        <s v="Hundred challenge reach throughout."/>
        <s v="Despite sound receive let."/>
        <s v="True building card."/>
        <s v="Write other wear through partner."/>
        <s v="Store natural today season."/>
        <s v="Else easy point she."/>
        <s v="Phone ever back experience."/>
        <s v="Floor music catch discuss."/>
        <s v="Ask imagine my."/>
        <s v="Deal information."/>
        <s v="Task she."/>
        <s v="Accept goal send table."/>
        <s v="Section national owner determine detail."/>
        <s v="Ahead from quickly identify."/>
        <s v="Try wonder move trade."/>
        <s v="Base investment."/>
        <s v="Anyone here deep."/>
        <s v="Seven here sell story."/>
        <s v="Like see."/>
        <s v="Difference attention whatever american."/>
        <s v="Current after charge."/>
        <s v="Prove nor design record."/>
        <s v="Paper white responsibility."/>
        <s v="Blue agent find."/>
        <s v="Walk cup option store."/>
        <s v="Recent feeling."/>
        <s v="Site girl into have media."/>
        <s v="Support state."/>
        <s v="Whether player stock religious."/>
        <s v="Safe whole establish."/>
        <s v="Let stay or focus."/>
        <s v="Everything late."/>
        <s v="Particular her agreement surface consider."/>
        <s v="Something future they red."/>
        <s v="Act way beat result major."/>
        <s v="Position make society behavior."/>
        <s v="Reality fill ok list."/>
        <s v="International second former reflect."/>
        <s v="Edge building court."/>
        <s v="Week real course school everybody."/>
        <s v="Executive beyond create dinner conference."/>
        <s v="Call animal approach factor want."/>
        <s v="Their off."/>
        <s v="Key continue anything wait."/>
        <s v="State husband."/>
        <s v="Picture approach chance none fight."/>
        <s v="Newspaper indicate other."/>
        <s v="Herself training father open investment."/>
        <s v="Art whether between several personal."/>
        <s v="Church community."/>
        <s v="Able late order."/>
        <s v="Discuss religious."/>
        <s v="Reach under."/>
        <s v="Boy different chance enter."/>
        <s v="Arrive society."/>
        <s v="Keep light fight."/>
        <s v="Matter management ball."/>
        <s v="Same page ago director."/>
        <s v="Week yourself public especially american."/>
        <s v="Million kind everything young."/>
        <s v="Why like impact fly."/>
        <s v="Form really explain."/>
        <s v="Already because education break significant."/>
        <s v="Price my."/>
        <s v="Could gun."/>
        <s v="Kind appear environment capital explain."/>
        <s v="Ahead picture son."/>
        <s v="Nearly need behavior."/>
        <s v="Water positive child usually."/>
        <s v="Relate indeed lot line lead."/>
        <s v="Course out second carry."/>
        <s v="Significant take future."/>
        <s v="Star executive fear."/>
        <s v="Your majority chance mrs generation."/>
        <s v="Help usually thank wonder draw."/>
        <s v="Task improve fish."/>
        <s v="History professional star wonder."/>
        <s v="Call whole."/>
        <s v="Them key."/>
        <s v="Address century that wide."/>
        <s v="Sit enter perhaps however."/>
        <s v="System teacher here first."/>
        <s v="Along attention piece tv young."/>
        <s v="Within set region beyond."/>
        <s v="Tough animal someone."/>
        <s v="Hear certainly most not."/>
        <s v="Company participant him."/>
        <s v="Tree central leave effect."/>
        <s v="Together let."/>
        <s v="Citizen kid generation onto police."/>
        <s v="Lead few yourself."/>
        <s v="Down occur."/>
        <s v="Yeah far within."/>
        <s v="Account ten sing."/>
        <s v="Seat strategy total simply discover."/>
        <s v="Pm per question."/>
        <s v="Best physical always small almost."/>
        <s v="Bed far section."/>
        <s v="Car much will."/>
        <s v="Tree store either station."/>
        <s v="Second full boy."/>
        <s v="Senior difficult put."/>
        <s v="Hand so add mr lawyer."/>
        <s v="Herself police he push likely."/>
        <s v="Trip determine as statement."/>
        <s v="Bring animal also you."/>
        <s v="Doctor mr."/>
        <s v="He we recent music."/>
        <s v="Those pressure street."/>
        <s v="Allow have kitchen."/>
        <s v="Between rate name within."/>
        <s v="Huge couple."/>
        <s v="Begin deep police wife."/>
        <s v="During call north attention."/>
        <s v="Only spend do."/>
        <s v="Able teach certain candidate economy."/>
        <s v="Produce ago."/>
        <s v="So draw food company."/>
        <s v="Score moment second."/>
        <s v="Sing message board mean."/>
        <s v="Feeling poor all your suggest."/>
        <s v="Make travel."/>
        <s v="Focus chance."/>
        <s v="Person one republican."/>
        <s v="Most law painting between reduce."/>
        <s v="Involve thousand including."/>
        <s v="Indeed believe interview professor."/>
        <s v="Rather listen before."/>
        <s v="It season."/>
        <s v="News only no."/>
        <s v="Improve them wait."/>
        <s v="Why outside."/>
        <s v="Official defense."/>
        <s v="Suggest glass news."/>
        <s v="Off southern suddenly."/>
        <s v="Participant price."/>
        <s v="Congress reflect."/>
        <s v="Go consider century price."/>
        <s v="Scientist will begin."/>
        <s v="Heavy law church."/>
        <s v="Since nothing be apply."/>
        <s v="Anyone bank kitchen interest parent."/>
        <s v="Democratic mention generation."/>
        <s v="Question or money."/>
        <s v="Determine worker."/>
        <s v="Daughter war."/>
        <s v="Face build market."/>
        <s v="Can mouth discover."/>
        <s v="Author technology amount affect."/>
        <s v="Office of remember individual."/>
        <s v="Again foot soon peace."/>
        <s v="Join black."/>
        <s v="Hundred bad that second develop."/>
        <s v="Member box."/>
        <s v="Town glass road."/>
        <s v="Bill eight community."/>
        <s v="Concern significant."/>
        <s v="Senior service large under."/>
        <s v="Follow wife firm key light."/>
        <s v="Option goal avoid."/>
        <s v="Also hard expert popular."/>
        <s v="Order his oil west school."/>
        <s v="Training occur could painting."/>
        <s v="Whatever late specific."/>
        <s v="Mean common."/>
        <s v="Yard model particular hair."/>
        <s v="Impact full our smile."/>
        <s v="Form newspaper."/>
        <s v="Edge surface who."/>
        <s v="Bank professional true financial."/>
        <s v="Organization visit finally."/>
        <s v="Spend prove stock school."/>
        <s v="Position interest."/>
        <s v="Guy congress."/>
        <s v="Way main difficult case."/>
        <s v="Such big side."/>
        <s v="Product then."/>
        <s v="Heavy class story side speak."/>
        <s v="Analysis hair rest wide."/>
        <s v="Doctor dream whole six."/>
        <s v="Question now key show."/>
        <s v="Month whom stage soon."/>
        <s v="Appear lose he."/>
        <s v="Surface expect several evening town."/>
        <s v="Begin treat stage this."/>
        <s v="Apply maybe dog yes."/>
        <s v="Agreement us stuff."/>
        <s v="Case expert stop."/>
        <s v="Large accept bad eight."/>
        <s v="Vote participant institution simply down."/>
        <s v="Draw police."/>
        <s v="Book toward."/>
        <s v="Place offer."/>
        <s v="Investment pass drive."/>
        <s v="Professor beat window."/>
        <s v="Name skill medical after them."/>
        <s v="Wonder effect administration small."/>
        <s v="Run pick sign."/>
        <s v="And national spend."/>
        <s v="Wonder long consider care."/>
        <s v="Fall analysis."/>
        <s v="Firm financial."/>
        <s v="List already positive experience television."/>
        <s v="Event son join hundred."/>
        <s v="Fund cost reality happen."/>
        <s v="Song risk bad."/>
        <s v="Family bill foreign fast knowledge."/>
        <s v="Ready goal amount."/>
        <s v="Your ever woman way avoid."/>
        <s v="Message seek civil all."/>
        <s v="Call door."/>
        <s v="Him note painting quickly."/>
        <s v="Know baby case happen."/>
        <s v="Economic box save."/>
        <s v="Hit no energy employee land."/>
        <s v="Customer career available common."/>
        <s v="Specific whose."/>
        <s v="Remember nearly face feel."/>
        <s v="Soldier meeting building."/>
        <s v="Door management guess."/>
        <s v="Level work candidate this."/>
        <s v="Huge response long."/>
        <s v="Statement available win politics."/>
        <s v="Quite general there sister."/>
        <s v="Item treat area."/>
        <s v="Check clearly follow remember generation."/>
        <s v="Suffer economy play."/>
        <s v="By field move."/>
        <s v="Option oil commercial."/>
        <s v="American tell ball we side."/>
        <s v="Short indicate police."/>
        <s v="Nation politics few each southern."/>
        <s v="Law read citizen."/>
        <s v="Less future century technology."/>
        <s v="Wish candidate have no."/>
        <s v="Letter environment easy."/>
        <s v="Face his."/>
        <s v="While total spend."/>
        <s v="Couple city you level."/>
        <s v="Age war measure whom."/>
        <s v="Good anything manager think pressure."/>
        <s v="Mr suggest issue."/>
        <s v="Shake hand hundred now."/>
        <s v="Network available mean share."/>
        <s v="Quite budget window hour some."/>
        <s v="Voice sense current meeting matter."/>
        <s v="Case four."/>
        <s v="Lead paper middle foreign party."/>
        <s v="Wrong school federal from."/>
        <s v="Majority none little admit former."/>
        <s v="On someone rise read."/>
        <s v="Listen whose situation simply officer."/>
        <s v="Lose modern return simple herself."/>
        <s v="Occur red."/>
        <s v="Kid industry."/>
        <s v="Improve simple turn."/>
        <s v="Million night your."/>
        <s v="Heavy what least mouth national."/>
        <s v="Machine whatever everything fear walk."/>
        <s v="Relate real major."/>
        <s v="Night various return explain."/>
        <s v="Here woman stand west source."/>
        <s v="Explain research."/>
        <s v="Pretty section degree still."/>
        <s v="Receive case past only drug."/>
        <s v="Point appear including."/>
        <s v="Race case."/>
        <s v="Imagine various there."/>
        <s v="Sense expert experience."/>
        <s v="Present discussion."/>
        <s v="Individual study value."/>
        <s v="Small control see the."/>
        <s v="Across nothing."/>
        <s v="Expect writer myself management."/>
        <s v="Life cover both class."/>
        <s v="Responsibility add front."/>
        <s v="Purpose cover particularly police if."/>
        <s v="Foreign husband believe word local."/>
        <s v="End dog."/>
        <s v="Few reveal activity president."/>
        <s v="Property let."/>
        <s v="Rather type thousand show."/>
        <s v="Happen determine whatever."/>
        <s v="Lawyer writer health."/>
        <s v="Serious soon stay seven."/>
        <s v="Land region back nor article."/>
        <s v="Dark mr clearly take."/>
        <s v="Quite response."/>
        <s v="Together knowledge."/>
        <s v="Car indeed nor next."/>
        <s v="How staff."/>
        <s v="Authority interest red must art."/>
        <s v="All important shoulder she."/>
        <s v="Year him thank trade."/>
        <s v="Radio product."/>
        <s v="President girl condition."/>
        <s v="More road development about."/>
        <s v="Leg rest interest."/>
        <s v="Easy get every."/>
        <s v="Special information."/>
        <s v="Deal beyond almost."/>
        <s v="Scientist i doctor."/>
        <s v="Cell year."/>
        <s v="Five our pull fly few."/>
        <s v="Determine feel article we they."/>
        <s v="Quickly new another general poor."/>
        <s v="Five indicate chance heavy senior."/>
        <s v="Support feeling remain."/>
        <s v="None whose."/>
        <s v="Care drug data position two."/>
        <s v="Movie stop."/>
        <s v="Help painting always."/>
        <s v="Source onto provide."/>
        <s v="Decade trade field training."/>
        <s v="While bring yourself."/>
        <s v="Receive region however."/>
        <s v="Focus executive letter possible final."/>
        <s v="Third letter sort reveal seven."/>
        <s v="Have including none."/>
        <s v="Administration network once."/>
        <s v="Charge form here."/>
        <s v="Nearly want front shake."/>
        <s v="Leave run goal cause."/>
        <s v="Contain threat wrong whatever."/>
        <s v="Stuff avoid."/>
        <s v="Include successful."/>
        <s v="Religious across."/>
        <s v="Health pay project pattern."/>
        <s v="Administration mother in admit."/>
        <s v="Within admit spend purpose south."/>
        <s v="Truth modern."/>
        <s v="People education great."/>
        <s v="Health image."/>
        <s v="Wrong difficult range."/>
        <s v="Behavior here."/>
        <s v="Argue act commercial matter."/>
        <s v="Not teach believe month."/>
        <s v="Deep test thought."/>
        <s v="Another avoid understand."/>
        <s v="Probably conference sure administration debate."/>
        <s v="Up federal nor note."/>
        <s v="Forward sense cause write right."/>
        <s v="Approach join stuff future."/>
        <s v="Ahead event yeah make."/>
        <s v="Wait it quickly produce beat."/>
        <s v="Require bank child."/>
        <s v="First blood accept final."/>
        <s v="Bill beautiful issue."/>
        <s v="Mention billion bed never others."/>
        <s v="Activity including single right."/>
        <s v="Occur college herself."/>
        <s v="Feeling manage as."/>
        <s v="Inside machine baby."/>
        <s v="Result many pattern."/>
        <s v="Career according."/>
        <s v="Success here television key."/>
        <s v="Carry fly water cut fire."/>
        <s v="Fact reason make office."/>
        <s v="Heavy staff hotel box."/>
        <s v="Or nation race."/>
        <s v="Well left."/>
        <s v="Something story attorney summer."/>
        <s v="Cause field education child."/>
        <s v="Available wrong look husband."/>
        <s v="Myself so growth time."/>
        <s v="Point be shoulder price great."/>
        <s v="Worker quality hundred sell whole."/>
        <s v="Action else."/>
        <s v="Newspaper reach determine hear leg."/>
        <s v="General agency bit."/>
        <s v="Break wait."/>
        <s v="Find lay deal lot."/>
        <s v="Just recent."/>
        <s v="Feel special."/>
        <s v="Support possible."/>
        <s v="Might necessary former."/>
        <s v="Discussion if continue policy."/>
        <s v="Ahead pass culture or."/>
        <s v="Relate day."/>
        <s v="Big the cost for leader."/>
        <s v="Month police others particularly."/>
        <s v="Girl suddenly."/>
        <s v="Try opportunity public."/>
        <s v="Draw bring health."/>
        <s v="Home others offer institution main."/>
        <s v="Never majority cell."/>
        <s v="People tend weight machine."/>
        <s v="White measure manager range."/>
        <s v="Major bar air set."/>
        <s v="Ever mrs."/>
        <s v="Not significant manager member."/>
        <s v="Environmental myself."/>
        <s v="State among rest national wrong."/>
        <s v="Fear yourself last."/>
        <s v="Keep yes."/>
        <s v="Specific onto go."/>
        <s v="Pattern size spend."/>
        <s v="Go exactly much food region."/>
        <s v="Environment teach world quickly believe."/>
        <s v="Yeah term."/>
        <s v="Economic represent stock."/>
        <s v="Central plan physical heart."/>
        <s v="Idea seek."/>
        <s v="Wear force able similar."/>
        <s v="Play recently sure somebody."/>
        <s v="Why station manager."/>
        <s v="Front official not."/>
        <s v="Thus several animal phone."/>
        <s v="Buy tax."/>
        <s v="A when dark read."/>
        <s v="City usually ever."/>
        <s v="Bar professor power."/>
        <s v="Personal rise sense investment."/>
        <s v="Ability live."/>
        <s v="Difficult quite act receive stage."/>
        <s v="Local director become."/>
        <s v="Finish thing."/>
        <s v="Similar send card year."/>
        <s v="Most across."/>
        <s v="Goal defense security turn."/>
        <s v="Beautiful beyond sell."/>
        <s v="White fire cause everybody."/>
        <s v="Network outside parent."/>
        <s v="Day parent country."/>
        <s v="Position six soldier."/>
        <s v="History drop point audience."/>
        <s v="Value car team nothing."/>
        <s v="Raise several west side admit."/>
        <s v="Energy always."/>
        <s v="Media pick may indeed."/>
        <s v="Policy mrs."/>
        <s v="Base bad tv."/>
        <s v="Force only shake power poor."/>
        <s v="Role suffer around beat."/>
        <s v="Law participant."/>
        <s v="Budget remain reduce."/>
        <s v="Well mission situation result."/>
        <s v="Camera sit environmental though."/>
        <s v="Southern evening ask republican."/>
        <s v="Baby lawyer growth matter note."/>
        <s v="Effort bill off."/>
        <s v="Scientist able teach."/>
        <s v="Animal hair turn."/>
        <s v="Need trial."/>
        <s v="Focus indicate result."/>
        <s v="Number budget."/>
        <s v="Development middle animal."/>
        <s v="Theory tend."/>
        <s v="Beat lead hard factor."/>
        <s v="Drug happy will young simply."/>
        <s v="Character usually agency."/>
        <s v="Player really act friend."/>
        <s v="Billion morning draw."/>
        <s v="Win central."/>
        <s v="Analysis discuss."/>
        <s v="Red head window be."/>
        <s v="Card star avoid nothing."/>
        <s v="Door end fire."/>
        <s v="Fish evening avoid dark."/>
        <s v="Choice clearly."/>
        <s v="Image movie who debate."/>
        <s v="Enter build citizen rather."/>
        <s v="Structure foreign before."/>
        <s v="How any federal star."/>
        <s v="Weight take."/>
        <s v="Economic left sound cause activity."/>
        <s v="Cup hundred rather."/>
        <s v="Only true avoid young cup."/>
        <s v="Begin suggest speak."/>
        <s v="Walk anything."/>
        <s v="Start house ahead raise."/>
        <s v="Democrat cost evidence third."/>
        <s v="People early far include nearly."/>
        <s v="Evidence case."/>
        <s v="Eat yes myself affect him."/>
        <s v="Name machine tree maybe."/>
        <s v="Conference five despite."/>
        <s v="Speak line."/>
        <s v="Yourself wind beyond prevent entire."/>
        <s v="Offer work home."/>
        <s v="Door fish scene."/>
        <s v="Agreement red way nor none."/>
        <s v="My compare also argue."/>
        <s v="Money a."/>
        <s v="Future concern sort."/>
        <s v="Against only."/>
        <s v="Suffer team."/>
        <s v="Relate product only from."/>
        <s v="Wish run join."/>
        <s v="Company why really up."/>
        <s v="Program sport her."/>
        <s v="Concern ability reduce."/>
        <s v="Surface side nothing consider."/>
        <s v="Determine not view cell seat."/>
        <s v="Word collection those become."/>
        <s v="Activity decide really go."/>
        <s v="Answer just."/>
        <s v="This manage her."/>
        <s v="Big look tell prepare."/>
        <s v="Later son almost."/>
        <s v="End bit game thousand."/>
        <s v="Natural together."/>
        <s v="Order party lot all."/>
        <s v="Threat church big day couple."/>
        <s v="Enter example down anyone occur."/>
        <s v="Approach about because."/>
        <s v="Best deal point."/>
        <s v="Such final however major."/>
        <s v="Politics hold."/>
        <s v="Hard knowledge enjoy let."/>
        <s v="Nor character recent."/>
        <s v="Property space."/>
        <s v="Dinner article hit mission whole."/>
        <s v="Think live bad total research."/>
        <s v="Too song quality per build."/>
        <s v="We cold deep."/>
        <s v="Amount bad raise."/>
        <s v="Challenge organization floor road southern."/>
        <s v="News need task mind."/>
        <s v="Onto site both change note."/>
        <s v="Understand none."/>
        <s v="Test they there."/>
        <s v="Pressure occur list common."/>
        <s v="Peace race i."/>
        <s v="Real any little environmental."/>
        <s v="Full soldier."/>
        <s v="Successful teach range."/>
        <s v="Feel season similar."/>
        <s v="Rock painting become."/>
        <s v="Tree imagine machine."/>
        <s v="Start middle city find."/>
        <s v="Career surface these ahead."/>
        <s v="Student economic lead."/>
        <s v="Ever statement measure."/>
        <s v="Drop major."/>
        <s v="Whether listen necessary."/>
        <s v="Study else store."/>
        <s v="Agree anyone take."/>
        <s v="Positive question especially."/>
        <s v="After sister should across treatment."/>
        <s v="Song difference part wall require."/>
        <s v="Time surface learn design."/>
        <s v="Station however bill memory production."/>
        <s v="Positive participant fear blue as."/>
        <s v="Technology end represent throughout."/>
        <s v="Change she tonight."/>
        <s v="Race return pretty young."/>
        <s v="Identify say on yes."/>
        <s v="Risk develop movement size."/>
        <s v="Feel color price next."/>
        <s v="Likely scientist."/>
        <s v="Water tonight pressure."/>
        <s v="Development the inside thought."/>
        <s v="One less brother."/>
        <s v="Oil per line create build."/>
        <s v="Fear approach take case customer."/>
        <s v="Throughout would century television congress."/>
        <s v="Forward would finish around."/>
        <s v="Decide similar office."/>
        <s v="Size sister can its."/>
        <s v="Investment local above move."/>
        <s v="Throughout series."/>
        <s v="Adult above safe."/>
        <s v="Fine bill me fill."/>
        <s v="Fear fact."/>
        <s v="Model its rather card you."/>
        <s v="Seek close trade speech."/>
        <s v="Difference world deep."/>
        <s v="Mean but represent society heart."/>
        <s v="Perhaps order answer blue structure."/>
        <s v="Indicate herself."/>
        <s v="Listen check receive."/>
        <s v="Inside big minute."/>
        <s v="Store bit responsibility brother."/>
        <s v="Marriage participant."/>
        <s v="Win group important civil nature."/>
        <s v="Former able public trade."/>
        <s v="Chance bed memory rich."/>
        <s v="Popular lead with."/>
        <s v="Anyone spend them system."/>
        <s v="International break surface three."/>
        <s v="Professional color group."/>
        <s v="Environmental run head garden box."/>
        <s v="Even history surface son."/>
        <s v="Car risk."/>
        <s v="Indeed opportunity."/>
        <s v="Consider here grow agreement."/>
        <s v="Turn both in animal."/>
        <s v="Actually than modern season."/>
        <s v="Within prove full."/>
        <s v="Believe product eat generation put."/>
        <s v="Stuff next write."/>
        <s v="Poor church."/>
        <s v="Thank avoid man drive."/>
        <s v="Medical nearly."/>
        <s v="Stage bad know of."/>
        <s v="Language budget market president."/>
        <s v="Include news a before."/>
        <s v="None pressure lay future stay."/>
        <s v="Forward should outside respond."/>
        <s v="Box service develop game."/>
        <s v="Miss reduce animal clearly cell."/>
        <s v="Effect cultural."/>
        <s v="Democratic station course full."/>
        <s v="Unit study."/>
        <s v="Leader operation mean white."/>
        <s v="Save network item one under."/>
        <s v="Community spring billion price paper."/>
        <s v="Thing industry participant realize."/>
        <s v="Huge garden family."/>
        <s v="Include record security."/>
        <s v="Team republican very plan cut."/>
        <s v="Tv car report window."/>
        <s v="My pm report set."/>
        <s v="Old wall report purpose."/>
        <s v="There institution actually."/>
        <s v="Herself apply."/>
        <s v="Environment size worker."/>
        <s v="Style real far."/>
        <s v="Grow laugh."/>
        <s v="Score night down."/>
        <s v="Unit hold."/>
        <s v="Approach season data than team."/>
        <s v="Treatment relate positive."/>
        <s v="Cultural right cover large work."/>
        <s v="While same budget."/>
        <s v="Evidence enough claim suffer."/>
        <s v="Letter visit always up."/>
        <s v="Past product make of group."/>
        <s v="Detail contain attention measure indeed."/>
        <s v="Begin determine degree forward."/>
        <s v="Despite sell most."/>
        <s v="Boy generation."/>
        <s v="Truth during always those high."/>
        <s v="Either rich agency might."/>
        <s v="Sort knowledge analysis together court."/>
        <s v="Way cold."/>
        <s v="Account assume prove similar ten."/>
        <s v="Day stock."/>
        <s v="Section child."/>
        <s v="Also available concern edge."/>
        <s v="Start treat imagine later identify."/>
        <s v="Hope brother."/>
        <s v="As second animal summer group."/>
        <s v="Face rate."/>
        <s v="She join house."/>
        <s v="Choose detail section someone."/>
        <s v="Whether century quality."/>
        <s v="Network never."/>
        <s v="Above others."/>
        <s v="Water fight security tough gas."/>
        <s v="Central contain pattern education boy."/>
        <s v="Surface usually."/>
        <s v="Popular available public economy."/>
        <s v="Maintain former campaign pretty beyond."/>
        <s v="Fish late pattern."/>
        <s v="Charge note space when collection."/>
        <s v="Size republican political."/>
        <s v="Care run there leg."/>
        <s v="Main board population."/>
        <s v="Teach cause mrs."/>
        <s v="Baby away affect medical all."/>
        <s v="If operation trade necessary myself."/>
        <s v="President chance hotel through."/>
        <s v="Let member however."/>
        <s v="Production summer."/>
        <s v="Cell city not not the."/>
        <s v="Voice american seven discussion."/>
        <s v="Doctor protect military social."/>
        <s v="Truth thing always possible."/>
        <s v="Plant event score official now."/>
        <s v="Half president structure might."/>
        <s v="Might good test."/>
        <s v="Thought according think key."/>
        <s v="Method exactly."/>
        <s v="Church own stage."/>
        <s v="Specific result loss long."/>
        <s v="Claim street against amount of."/>
        <s v="Picture always occur."/>
        <s v="Election conference when."/>
        <s v="These road."/>
        <s v="Describe paper."/>
        <s v="Color store over some."/>
        <s v="Process enough right garden law."/>
        <s v="Her car admit."/>
        <s v="Range step painting concern."/>
        <s v="Me brother lot candidate owner."/>
        <s v="Miss have analysis morning."/>
        <s v="Smile high open scientist."/>
        <s v="International effort."/>
        <s v="Exist theory."/>
        <s v="Country remember smile."/>
        <s v="Brother according pressure reach firm."/>
        <s v="Choice prepare."/>
        <s v="Talk interest hand."/>
        <s v="Sense including six lot."/>
        <s v="Never effect fill general relationship."/>
        <s v="Security land record."/>
        <s v="Democrat hundred."/>
        <s v="Pass range appear home player."/>
        <s v="Likely outside because."/>
        <s v="He participant right."/>
        <s v="Prevent expert white arm similar."/>
        <s v="Keep cut prevent sound."/>
        <s v="Almost outside middle."/>
        <s v="College already dream a church."/>
        <s v="Good house only military."/>
        <s v="Near risk."/>
        <s v="Give white everybody paper create."/>
        <s v="Above company media next me."/>
        <s v="Sort what."/>
        <s v="Economic kind help low during."/>
        <s v="Race to television loss."/>
        <s v="Him small."/>
        <s v="Son include good."/>
        <s v="Red enjoy."/>
        <s v="Human see."/>
        <s v="Never condition."/>
        <s v="Despite off consumer second."/>
        <s v="Say dog drug enter."/>
        <s v="Strong student green."/>
        <s v="Turn put professional."/>
        <s v="When summer he firm together."/>
        <s v="Make worker trouble."/>
        <s v="Develop office approach son."/>
        <s v="Allow girl team simply lead."/>
        <s v="Least ready activity decision ok."/>
        <s v="Party employee nature down."/>
        <s v="Gas contain interest industry sell."/>
        <s v="Evidence conference capital office."/>
        <s v="Result sound."/>
        <s v="Task cultural son school."/>
        <s v="Computer matter."/>
        <s v="Result size feel no nothing."/>
        <s v="Real art."/>
        <s v="Stuff benefit seat employee."/>
        <s v="Newspaper special general in go."/>
        <s v="Office power company sister great."/>
        <s v="Simple land bad party."/>
        <s v="What than political up instead."/>
        <s v="Support author class direction."/>
        <s v="Report painting house."/>
        <s v="Security minute late cold."/>
        <s v="Road product wait."/>
        <s v="Cold billion as."/>
        <s v="Approach side model you billion."/>
        <s v="Pressure those."/>
        <s v="Easy exist phone."/>
        <s v="Stuff agreement professional team foot."/>
        <s v="Window music evening know."/>
        <s v="Opportunity lead see."/>
        <s v="Model police finally girl."/>
        <s v="Source kind hand."/>
        <s v="Field a spring."/>
        <s v="Expert movement reach man."/>
        <s v="Across involve fall."/>
        <s v="Nature country."/>
        <s v="House clear say hope."/>
        <s v="Enjoy instead dream."/>
        <s v="Possible mother especially."/>
        <s v="Consumer face."/>
        <s v="Laugh red man fly charge."/>
        <s v="Control bill."/>
        <s v="Resource road do."/>
        <s v="Management game."/>
        <s v="Your less social form."/>
        <s v="Entire hotel."/>
        <s v="Consider time economic high."/>
        <s v="Window research his."/>
        <s v="Scene almost leave."/>
        <s v="Program decade home which view."/>
        <s v="Rock seat near business loss."/>
        <s v="Growth appear project."/>
        <s v="Plan foot cold."/>
        <s v="Build smile across among situation."/>
        <s v="Choice side eat matter rather."/>
        <s v="Art green child movie blue."/>
        <s v="First next popular."/>
        <s v="Run again help right."/>
        <s v="Magazine join."/>
        <s v="Recent couple cost girl run."/>
        <s v="Trial never attention choice fast."/>
        <s v="Happen a point here control."/>
        <s v="Task simply draw return probably."/>
        <s v="Couple raise she child."/>
        <s v="Important focus benefit probably."/>
        <s v="Condition all blood."/>
        <s v="All politics."/>
        <s v="Moment red eight hand."/>
        <s v="Us decade."/>
        <s v="Life police."/>
        <s v="Sea three state some around."/>
        <s v="American audience fight war whether."/>
        <s v="Rise mother."/>
        <s v="Moment eat personal."/>
        <s v="See indeed black police group."/>
        <s v="Third coach congress husband."/>
        <s v="Move outside value."/>
        <s v="Yard foot he share issue."/>
        <s v="Drive nation heart nearly season."/>
        <s v="Language however risk work."/>
        <s v="Career three according worker democrat."/>
        <s v="Sign wall."/>
        <s v="Memory number occur behind leave."/>
        <s v="Enter threat economic."/>
        <s v="Begin hundred truth."/>
        <s v="Society common stay ready."/>
        <s v="Organization feel."/>
        <s v="Bad argue side girl."/>
        <s v="Us building side section."/>
        <s v="Him fight american music change."/>
        <s v="Check purpose young."/>
        <s v="Offer bed it skill challenge."/>
        <s v="Live seat."/>
        <s v="Energy huge its recently."/>
        <s v="Nice maintain present cultural."/>
        <s v="Drug entire involve."/>
        <s v="Both including."/>
        <s v="Couple general pretty show."/>
        <s v="Pattern wrong kind certainly."/>
        <s v="Current health serious."/>
        <s v="Science drug."/>
        <s v="Add really born."/>
        <s v="Age decade mrs data."/>
        <s v="Nature performance yeah."/>
        <s v="On professional analysis color."/>
        <s v="Smile peace apply."/>
        <s v="Home even."/>
        <s v="Affect test."/>
        <s v="Woman meet report."/>
        <s v="Term mother cost may."/>
        <s v="Unit again easy morning four."/>
        <s v="Adult range green."/>
        <s v="You without every."/>
        <s v="Election hit yourself wrong want."/>
        <s v="Charge today prevent."/>
        <s v="Minute question their rather."/>
        <s v="Of interview fine."/>
        <s v="My deal catch must."/>
        <s v="Finally relate model."/>
        <s v="Yet wish certain usually."/>
        <s v="Attack mouth rest contain."/>
        <s v="She they."/>
        <s v="Field seat start pm."/>
        <s v="Single blood continue."/>
        <s v="Note discuss discussion reach grow."/>
        <s v="Maybe painting republican."/>
        <s v="System man case."/>
        <s v="Allow share address."/>
        <s v="Development provide dark daughter."/>
        <s v="Term majority foot leader."/>
        <s v="If among save herself."/>
        <s v="Particularly score order modern."/>
        <s v="Body lead there there early."/>
        <s v="Worker always hold share."/>
        <s v="Fact huge fight."/>
        <s v="Coach family try ready."/>
        <s v="Stop later reveal both."/>
        <s v="Career including late condition opportunity."/>
        <s v="Bed food possible represent."/>
        <s v="Before relationship plant."/>
        <s v="Religious risk window partner civil."/>
        <s v="Analysis color friend the."/>
        <s v="Than condition republican."/>
        <s v="Finally shoulder land."/>
        <s v="Together whether about."/>
        <s v="Learn talk."/>
        <s v="Part management."/>
        <s v="Process law kind over according."/>
        <s v="People newspaper stay."/>
        <s v="Challenge president already."/>
        <s v="Study fear turn any indicate."/>
        <s v="Public particularly reality."/>
        <s v="Concern lay often use behavior."/>
        <s v="Happy her attack interview."/>
        <s v="Fall care."/>
        <s v="Money modern receive partner."/>
        <s v="Role pick would low read."/>
        <s v="Participant first moment yet."/>
        <s v="Pass market role."/>
        <s v="Space this discussion fact."/>
        <s v="Brother let."/>
        <s v="Son yourself increase."/>
        <s v="Night point action cut."/>
        <s v="So film media."/>
        <s v="Box four."/>
        <s v="Pattern ahead compare form full."/>
        <s v="Something population loss physical."/>
        <s v="Leg sport until argue."/>
        <s v="North question new."/>
        <s v="Officer forward trouble."/>
        <s v="Wide exactly."/>
        <s v="Worker phone success number."/>
        <s v="Organization ten seem."/>
        <s v="Even beautiful."/>
        <s v="Later week democratic few."/>
        <s v="Size sing tree kitchen."/>
        <s v="Toward child future low."/>
        <s v="Simply century the."/>
        <s v="Day already hold."/>
        <s v="About usually."/>
        <s v="Level animal minute probably."/>
        <s v="Officer fine."/>
        <s v="Customer expert mother significant."/>
        <s v="Chance event address."/>
        <s v="Bill my near even wall."/>
        <s v="Each author party full kitchen."/>
        <s v="Likely push."/>
        <s v="Approach interview condition other."/>
        <s v="Green forward cup serve speak."/>
        <s v="Nothing behavior sort recognize."/>
        <s v="Financial popular short like."/>
        <s v="Technology pay tree."/>
        <s v="Record professor small."/>
        <s v="Maintain assume both long."/>
        <s v="Should page camera."/>
        <s v="Stage someone for power."/>
        <s v="Leave opportunity draw during city."/>
        <s v="At decade really issue."/>
        <s v="Skin name door production back."/>
        <s v="Boy other foot best."/>
        <s v="Final image our."/>
        <s v="Management produce bed stage."/>
        <s v="Serious produce."/>
        <s v="Factor past language day theory."/>
        <s v="Some quickly truth view response."/>
        <s v="Old particularly."/>
        <s v="Summer system artist too."/>
        <s v="Reflect star."/>
        <s v="Technology tend."/>
        <s v="Reduce hour fish him."/>
        <s v="Nation production little could."/>
        <s v="Style child young prove."/>
        <s v="Author administration."/>
        <s v="Window career case south."/>
        <s v="Us perhaps lawyer interest star."/>
        <s v="Difficult interesting account marriage."/>
        <s v="Especially unit office almost."/>
        <s v="Low happy oil which bag."/>
        <s v="Let back three."/>
        <s v="Line score whether."/>
        <s v="Something fine apply gas sing."/>
        <s v="Mention light safe inside."/>
        <s v="Cold reason our."/>
        <s v="Employee picture official of prevent."/>
        <s v="Agree machine camera baby six."/>
        <s v="Past every either."/>
        <s v="Company option character land space."/>
        <s v="Machine son television."/>
        <s v="Whose other."/>
        <s v="Sell include himself produce."/>
        <s v="Official success approach."/>
        <s v="Apply less."/>
        <s v="Live way two."/>
        <s v="Raise hope enjoy most."/>
        <s v="Eye something."/>
        <s v="Which raise american truth."/>
        <s v="Particular present evening establish."/>
        <s v="Pressure hospital significant."/>
        <s v="Side mind question year finish."/>
        <s v="Story activity."/>
        <s v="Billion land detail exist cover."/>
        <s v="Begin voice prevent structure wear."/>
        <s v="Beat painting heavy."/>
        <s v="To receive education."/>
        <s v="Police two."/>
        <s v="Realize property show either."/>
        <s v="Since him four."/>
        <s v="Western enough key."/>
        <s v="Particular condition man."/>
        <s v="Shoulder despite poor tree resource."/>
        <s v="Authority number."/>
        <s v="Affect marriage present a."/>
        <s v="Entire record toward off."/>
        <s v="Long identify road speech."/>
        <s v="Difficult his ready sister building."/>
        <s v="Four field area young."/>
        <s v="Movement which ball least."/>
        <s v="Computer always his."/>
        <s v="Receive to piece."/>
        <s v="Be plan same cause."/>
        <s v="Rest or."/>
        <s v="As music film move."/>
        <s v="Already argue."/>
        <s v="Brother southern project learn."/>
        <s v="Scientist do author."/>
        <s v="President likely truth animal."/>
        <s v="Common anyone."/>
        <s v="Lay color."/>
        <s v="Box organization."/>
        <s v="Source international."/>
        <s v="Building range national focus."/>
        <s v="Or friend."/>
        <s v="Center indeed recent."/>
        <s v="Just understand american."/>
        <s v="Partner sing administration main according."/>
        <s v="Religious order."/>
        <s v="Really society live camera."/>
        <s v="Mission include visit."/>
        <s v="Conference matter wear physical site."/>
        <s v="Above dog brother morning."/>
        <s v="Gun seven music despite show."/>
        <s v="Apply both chance."/>
        <s v="Computer prove amount population."/>
        <s v="Itself free source."/>
        <s v="Bit appear."/>
        <s v="Citizen ahead method."/>
        <s v="Return or for."/>
        <s v="Discover body direction down."/>
        <s v="Heart determine likely."/>
        <s v="Three certain."/>
        <s v="Hold carry rest."/>
        <s v="Dark camera realize."/>
        <s v="Carry surface learn."/>
        <s v="Detail far church some."/>
        <s v="Wife talk beat tax majority."/>
        <s v="List leg address into their."/>
        <s v="Its develop until watch."/>
        <s v="Individual analysis."/>
        <s v="Almost most look something."/>
        <s v="Manager bar send really."/>
        <s v="Car fast positive."/>
        <s v="Look fight."/>
        <s v="Section agency lawyer sign them."/>
        <s v="Smile have less."/>
        <s v="Audience throw four allow international."/>
        <s v="My some skin ball thing."/>
        <s v="War push thousand book half."/>
        <s v="Hand possible relate night."/>
        <s v="Wonder draw box."/>
        <s v="That reflect send set fly."/>
        <s v="Quite everyone as generation."/>
        <s v="Money but report question."/>
        <s v="Later happy pull."/>
        <s v="Throughout leader bag."/>
        <s v="When baby clearly."/>
        <s v="Many themselves minute."/>
        <s v="Indicate radio use."/>
        <s v="Information scene again country."/>
        <s v="Strong mind from."/>
        <s v="Pretty skin main program."/>
        <s v="Knowledge fight car smile commercial."/>
        <s v="Machine wife show."/>
        <s v="Good lay coach."/>
        <s v="Expect win stuff realize project."/>
        <s v="Draw american first."/>
        <s v="Employee continue none alone."/>
        <s v="Challenge large wish move."/>
        <s v="Identify material."/>
        <s v="Until choose wife national."/>
        <s v="Positive far time wide."/>
        <s v="Son rock two."/>
        <s v="Rule too."/>
        <s v="Bring agent pay detail group."/>
        <s v="Part crime."/>
        <s v="Sit short cultural."/>
        <s v="Support quality whatever wish hour."/>
        <s v="Owner memory argue project."/>
        <s v="Respond into history."/>
        <s v="General final knowledge."/>
        <s v="Democratic thousand."/>
        <s v="Eye south wife interest."/>
        <s v="Structure our century."/>
        <s v="Write moment friend value."/>
        <s v="According police."/>
        <s v="Company left nothing trip."/>
        <s v="Strategy face make."/>
        <s v="Fight nice less agree able."/>
        <s v="What strong line."/>
        <s v="Conference trade population agreement."/>
        <s v="Yes at seat ok."/>
        <s v="Than physical live reason."/>
        <s v="Mention offer suddenly clear."/>
        <s v="Floor there career."/>
        <s v="Evening information."/>
        <s v="Face morning."/>
        <s v="Create physical share out cold."/>
        <s v="Step rate feeling rate."/>
        <s v="Move goal."/>
        <s v="Carry example."/>
        <s v="Future treat bill choice."/>
        <s v="Somebody next ready."/>
        <s v="Republican reduce sort individual trouble."/>
        <s v="Type look find."/>
        <s v="Stage threat our."/>
        <s v="Report agreement sport."/>
        <s v="Task central dinner."/>
        <s v="Candidate bad real."/>
        <s v="Affect machine."/>
        <s v="Cultural allow."/>
        <s v="Arrive budget education at property."/>
        <s v="Turn day top."/>
        <s v="Ahead certainly second everyone."/>
        <s v="Goal talk sit party."/>
        <s v="Attention standard shake more respond."/>
        <s v="Top mr wind."/>
        <s v="Turn surface listen."/>
        <s v="Pull blue strong wonder."/>
        <s v="Method imagine seven."/>
        <s v="Letter mind many."/>
        <s v="News american foreign."/>
        <s v="Exist outside find wish."/>
        <s v="Network fact talk."/>
        <s v="Thus sort."/>
        <s v="Actually purpose public."/>
        <s v="Mission put budget house."/>
        <s v="Ask window full."/>
        <s v="Do interesting material."/>
        <s v="Event smile popular hundred live."/>
        <s v="Memory challenge lawyer business."/>
        <s v="Discuss wall ahead scene."/>
        <s v="Question will him quickly."/>
        <s v="Perform benefit baby."/>
        <s v="Society dark product make."/>
        <s v="Gas teacher national weight all."/>
        <s v="Himself fire heavy."/>
        <s v="Allow news."/>
        <s v="Man care resource."/>
        <s v="Notice make."/>
        <s v="Occur live take media hot."/>
        <s v="Wife pay good within fly."/>
        <s v="And student give score agree."/>
        <s v="Best generation group goal."/>
        <s v="Doctor fine be."/>
        <s v="Boy college mrs."/>
        <s v="Price institution method inside."/>
        <s v="Onto worry help hope."/>
        <s v="Space beyond."/>
        <s v="Market specific property coach."/>
        <s v="Wide cut player wind."/>
        <s v="Degree enter father of source."/>
        <s v="Behind front attack song little."/>
        <s v="Somebody prepare few sound."/>
        <s v="Finish increase economy middle public."/>
        <s v="Thing physical might."/>
        <s v="Material produce station visit environmental."/>
        <s v="Table trade various risk art."/>
        <s v="Leg drive second she."/>
        <s v="Five store ask data."/>
        <s v="Statement position either."/>
        <s v="Draw change agree someone."/>
        <s v="Magazine yard instead town."/>
        <s v="Evening ahead smile."/>
        <s v="Compare system white magazine after."/>
        <s v="Own test too imagine."/>
        <s v="However style."/>
        <s v="Born same usually."/>
        <s v="Wear use edge this draw."/>
        <s v="Forget once hope security."/>
        <s v="Design blood degree ever."/>
        <s v="Television argue mouth."/>
        <s v="Nation little east everyone."/>
        <s v="Little happy final population."/>
        <s v="Real small."/>
        <s v="Need finally when."/>
        <s v="Movement door kind."/>
        <s v="Until truth feeling view."/>
        <s v="Decision three trouble."/>
        <s v="Smile ever bag single."/>
        <s v="Say unit four institution."/>
        <s v="Recognize media goal."/>
        <s v="Law agree appear political."/>
        <s v="Able customer figure."/>
        <s v="Book economic."/>
        <s v="Rate society floor long same."/>
        <s v="Reach step son."/>
        <s v="Increase consider."/>
        <s v="Difference way type positive phone."/>
        <s v="Cup red collection husband."/>
        <s v="Employee become happy water bring."/>
        <s v="Significant up still management."/>
        <s v="Course technology site."/>
        <s v="High issue deal democratic."/>
        <s v="Industry impact certainly."/>
        <s v="Dog late eat."/>
        <s v="Beat light the window."/>
        <s v="Require remain save."/>
        <s v="Believe arrive."/>
        <s v="Likely great paper."/>
        <s v="Effect people."/>
        <s v="Provide car throughout american."/>
        <s v="College manage fund."/>
        <s v="Bed report item."/>
        <s v="Finish without."/>
        <s v="Security unit executive."/>
        <s v="Stop unit might job close."/>
        <s v="New type pm."/>
        <s v="Country approach."/>
        <s v="Like clear."/>
        <s v="Break time manager kid."/>
        <s v="Leader both rest challenge."/>
        <s v="Data exist."/>
        <s v="State none production defense your."/>
        <s v="Short congress turn east marriage."/>
        <s v="Ago race quite hour."/>
        <s v="Child ball store process."/>
        <s v="Western order accept wide prevent."/>
        <s v="Water yourself trade someone."/>
        <s v="Tell soon executive."/>
        <s v="Natural own."/>
        <s v="Effort drive side human."/>
        <s v="Clear single expect."/>
        <s v="Fear song save."/>
        <s v="Capital program story mention majority."/>
        <s v="Environmental outside bed institution."/>
        <s v="Control piece behavior message wind."/>
        <s v="Us money positive."/>
        <s v="Life bad soon."/>
        <s v="Worker range feel."/>
        <s v="Into notice necessary true message."/>
        <s v="Including let result spend."/>
        <s v="One shoulder administration."/>
        <s v="Skill successful and."/>
        <s v="Finish right serious."/>
        <s v="Space game truth special decision."/>
        <s v="Else pull its adult house."/>
        <s v="Pretty least if."/>
        <s v="Peace wind guess."/>
        <s v="Because career course."/>
        <s v="Teacher decide possible."/>
        <s v="Success teach mrs beat."/>
        <s v="Listen against coach."/>
        <s v="White likely teacher one."/>
        <s v="Notice street anything."/>
        <s v="Piece require."/>
        <s v="Say other never fact."/>
        <s v="Main opportunity particularly question."/>
        <s v="Research month instead."/>
        <s v="As throughout individual list manager."/>
        <s v="Recently again explain court."/>
        <s v="Discussion detail training fund."/>
        <s v="Third rich hospital."/>
        <s v="Somebody son suddenly perform."/>
        <s v="Project can."/>
        <s v="Paper beyond indeed."/>
        <s v="Doctor news yourself."/>
        <s v="Ground city still."/>
        <s v="Southern front."/>
        <s v="Dinner no main year size."/>
        <s v="Environment character real middle prove."/>
        <s v="Sometimes while sense window."/>
        <s v="Among black picture that treat."/>
        <s v="Remain seven marriage."/>
        <s v="Positive free case."/>
        <s v="Wide shoulder according strong."/>
        <s v="Expert commercial entire resource."/>
        <s v="Picture early send morning."/>
        <s v="Soon including important."/>
        <s v="Some gun ahead certainly act."/>
        <s v="Be fire."/>
        <s v="Article service produce political."/>
        <s v="Within woman."/>
        <s v="Information though red."/>
        <s v="Training account evidence month."/>
        <s v="Land day name small."/>
        <s v="Thought sit identify culture."/>
        <s v="Already free."/>
        <s v="Yeah exist behavior necessary miss."/>
        <s v="Agreement someone."/>
        <s v="Strategy fight institution."/>
        <s v="Rule success."/>
        <s v="Medical buy series walk large."/>
        <s v="Law work."/>
        <s v="Research visit program suddenly doctor."/>
        <s v="Project spring of."/>
        <s v="Mind easy foreign old."/>
        <s v="Better republican stock bank."/>
        <s v="Thousand live land hard."/>
        <s v="Open million house enough."/>
        <s v="You ready way rule."/>
        <s v="Certain camera represent."/>
        <s v="Tell brother defense list second."/>
        <s v="Tv budget system book."/>
        <s v="Face mission brother figure hear."/>
        <s v="Agreement central six instead."/>
        <s v="Democratic standard major."/>
        <s v="Give that individual of not."/>
        <s v="Little result paper seven."/>
        <s v="Seven project chance road."/>
        <s v="Professor important do house must."/>
        <s v="Position tend religious."/>
        <s v="Someone religious night buy nice."/>
        <s v="My serious whatever miss seek."/>
        <s v="Build view."/>
        <s v="Ever day."/>
        <s v="Be move fly open."/>
        <s v="Future congress."/>
        <s v="Fish either boy between collection."/>
        <s v="Eight bed fill."/>
        <s v="Arrive which consider."/>
        <s v="Hope floor include."/>
        <s v="Heart still building."/>
        <s v="Sell only manage."/>
        <s v="We especially five network."/>
        <s v="Ahead plant trial affect."/>
        <s v="Push east never size fight."/>
        <s v="Base player data whose."/>
        <s v="World site mr interest treatment."/>
        <s v="A let."/>
        <s v="A value lot."/>
        <s v="Yourself successful defense subject."/>
        <s v="Claim move."/>
        <s v="Bed recognize store."/>
        <s v="There decision measure."/>
        <s v="Play woman remain event."/>
        <s v="Decision where foreign trial."/>
        <s v="Participant above."/>
        <s v="Including time reflect."/>
        <s v="Ball theory prepare much throughout."/>
        <s v="Good spend still."/>
        <s v="Concern should recent across."/>
        <s v="View know develop after."/>
        <s v="Course staff personal space."/>
        <s v="Woman whose already."/>
        <s v="Decide cultural start how thank."/>
        <s v="Management necessary process not."/>
        <s v="Assume campaign assume."/>
        <s v="Talk thing rock ever summer."/>
        <s v="Pass quite third ability interview."/>
        <s v="Item yet ever quite."/>
        <s v="Guess service this different."/>
        <s v="Mother first hot free."/>
        <s v="Wrong difficult."/>
        <s v="True culture."/>
        <s v="As personal agreement."/>
        <s v="Or phone."/>
        <s v="East list when."/>
        <s v="Mind door authority outside."/>
        <s v="Personal often."/>
        <s v="True help."/>
        <s v="Artist sort area."/>
        <s v="Big argue."/>
        <s v="Sure i pay."/>
        <s v="Ten skin perhaps."/>
        <s v="Less into per big."/>
        <s v="Military onto blue activity."/>
        <s v="Smile cover of pm eight."/>
        <s v="Right know during someone."/>
        <s v="Find job where."/>
        <s v="On must certainly."/>
        <s v="Owner fact wife."/>
        <s v="Price certain down standard nice."/>
        <s v="Gas with policy cut."/>
        <s v="Country little reality level."/>
        <s v="Not friend federal forget bit."/>
        <s v="Detail about development discover."/>
        <s v="Lose shoulder spring."/>
        <s v="Hundred step according."/>
        <s v="Group never."/>
        <s v="Key place tree."/>
        <s v="Wish current."/>
        <s v="Despite energy company."/>
        <s v="Condition again successful."/>
        <s v="Story case."/>
        <s v="Very figure drive special."/>
        <s v="With young think there assume."/>
        <s v="Some court her."/>
        <s v="Outside with each animal."/>
        <s v="Take family chance."/>
        <s v="Picture evidence."/>
        <s v="Why though decide bank likely."/>
        <s v="Meet seem population."/>
        <s v="Material less focus hear."/>
        <s v="Listen ok point so."/>
        <s v="Detail data tell."/>
        <s v="Fill thousand number."/>
        <s v="Nearly care base."/>
        <s v="Goal once let perform international."/>
        <s v="Important source first him."/>
        <s v="Doctor population grow bar."/>
        <s v="National back everybody direction budget."/>
        <s v="National free."/>
        <s v="Few spring raise."/>
        <s v="Relationship your your."/>
        <s v="Across federal state."/>
        <s v="State serious activity pressure."/>
        <s v="Dinner rich decide do."/>
        <s v="Serious reveal left social fine."/>
        <s v="Show recently decide last."/>
        <s v="Hear officer."/>
        <s v="Wall act special."/>
        <s v="Different international sell several."/>
        <s v="For age size."/>
        <s v="With yes nothing."/>
        <s v="Woman daughter hospital move."/>
        <s v="Board notice later thus."/>
        <s v="Bit need allow."/>
        <s v="Cost attorney."/>
        <s v="Day fact modern."/>
        <s v="Happy action."/>
        <s v="Hospital writer can industry."/>
        <s v="Western tend candidate day."/>
        <s v="City offer financial data."/>
        <s v="Cut yard knowledge."/>
        <s v="Space moment travel these least."/>
        <s v="Say explain."/>
        <s v="Red republican father party."/>
        <s v="Eat tonight run leader."/>
        <s v="Believe recognize analysis those citizen."/>
        <s v="Project at risk."/>
        <s v="In seven building hard."/>
        <s v="Short for late education."/>
        <s v="Left available."/>
        <s v="Gas human create also."/>
        <s v="Remember carry."/>
        <s v="Leave bar prevent require."/>
        <s v="Likely evidence claim."/>
        <s v="Beyond family movement hospital back."/>
        <s v="Child group describe."/>
        <s v="Democratic recent student specific political."/>
        <s v="Real know our any."/>
        <s v="Up hear draw."/>
        <s v="Instead writer."/>
        <s v="Quite as when."/>
        <s v="Right analysis mention."/>
        <s v="No couple debate must."/>
        <s v="Discussion black follow."/>
        <s v="Pressure activity defense detail."/>
      </sharedItems>
    </cacheField>
    <cacheField name="Category" numFmtId="0">
      <sharedItems count="10">
        <s v="Food &amp; Drink"/>
        <s v="Utilities"/>
        <s v="Rent"/>
        <s v="Investment"/>
        <s v="Shopping"/>
        <s v="Other"/>
        <s v="Entertainment"/>
        <s v="Health &amp; Fitness"/>
        <s v="Salary"/>
        <s v="Travel"/>
      </sharedItems>
    </cacheField>
    <cacheField name="Amount" numFmtId="164">
      <sharedItems containsSemiMixedTypes="0" containsString="0" containsNumber="1" minValue="14.37" maxValue="4996"/>
    </cacheField>
    <cacheField name="Type" numFmtId="0">
      <sharedItems count="2">
        <s v="Expense"/>
        <s v="Income"/>
      </sharedItems>
    </cacheField>
    <cacheField name="Month-Year" numFmtId="0">
      <sharedItems count="60">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haredItems>
    </cacheField>
    <cacheField name="Year" numFmtId="0">
      <sharedItems containsSemiMixedTypes="0" containsString="0" containsNumber="1" containsInteger="1" minValue="2020" maxValue="2024" count="5">
        <n v="2020"/>
        <n v="2021"/>
        <n v="2022"/>
        <n v="2023"/>
        <n v="2024"/>
      </sharedItems>
    </cacheField>
    <cacheField name="Monthly Budget" numFmtId="0">
      <sharedItems containsSemiMixedTypes="0" containsString="0" containsNumber="1" containsInteger="1" minValue="0" maxValue="1500"/>
    </cacheField>
    <cacheField name="Over Budget Flag" numFmtId="0">
      <sharedItems count="3">
        <s v="Over Budget"/>
        <s v="OK"/>
        <s v="-"/>
      </sharedItems>
    </cacheField>
    <cacheField name="Net Amount" numFmtId="0">
      <sharedItems containsSemiMixedTypes="0" containsString="0" containsNumber="1" minValue="-1999.82" maxValue="4996"/>
    </cacheField>
  </cacheFields>
  <extLst>
    <ext xmlns:x14="http://schemas.microsoft.com/office/spreadsheetml/2009/9/main" uri="{725AE2AE-9491-48be-B2B4-4EB974FC3084}">
      <x14:pivotCacheDefinition pivotCacheId="1756412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0-01-02T00:00:00"/>
    <x v="0"/>
    <x v="0"/>
    <n v="1485.69"/>
    <x v="0"/>
    <x v="0"/>
    <x v="0"/>
    <n v="500"/>
    <x v="0"/>
    <n v="-1485.69"/>
  </r>
  <r>
    <d v="2020-01-02T00:00:00"/>
    <x v="1"/>
    <x v="1"/>
    <n v="1475.58"/>
    <x v="0"/>
    <x v="0"/>
    <x v="0"/>
    <n v="150"/>
    <x v="0"/>
    <n v="-1475.58"/>
  </r>
  <r>
    <d v="2020-01-04T00:00:00"/>
    <x v="2"/>
    <x v="2"/>
    <n v="1185.08"/>
    <x v="0"/>
    <x v="0"/>
    <x v="0"/>
    <n v="1500"/>
    <x v="1"/>
    <n v="-1185.08"/>
  </r>
  <r>
    <d v="2020-01-05T00:00:00"/>
    <x v="3"/>
    <x v="3"/>
    <n v="2291"/>
    <x v="1"/>
    <x v="0"/>
    <x v="0"/>
    <n v="0"/>
    <x v="2"/>
    <n v="2291"/>
  </r>
  <r>
    <d v="2020-01-13T00:00:00"/>
    <x v="4"/>
    <x v="0"/>
    <n v="1126.8800000000001"/>
    <x v="0"/>
    <x v="0"/>
    <x v="0"/>
    <n v="500"/>
    <x v="0"/>
    <n v="-1126.8800000000001"/>
  </r>
  <r>
    <d v="2020-01-14T00:00:00"/>
    <x v="5"/>
    <x v="4"/>
    <n v="448.68"/>
    <x v="0"/>
    <x v="0"/>
    <x v="0"/>
    <n v="300"/>
    <x v="0"/>
    <n v="-448.68"/>
  </r>
  <r>
    <d v="2020-01-18T00:00:00"/>
    <x v="6"/>
    <x v="0"/>
    <n v="1520.03"/>
    <x v="0"/>
    <x v="0"/>
    <x v="0"/>
    <n v="500"/>
    <x v="0"/>
    <n v="-1520.03"/>
  </r>
  <r>
    <d v="2020-01-19T00:00:00"/>
    <x v="7"/>
    <x v="5"/>
    <n v="3287"/>
    <x v="1"/>
    <x v="0"/>
    <x v="0"/>
    <n v="0"/>
    <x v="2"/>
    <n v="3287"/>
  </r>
  <r>
    <d v="2020-01-21T00:00:00"/>
    <x v="8"/>
    <x v="6"/>
    <n v="1914.85"/>
    <x v="0"/>
    <x v="0"/>
    <x v="0"/>
    <n v="200"/>
    <x v="0"/>
    <n v="-1914.85"/>
  </r>
  <r>
    <d v="2020-01-25T00:00:00"/>
    <x v="9"/>
    <x v="2"/>
    <n v="766.06"/>
    <x v="0"/>
    <x v="0"/>
    <x v="0"/>
    <n v="1500"/>
    <x v="1"/>
    <n v="-766.06"/>
  </r>
  <r>
    <d v="2020-01-25T00:00:00"/>
    <x v="10"/>
    <x v="7"/>
    <n v="1211.4100000000001"/>
    <x v="0"/>
    <x v="0"/>
    <x v="0"/>
    <n v="150"/>
    <x v="0"/>
    <n v="-1211.4100000000001"/>
  </r>
  <r>
    <d v="2020-01-26T00:00:00"/>
    <x v="11"/>
    <x v="8"/>
    <n v="1077.0899999999999"/>
    <x v="1"/>
    <x v="0"/>
    <x v="0"/>
    <n v="0"/>
    <x v="2"/>
    <n v="1077.0899999999999"/>
  </r>
  <r>
    <d v="2020-01-29T00:00:00"/>
    <x v="12"/>
    <x v="4"/>
    <n v="166.81"/>
    <x v="0"/>
    <x v="0"/>
    <x v="0"/>
    <n v="300"/>
    <x v="1"/>
    <n v="-166.81"/>
  </r>
  <r>
    <d v="2020-01-30T00:00:00"/>
    <x v="13"/>
    <x v="7"/>
    <n v="1158.93"/>
    <x v="0"/>
    <x v="0"/>
    <x v="0"/>
    <n v="150"/>
    <x v="0"/>
    <n v="-1158.93"/>
  </r>
  <r>
    <d v="2020-01-31T00:00:00"/>
    <x v="14"/>
    <x v="0"/>
    <n v="1325.91"/>
    <x v="0"/>
    <x v="0"/>
    <x v="0"/>
    <n v="500"/>
    <x v="0"/>
    <n v="-1325.91"/>
  </r>
  <r>
    <d v="2020-01-31T00:00:00"/>
    <x v="15"/>
    <x v="2"/>
    <n v="1712.08"/>
    <x v="0"/>
    <x v="0"/>
    <x v="0"/>
    <n v="1500"/>
    <x v="0"/>
    <n v="-1712.08"/>
  </r>
  <r>
    <d v="2020-01-31T00:00:00"/>
    <x v="16"/>
    <x v="4"/>
    <n v="563.16999999999996"/>
    <x v="0"/>
    <x v="0"/>
    <x v="0"/>
    <n v="300"/>
    <x v="0"/>
    <n v="-563.16999999999996"/>
  </r>
  <r>
    <d v="2020-02-02T00:00:00"/>
    <x v="17"/>
    <x v="7"/>
    <n v="333.68"/>
    <x v="0"/>
    <x v="1"/>
    <x v="0"/>
    <n v="150"/>
    <x v="0"/>
    <n v="-333.68"/>
  </r>
  <r>
    <d v="2020-02-04T00:00:00"/>
    <x v="18"/>
    <x v="9"/>
    <n v="1406.62"/>
    <x v="0"/>
    <x v="1"/>
    <x v="0"/>
    <n v="200"/>
    <x v="0"/>
    <n v="-1406.62"/>
  </r>
  <r>
    <d v="2020-02-05T00:00:00"/>
    <x v="19"/>
    <x v="2"/>
    <n v="1222.17"/>
    <x v="0"/>
    <x v="1"/>
    <x v="0"/>
    <n v="1500"/>
    <x v="1"/>
    <n v="-1222.17"/>
  </r>
  <r>
    <d v="2020-02-05T00:00:00"/>
    <x v="20"/>
    <x v="3"/>
    <n v="1838"/>
    <x v="1"/>
    <x v="1"/>
    <x v="0"/>
    <n v="0"/>
    <x v="2"/>
    <n v="1838"/>
  </r>
  <r>
    <d v="2020-02-07T00:00:00"/>
    <x v="21"/>
    <x v="9"/>
    <n v="1979.15"/>
    <x v="0"/>
    <x v="1"/>
    <x v="0"/>
    <n v="200"/>
    <x v="0"/>
    <n v="-1979.15"/>
  </r>
  <r>
    <d v="2020-02-07T00:00:00"/>
    <x v="22"/>
    <x v="6"/>
    <n v="1372.38"/>
    <x v="0"/>
    <x v="1"/>
    <x v="0"/>
    <n v="200"/>
    <x v="0"/>
    <n v="-1372.38"/>
  </r>
  <r>
    <d v="2020-02-08T00:00:00"/>
    <x v="23"/>
    <x v="0"/>
    <n v="465.81"/>
    <x v="0"/>
    <x v="1"/>
    <x v="0"/>
    <n v="500"/>
    <x v="1"/>
    <n v="-465.81"/>
  </r>
  <r>
    <d v="2020-02-08T00:00:00"/>
    <x v="24"/>
    <x v="5"/>
    <n v="3786"/>
    <x v="1"/>
    <x v="1"/>
    <x v="0"/>
    <n v="0"/>
    <x v="2"/>
    <n v="3786"/>
  </r>
  <r>
    <d v="2020-02-09T00:00:00"/>
    <x v="25"/>
    <x v="6"/>
    <n v="1827.14"/>
    <x v="0"/>
    <x v="1"/>
    <x v="0"/>
    <n v="200"/>
    <x v="0"/>
    <n v="-1827.14"/>
  </r>
  <r>
    <d v="2020-02-11T00:00:00"/>
    <x v="26"/>
    <x v="7"/>
    <n v="433.13"/>
    <x v="0"/>
    <x v="1"/>
    <x v="0"/>
    <n v="150"/>
    <x v="0"/>
    <n v="-433.13"/>
  </r>
  <r>
    <d v="2020-02-13T00:00:00"/>
    <x v="27"/>
    <x v="8"/>
    <n v="294.31"/>
    <x v="1"/>
    <x v="1"/>
    <x v="0"/>
    <n v="0"/>
    <x v="2"/>
    <n v="294.31"/>
  </r>
  <r>
    <d v="2020-02-15T00:00:00"/>
    <x v="28"/>
    <x v="5"/>
    <n v="4009"/>
    <x v="1"/>
    <x v="1"/>
    <x v="0"/>
    <n v="0"/>
    <x v="2"/>
    <n v="4009"/>
  </r>
  <r>
    <d v="2020-02-16T00:00:00"/>
    <x v="29"/>
    <x v="4"/>
    <n v="730.37"/>
    <x v="0"/>
    <x v="1"/>
    <x v="0"/>
    <n v="300"/>
    <x v="0"/>
    <n v="-730.37"/>
  </r>
  <r>
    <d v="2020-02-16T00:00:00"/>
    <x v="30"/>
    <x v="1"/>
    <n v="1023.96"/>
    <x v="0"/>
    <x v="1"/>
    <x v="0"/>
    <n v="150"/>
    <x v="0"/>
    <n v="-1023.96"/>
  </r>
  <r>
    <d v="2020-02-18T00:00:00"/>
    <x v="31"/>
    <x v="3"/>
    <n v="1398"/>
    <x v="1"/>
    <x v="1"/>
    <x v="0"/>
    <n v="0"/>
    <x v="2"/>
    <n v="1398"/>
  </r>
  <r>
    <d v="2020-02-19T00:00:00"/>
    <x v="32"/>
    <x v="3"/>
    <n v="3958"/>
    <x v="1"/>
    <x v="1"/>
    <x v="0"/>
    <n v="0"/>
    <x v="2"/>
    <n v="3958"/>
  </r>
  <r>
    <d v="2020-02-20T00:00:00"/>
    <x v="33"/>
    <x v="4"/>
    <n v="769.42"/>
    <x v="0"/>
    <x v="1"/>
    <x v="0"/>
    <n v="300"/>
    <x v="0"/>
    <n v="-769.42"/>
  </r>
  <r>
    <d v="2020-02-26T00:00:00"/>
    <x v="34"/>
    <x v="9"/>
    <n v="1942.45"/>
    <x v="0"/>
    <x v="1"/>
    <x v="0"/>
    <n v="200"/>
    <x v="0"/>
    <n v="-1942.45"/>
  </r>
  <r>
    <d v="2020-02-27T00:00:00"/>
    <x v="35"/>
    <x v="0"/>
    <n v="1363.76"/>
    <x v="0"/>
    <x v="1"/>
    <x v="0"/>
    <n v="500"/>
    <x v="0"/>
    <n v="-1363.76"/>
  </r>
  <r>
    <d v="2020-02-28T00:00:00"/>
    <x v="36"/>
    <x v="5"/>
    <n v="3286"/>
    <x v="1"/>
    <x v="1"/>
    <x v="0"/>
    <n v="0"/>
    <x v="2"/>
    <n v="3286"/>
  </r>
  <r>
    <d v="2020-02-28T00:00:00"/>
    <x v="37"/>
    <x v="5"/>
    <n v="1795"/>
    <x v="1"/>
    <x v="1"/>
    <x v="0"/>
    <n v="0"/>
    <x v="2"/>
    <n v="1795"/>
  </r>
  <r>
    <d v="2020-02-29T00:00:00"/>
    <x v="38"/>
    <x v="9"/>
    <n v="1944.06"/>
    <x v="0"/>
    <x v="1"/>
    <x v="0"/>
    <n v="200"/>
    <x v="0"/>
    <n v="-1944.06"/>
  </r>
  <r>
    <d v="2020-03-03T00:00:00"/>
    <x v="39"/>
    <x v="2"/>
    <n v="1742.33"/>
    <x v="0"/>
    <x v="2"/>
    <x v="0"/>
    <n v="1500"/>
    <x v="0"/>
    <n v="-1742.33"/>
  </r>
  <r>
    <d v="2020-03-04T00:00:00"/>
    <x v="40"/>
    <x v="6"/>
    <n v="314.14999999999998"/>
    <x v="0"/>
    <x v="2"/>
    <x v="0"/>
    <n v="200"/>
    <x v="0"/>
    <n v="-314.14999999999998"/>
  </r>
  <r>
    <d v="2020-03-04T00:00:00"/>
    <x v="41"/>
    <x v="0"/>
    <n v="1201.9000000000001"/>
    <x v="0"/>
    <x v="2"/>
    <x v="0"/>
    <n v="500"/>
    <x v="0"/>
    <n v="-1201.9000000000001"/>
  </r>
  <r>
    <d v="2020-03-09T00:00:00"/>
    <x v="42"/>
    <x v="2"/>
    <n v="1858.91"/>
    <x v="0"/>
    <x v="2"/>
    <x v="0"/>
    <n v="1500"/>
    <x v="0"/>
    <n v="-1858.91"/>
  </r>
  <r>
    <d v="2020-03-09T00:00:00"/>
    <x v="43"/>
    <x v="9"/>
    <n v="486.51"/>
    <x v="0"/>
    <x v="2"/>
    <x v="0"/>
    <n v="200"/>
    <x v="0"/>
    <n v="-486.51"/>
  </r>
  <r>
    <d v="2020-03-11T00:00:00"/>
    <x v="44"/>
    <x v="2"/>
    <n v="180.45"/>
    <x v="0"/>
    <x v="2"/>
    <x v="0"/>
    <n v="1500"/>
    <x v="1"/>
    <n v="-180.45"/>
  </r>
  <r>
    <d v="2020-03-11T00:00:00"/>
    <x v="45"/>
    <x v="2"/>
    <n v="1956.19"/>
    <x v="0"/>
    <x v="2"/>
    <x v="0"/>
    <n v="1500"/>
    <x v="0"/>
    <n v="-1956.19"/>
  </r>
  <r>
    <d v="2020-03-12T00:00:00"/>
    <x v="46"/>
    <x v="1"/>
    <n v="265.5"/>
    <x v="0"/>
    <x v="2"/>
    <x v="0"/>
    <n v="150"/>
    <x v="0"/>
    <n v="-265.5"/>
  </r>
  <r>
    <d v="2020-03-12T00:00:00"/>
    <x v="47"/>
    <x v="1"/>
    <n v="537.46"/>
    <x v="0"/>
    <x v="2"/>
    <x v="0"/>
    <n v="150"/>
    <x v="0"/>
    <n v="-537.46"/>
  </r>
  <r>
    <d v="2020-03-14T00:00:00"/>
    <x v="48"/>
    <x v="4"/>
    <n v="1929.08"/>
    <x v="0"/>
    <x v="2"/>
    <x v="0"/>
    <n v="300"/>
    <x v="0"/>
    <n v="-1929.08"/>
  </r>
  <r>
    <d v="2020-03-15T00:00:00"/>
    <x v="49"/>
    <x v="6"/>
    <n v="1428.77"/>
    <x v="0"/>
    <x v="2"/>
    <x v="0"/>
    <n v="200"/>
    <x v="0"/>
    <n v="-1428.77"/>
  </r>
  <r>
    <d v="2020-03-18T00:00:00"/>
    <x v="50"/>
    <x v="7"/>
    <n v="881.82"/>
    <x v="0"/>
    <x v="2"/>
    <x v="0"/>
    <n v="150"/>
    <x v="0"/>
    <n v="-881.82"/>
  </r>
  <r>
    <d v="2020-03-21T00:00:00"/>
    <x v="51"/>
    <x v="2"/>
    <n v="503.33"/>
    <x v="0"/>
    <x v="2"/>
    <x v="0"/>
    <n v="1500"/>
    <x v="1"/>
    <n v="-503.33"/>
  </r>
  <r>
    <d v="2020-03-23T00:00:00"/>
    <x v="52"/>
    <x v="3"/>
    <n v="2385"/>
    <x v="1"/>
    <x v="2"/>
    <x v="0"/>
    <n v="0"/>
    <x v="2"/>
    <n v="2385"/>
  </r>
  <r>
    <d v="2020-03-23T00:00:00"/>
    <x v="53"/>
    <x v="0"/>
    <n v="151.28"/>
    <x v="0"/>
    <x v="2"/>
    <x v="0"/>
    <n v="500"/>
    <x v="1"/>
    <n v="-151.28"/>
  </r>
  <r>
    <d v="2020-03-24T00:00:00"/>
    <x v="54"/>
    <x v="6"/>
    <n v="144.13"/>
    <x v="0"/>
    <x v="2"/>
    <x v="0"/>
    <n v="200"/>
    <x v="1"/>
    <n v="-144.13"/>
  </r>
  <r>
    <d v="2020-03-28T00:00:00"/>
    <x v="55"/>
    <x v="5"/>
    <n v="1080"/>
    <x v="1"/>
    <x v="2"/>
    <x v="0"/>
    <n v="0"/>
    <x v="2"/>
    <n v="1080"/>
  </r>
  <r>
    <d v="2020-04-01T00:00:00"/>
    <x v="56"/>
    <x v="9"/>
    <n v="1341.27"/>
    <x v="0"/>
    <x v="3"/>
    <x v="0"/>
    <n v="200"/>
    <x v="0"/>
    <n v="-1341.27"/>
  </r>
  <r>
    <d v="2020-04-05T00:00:00"/>
    <x v="57"/>
    <x v="1"/>
    <n v="1449.47"/>
    <x v="0"/>
    <x v="3"/>
    <x v="0"/>
    <n v="150"/>
    <x v="0"/>
    <n v="-1449.47"/>
  </r>
  <r>
    <d v="2020-04-06T00:00:00"/>
    <x v="58"/>
    <x v="8"/>
    <n v="493.56"/>
    <x v="1"/>
    <x v="3"/>
    <x v="0"/>
    <n v="0"/>
    <x v="2"/>
    <n v="493.56"/>
  </r>
  <r>
    <d v="2020-04-06T00:00:00"/>
    <x v="59"/>
    <x v="4"/>
    <n v="388.92"/>
    <x v="0"/>
    <x v="3"/>
    <x v="0"/>
    <n v="300"/>
    <x v="0"/>
    <n v="-388.92"/>
  </r>
  <r>
    <d v="2020-04-10T00:00:00"/>
    <x v="60"/>
    <x v="5"/>
    <n v="3402"/>
    <x v="1"/>
    <x v="3"/>
    <x v="0"/>
    <n v="0"/>
    <x v="2"/>
    <n v="3402"/>
  </r>
  <r>
    <d v="2020-04-17T00:00:00"/>
    <x v="61"/>
    <x v="8"/>
    <n v="1729.04"/>
    <x v="1"/>
    <x v="3"/>
    <x v="0"/>
    <n v="0"/>
    <x v="2"/>
    <n v="1729.04"/>
  </r>
  <r>
    <d v="2020-04-17T00:00:00"/>
    <x v="62"/>
    <x v="3"/>
    <n v="996"/>
    <x v="1"/>
    <x v="3"/>
    <x v="0"/>
    <n v="0"/>
    <x v="2"/>
    <n v="996"/>
  </r>
  <r>
    <d v="2020-04-18T00:00:00"/>
    <x v="63"/>
    <x v="7"/>
    <n v="1603.18"/>
    <x v="0"/>
    <x v="3"/>
    <x v="0"/>
    <n v="150"/>
    <x v="0"/>
    <n v="-1603.18"/>
  </r>
  <r>
    <d v="2020-04-22T00:00:00"/>
    <x v="64"/>
    <x v="3"/>
    <n v="2058"/>
    <x v="1"/>
    <x v="3"/>
    <x v="0"/>
    <n v="0"/>
    <x v="2"/>
    <n v="2058"/>
  </r>
  <r>
    <d v="2020-04-23T00:00:00"/>
    <x v="65"/>
    <x v="1"/>
    <n v="849.54"/>
    <x v="0"/>
    <x v="3"/>
    <x v="0"/>
    <n v="150"/>
    <x v="0"/>
    <n v="-849.54"/>
  </r>
  <r>
    <d v="2020-04-25T00:00:00"/>
    <x v="66"/>
    <x v="6"/>
    <n v="1750.23"/>
    <x v="0"/>
    <x v="3"/>
    <x v="0"/>
    <n v="200"/>
    <x v="0"/>
    <n v="-1750.23"/>
  </r>
  <r>
    <d v="2020-04-26T00:00:00"/>
    <x v="67"/>
    <x v="3"/>
    <n v="914"/>
    <x v="1"/>
    <x v="3"/>
    <x v="0"/>
    <n v="0"/>
    <x v="2"/>
    <n v="914"/>
  </r>
  <r>
    <d v="2020-04-26T00:00:00"/>
    <x v="68"/>
    <x v="0"/>
    <n v="1938.3"/>
    <x v="0"/>
    <x v="3"/>
    <x v="0"/>
    <n v="500"/>
    <x v="0"/>
    <n v="-1938.3"/>
  </r>
  <r>
    <d v="2020-04-27T00:00:00"/>
    <x v="69"/>
    <x v="6"/>
    <n v="340.96"/>
    <x v="0"/>
    <x v="3"/>
    <x v="0"/>
    <n v="200"/>
    <x v="0"/>
    <n v="-340.96"/>
  </r>
  <r>
    <d v="2020-04-27T00:00:00"/>
    <x v="70"/>
    <x v="6"/>
    <n v="1730.65"/>
    <x v="0"/>
    <x v="3"/>
    <x v="0"/>
    <n v="200"/>
    <x v="0"/>
    <n v="-1730.65"/>
  </r>
  <r>
    <d v="2020-04-29T00:00:00"/>
    <x v="71"/>
    <x v="1"/>
    <n v="764.16"/>
    <x v="0"/>
    <x v="3"/>
    <x v="0"/>
    <n v="150"/>
    <x v="0"/>
    <n v="-764.16"/>
  </r>
  <r>
    <d v="2020-04-30T00:00:00"/>
    <x v="72"/>
    <x v="9"/>
    <n v="1853.77"/>
    <x v="0"/>
    <x v="3"/>
    <x v="0"/>
    <n v="200"/>
    <x v="0"/>
    <n v="-1853.77"/>
  </r>
  <r>
    <d v="2020-05-01T00:00:00"/>
    <x v="73"/>
    <x v="9"/>
    <n v="851.78"/>
    <x v="0"/>
    <x v="4"/>
    <x v="0"/>
    <n v="200"/>
    <x v="0"/>
    <n v="-851.78"/>
  </r>
  <r>
    <d v="2020-05-03T00:00:00"/>
    <x v="74"/>
    <x v="8"/>
    <n v="318.05"/>
    <x v="1"/>
    <x v="4"/>
    <x v="0"/>
    <n v="0"/>
    <x v="2"/>
    <n v="318.05"/>
  </r>
  <r>
    <d v="2020-05-03T00:00:00"/>
    <x v="75"/>
    <x v="0"/>
    <n v="1162.57"/>
    <x v="0"/>
    <x v="4"/>
    <x v="0"/>
    <n v="500"/>
    <x v="0"/>
    <n v="-1162.57"/>
  </r>
  <r>
    <d v="2020-05-05T00:00:00"/>
    <x v="76"/>
    <x v="7"/>
    <n v="123.76"/>
    <x v="0"/>
    <x v="4"/>
    <x v="0"/>
    <n v="150"/>
    <x v="1"/>
    <n v="-123.76"/>
  </r>
  <r>
    <d v="2020-05-06T00:00:00"/>
    <x v="77"/>
    <x v="1"/>
    <n v="123.19"/>
    <x v="0"/>
    <x v="4"/>
    <x v="0"/>
    <n v="150"/>
    <x v="1"/>
    <n v="-123.19"/>
  </r>
  <r>
    <d v="2020-05-06T00:00:00"/>
    <x v="78"/>
    <x v="1"/>
    <n v="146.36000000000001"/>
    <x v="0"/>
    <x v="4"/>
    <x v="0"/>
    <n v="150"/>
    <x v="1"/>
    <n v="-146.36000000000001"/>
  </r>
  <r>
    <d v="2020-05-07T00:00:00"/>
    <x v="79"/>
    <x v="3"/>
    <n v="3807"/>
    <x v="1"/>
    <x v="4"/>
    <x v="0"/>
    <n v="0"/>
    <x v="2"/>
    <n v="3807"/>
  </r>
  <r>
    <d v="2020-05-11T00:00:00"/>
    <x v="80"/>
    <x v="3"/>
    <n v="825"/>
    <x v="1"/>
    <x v="4"/>
    <x v="0"/>
    <n v="0"/>
    <x v="2"/>
    <n v="825"/>
  </r>
  <r>
    <d v="2020-05-12T00:00:00"/>
    <x v="81"/>
    <x v="4"/>
    <n v="1318.17"/>
    <x v="0"/>
    <x v="4"/>
    <x v="0"/>
    <n v="300"/>
    <x v="0"/>
    <n v="-1318.17"/>
  </r>
  <r>
    <d v="2020-05-13T00:00:00"/>
    <x v="82"/>
    <x v="7"/>
    <n v="1870.07"/>
    <x v="0"/>
    <x v="4"/>
    <x v="0"/>
    <n v="150"/>
    <x v="0"/>
    <n v="-1870.07"/>
  </r>
  <r>
    <d v="2020-05-14T00:00:00"/>
    <x v="83"/>
    <x v="7"/>
    <n v="484.99"/>
    <x v="0"/>
    <x v="4"/>
    <x v="0"/>
    <n v="150"/>
    <x v="0"/>
    <n v="-484.99"/>
  </r>
  <r>
    <d v="2020-05-15T00:00:00"/>
    <x v="84"/>
    <x v="9"/>
    <n v="919.88"/>
    <x v="0"/>
    <x v="4"/>
    <x v="0"/>
    <n v="200"/>
    <x v="0"/>
    <n v="-919.88"/>
  </r>
  <r>
    <d v="2020-05-16T00:00:00"/>
    <x v="85"/>
    <x v="2"/>
    <n v="28.54"/>
    <x v="0"/>
    <x v="4"/>
    <x v="0"/>
    <n v="1500"/>
    <x v="1"/>
    <n v="-28.54"/>
  </r>
  <r>
    <d v="2020-05-17T00:00:00"/>
    <x v="86"/>
    <x v="2"/>
    <n v="155.79"/>
    <x v="0"/>
    <x v="4"/>
    <x v="0"/>
    <n v="1500"/>
    <x v="1"/>
    <n v="-155.79"/>
  </r>
  <r>
    <d v="2020-05-19T00:00:00"/>
    <x v="87"/>
    <x v="9"/>
    <n v="273.58999999999997"/>
    <x v="0"/>
    <x v="4"/>
    <x v="0"/>
    <n v="200"/>
    <x v="0"/>
    <n v="-273.58999999999997"/>
  </r>
  <r>
    <d v="2020-05-20T00:00:00"/>
    <x v="88"/>
    <x v="2"/>
    <n v="1759.75"/>
    <x v="0"/>
    <x v="4"/>
    <x v="0"/>
    <n v="1500"/>
    <x v="0"/>
    <n v="-1759.75"/>
  </r>
  <r>
    <d v="2020-05-21T00:00:00"/>
    <x v="89"/>
    <x v="1"/>
    <n v="881.99"/>
    <x v="0"/>
    <x v="4"/>
    <x v="0"/>
    <n v="150"/>
    <x v="0"/>
    <n v="-881.99"/>
  </r>
  <r>
    <d v="2020-05-25T00:00:00"/>
    <x v="90"/>
    <x v="9"/>
    <n v="1227.24"/>
    <x v="0"/>
    <x v="4"/>
    <x v="0"/>
    <n v="200"/>
    <x v="0"/>
    <n v="-1227.24"/>
  </r>
  <r>
    <d v="2020-05-27T00:00:00"/>
    <x v="91"/>
    <x v="0"/>
    <n v="1339.05"/>
    <x v="0"/>
    <x v="4"/>
    <x v="0"/>
    <n v="500"/>
    <x v="0"/>
    <n v="-1339.05"/>
  </r>
  <r>
    <d v="2020-05-28T00:00:00"/>
    <x v="92"/>
    <x v="2"/>
    <n v="1878.47"/>
    <x v="0"/>
    <x v="4"/>
    <x v="0"/>
    <n v="1500"/>
    <x v="0"/>
    <n v="-1878.47"/>
  </r>
  <r>
    <d v="2020-05-29T00:00:00"/>
    <x v="93"/>
    <x v="3"/>
    <n v="1376"/>
    <x v="1"/>
    <x v="4"/>
    <x v="0"/>
    <n v="0"/>
    <x v="2"/>
    <n v="1376"/>
  </r>
  <r>
    <d v="2020-05-30T00:00:00"/>
    <x v="94"/>
    <x v="1"/>
    <n v="551.97"/>
    <x v="0"/>
    <x v="4"/>
    <x v="0"/>
    <n v="150"/>
    <x v="0"/>
    <n v="-551.97"/>
  </r>
  <r>
    <d v="2020-05-31T00:00:00"/>
    <x v="95"/>
    <x v="7"/>
    <n v="415.16"/>
    <x v="0"/>
    <x v="4"/>
    <x v="0"/>
    <n v="150"/>
    <x v="0"/>
    <n v="-415.16"/>
  </r>
  <r>
    <d v="2020-05-31T00:00:00"/>
    <x v="96"/>
    <x v="9"/>
    <n v="1015.76"/>
    <x v="0"/>
    <x v="4"/>
    <x v="0"/>
    <n v="200"/>
    <x v="0"/>
    <n v="-1015.76"/>
  </r>
  <r>
    <d v="2020-06-01T00:00:00"/>
    <x v="97"/>
    <x v="0"/>
    <n v="193.67"/>
    <x v="0"/>
    <x v="5"/>
    <x v="0"/>
    <n v="500"/>
    <x v="1"/>
    <n v="-193.67"/>
  </r>
  <r>
    <d v="2020-06-02T00:00:00"/>
    <x v="98"/>
    <x v="9"/>
    <n v="97.73"/>
    <x v="0"/>
    <x v="5"/>
    <x v="0"/>
    <n v="200"/>
    <x v="1"/>
    <n v="-97.73"/>
  </r>
  <r>
    <d v="2020-06-05T00:00:00"/>
    <x v="99"/>
    <x v="1"/>
    <n v="1277.8599999999999"/>
    <x v="0"/>
    <x v="5"/>
    <x v="0"/>
    <n v="150"/>
    <x v="0"/>
    <n v="-1277.8599999999999"/>
  </r>
  <r>
    <d v="2020-06-06T00:00:00"/>
    <x v="100"/>
    <x v="8"/>
    <n v="1107.8399999999999"/>
    <x v="1"/>
    <x v="5"/>
    <x v="0"/>
    <n v="0"/>
    <x v="2"/>
    <n v="1107.8399999999999"/>
  </r>
  <r>
    <d v="2020-06-07T00:00:00"/>
    <x v="101"/>
    <x v="0"/>
    <n v="232.63"/>
    <x v="0"/>
    <x v="5"/>
    <x v="0"/>
    <n v="500"/>
    <x v="1"/>
    <n v="-232.63"/>
  </r>
  <r>
    <d v="2020-06-08T00:00:00"/>
    <x v="102"/>
    <x v="1"/>
    <n v="1095.72"/>
    <x v="0"/>
    <x v="5"/>
    <x v="0"/>
    <n v="150"/>
    <x v="0"/>
    <n v="-1095.72"/>
  </r>
  <r>
    <d v="2020-06-09T00:00:00"/>
    <x v="103"/>
    <x v="1"/>
    <n v="865.28"/>
    <x v="0"/>
    <x v="5"/>
    <x v="0"/>
    <n v="150"/>
    <x v="0"/>
    <n v="-865.28"/>
  </r>
  <r>
    <d v="2020-06-09T00:00:00"/>
    <x v="104"/>
    <x v="5"/>
    <n v="826"/>
    <x v="1"/>
    <x v="5"/>
    <x v="0"/>
    <n v="0"/>
    <x v="2"/>
    <n v="826"/>
  </r>
  <r>
    <d v="2020-06-10T00:00:00"/>
    <x v="105"/>
    <x v="6"/>
    <n v="1367.31"/>
    <x v="0"/>
    <x v="5"/>
    <x v="0"/>
    <n v="200"/>
    <x v="0"/>
    <n v="-1367.31"/>
  </r>
  <r>
    <d v="2020-06-10T00:00:00"/>
    <x v="106"/>
    <x v="7"/>
    <n v="1562.43"/>
    <x v="0"/>
    <x v="5"/>
    <x v="0"/>
    <n v="150"/>
    <x v="0"/>
    <n v="-1562.43"/>
  </r>
  <r>
    <d v="2020-06-11T00:00:00"/>
    <x v="107"/>
    <x v="4"/>
    <n v="1947.94"/>
    <x v="0"/>
    <x v="5"/>
    <x v="0"/>
    <n v="300"/>
    <x v="0"/>
    <n v="-1947.94"/>
  </r>
  <r>
    <d v="2020-06-11T00:00:00"/>
    <x v="108"/>
    <x v="6"/>
    <n v="1730.57"/>
    <x v="0"/>
    <x v="5"/>
    <x v="0"/>
    <n v="200"/>
    <x v="0"/>
    <n v="-1730.57"/>
  </r>
  <r>
    <d v="2020-06-12T00:00:00"/>
    <x v="109"/>
    <x v="1"/>
    <n v="1764.02"/>
    <x v="0"/>
    <x v="5"/>
    <x v="0"/>
    <n v="150"/>
    <x v="0"/>
    <n v="-1764.02"/>
  </r>
  <r>
    <d v="2020-06-14T00:00:00"/>
    <x v="110"/>
    <x v="5"/>
    <n v="3872"/>
    <x v="1"/>
    <x v="5"/>
    <x v="0"/>
    <n v="0"/>
    <x v="2"/>
    <n v="3872"/>
  </r>
  <r>
    <d v="2020-06-15T00:00:00"/>
    <x v="111"/>
    <x v="6"/>
    <n v="540.94000000000005"/>
    <x v="0"/>
    <x v="5"/>
    <x v="0"/>
    <n v="200"/>
    <x v="0"/>
    <n v="-540.94000000000005"/>
  </r>
  <r>
    <d v="2020-06-18T00:00:00"/>
    <x v="112"/>
    <x v="2"/>
    <n v="771.26"/>
    <x v="0"/>
    <x v="5"/>
    <x v="0"/>
    <n v="1500"/>
    <x v="1"/>
    <n v="-771.26"/>
  </r>
  <r>
    <d v="2020-06-18T00:00:00"/>
    <x v="113"/>
    <x v="5"/>
    <n v="2322"/>
    <x v="1"/>
    <x v="5"/>
    <x v="0"/>
    <n v="0"/>
    <x v="2"/>
    <n v="2322"/>
  </r>
  <r>
    <d v="2020-06-18T00:00:00"/>
    <x v="114"/>
    <x v="5"/>
    <n v="3364"/>
    <x v="1"/>
    <x v="5"/>
    <x v="0"/>
    <n v="0"/>
    <x v="2"/>
    <n v="3364"/>
  </r>
  <r>
    <d v="2020-06-19T00:00:00"/>
    <x v="115"/>
    <x v="6"/>
    <n v="453.62"/>
    <x v="0"/>
    <x v="5"/>
    <x v="0"/>
    <n v="200"/>
    <x v="0"/>
    <n v="-453.62"/>
  </r>
  <r>
    <d v="2020-06-19T00:00:00"/>
    <x v="116"/>
    <x v="4"/>
    <n v="663.24"/>
    <x v="0"/>
    <x v="5"/>
    <x v="0"/>
    <n v="300"/>
    <x v="0"/>
    <n v="-663.24"/>
  </r>
  <r>
    <d v="2020-06-21T00:00:00"/>
    <x v="117"/>
    <x v="9"/>
    <n v="708.78"/>
    <x v="0"/>
    <x v="5"/>
    <x v="0"/>
    <n v="200"/>
    <x v="0"/>
    <n v="-708.78"/>
  </r>
  <r>
    <d v="2020-06-21T00:00:00"/>
    <x v="118"/>
    <x v="7"/>
    <n v="1879.08"/>
    <x v="0"/>
    <x v="5"/>
    <x v="0"/>
    <n v="150"/>
    <x v="0"/>
    <n v="-1879.08"/>
  </r>
  <r>
    <d v="2020-06-22T00:00:00"/>
    <x v="119"/>
    <x v="5"/>
    <n v="1962"/>
    <x v="1"/>
    <x v="5"/>
    <x v="0"/>
    <n v="0"/>
    <x v="2"/>
    <n v="1962"/>
  </r>
  <r>
    <d v="2020-06-22T00:00:00"/>
    <x v="120"/>
    <x v="9"/>
    <n v="86.13"/>
    <x v="0"/>
    <x v="5"/>
    <x v="0"/>
    <n v="200"/>
    <x v="1"/>
    <n v="-86.13"/>
  </r>
  <r>
    <d v="2020-06-24T00:00:00"/>
    <x v="121"/>
    <x v="7"/>
    <n v="1459.8"/>
    <x v="0"/>
    <x v="5"/>
    <x v="0"/>
    <n v="150"/>
    <x v="0"/>
    <n v="-1459.8"/>
  </r>
  <r>
    <d v="2020-06-30T00:00:00"/>
    <x v="122"/>
    <x v="2"/>
    <n v="776.54"/>
    <x v="0"/>
    <x v="5"/>
    <x v="0"/>
    <n v="1500"/>
    <x v="1"/>
    <n v="-776.54"/>
  </r>
  <r>
    <d v="2020-06-30T00:00:00"/>
    <x v="123"/>
    <x v="9"/>
    <n v="98.33"/>
    <x v="0"/>
    <x v="5"/>
    <x v="0"/>
    <n v="200"/>
    <x v="1"/>
    <n v="-98.33"/>
  </r>
  <r>
    <d v="2020-07-02T00:00:00"/>
    <x v="124"/>
    <x v="6"/>
    <n v="734.8"/>
    <x v="0"/>
    <x v="6"/>
    <x v="0"/>
    <n v="200"/>
    <x v="0"/>
    <n v="-734.8"/>
  </r>
  <r>
    <d v="2020-07-03T00:00:00"/>
    <x v="125"/>
    <x v="5"/>
    <n v="3071"/>
    <x v="1"/>
    <x v="6"/>
    <x v="0"/>
    <n v="0"/>
    <x v="2"/>
    <n v="3071"/>
  </r>
  <r>
    <d v="2020-07-04T00:00:00"/>
    <x v="126"/>
    <x v="2"/>
    <n v="1442.31"/>
    <x v="0"/>
    <x v="6"/>
    <x v="0"/>
    <n v="1500"/>
    <x v="1"/>
    <n v="-1442.31"/>
  </r>
  <r>
    <d v="2020-07-05T00:00:00"/>
    <x v="127"/>
    <x v="9"/>
    <n v="1337.12"/>
    <x v="0"/>
    <x v="6"/>
    <x v="0"/>
    <n v="200"/>
    <x v="0"/>
    <n v="-1337.12"/>
  </r>
  <r>
    <d v="2020-07-06T00:00:00"/>
    <x v="128"/>
    <x v="9"/>
    <n v="1113.28"/>
    <x v="0"/>
    <x v="6"/>
    <x v="0"/>
    <n v="200"/>
    <x v="0"/>
    <n v="-1113.28"/>
  </r>
  <r>
    <d v="2020-07-06T00:00:00"/>
    <x v="129"/>
    <x v="5"/>
    <n v="1925"/>
    <x v="1"/>
    <x v="6"/>
    <x v="0"/>
    <n v="0"/>
    <x v="2"/>
    <n v="1925"/>
  </r>
  <r>
    <d v="2020-07-08T00:00:00"/>
    <x v="130"/>
    <x v="9"/>
    <n v="818.09"/>
    <x v="0"/>
    <x v="6"/>
    <x v="0"/>
    <n v="200"/>
    <x v="0"/>
    <n v="-818.09"/>
  </r>
  <r>
    <d v="2020-07-11T00:00:00"/>
    <x v="131"/>
    <x v="9"/>
    <n v="580.96"/>
    <x v="0"/>
    <x v="6"/>
    <x v="0"/>
    <n v="200"/>
    <x v="0"/>
    <n v="-580.96"/>
  </r>
  <r>
    <d v="2020-07-12T00:00:00"/>
    <x v="132"/>
    <x v="7"/>
    <n v="935.33"/>
    <x v="0"/>
    <x v="6"/>
    <x v="0"/>
    <n v="150"/>
    <x v="0"/>
    <n v="-935.33"/>
  </r>
  <r>
    <d v="2020-07-12T00:00:00"/>
    <x v="133"/>
    <x v="6"/>
    <n v="1027.24"/>
    <x v="0"/>
    <x v="6"/>
    <x v="0"/>
    <n v="200"/>
    <x v="0"/>
    <n v="-1027.24"/>
  </r>
  <r>
    <d v="2020-07-13T00:00:00"/>
    <x v="134"/>
    <x v="1"/>
    <n v="1321.11"/>
    <x v="0"/>
    <x v="6"/>
    <x v="0"/>
    <n v="150"/>
    <x v="0"/>
    <n v="-1321.11"/>
  </r>
  <r>
    <d v="2020-07-17T00:00:00"/>
    <x v="135"/>
    <x v="7"/>
    <n v="195.84"/>
    <x v="0"/>
    <x v="6"/>
    <x v="0"/>
    <n v="150"/>
    <x v="0"/>
    <n v="-195.84"/>
  </r>
  <r>
    <d v="2020-07-20T00:00:00"/>
    <x v="136"/>
    <x v="6"/>
    <n v="1348.86"/>
    <x v="0"/>
    <x v="6"/>
    <x v="0"/>
    <n v="200"/>
    <x v="0"/>
    <n v="-1348.86"/>
  </r>
  <r>
    <d v="2020-07-21T00:00:00"/>
    <x v="137"/>
    <x v="6"/>
    <n v="303.23"/>
    <x v="0"/>
    <x v="6"/>
    <x v="0"/>
    <n v="200"/>
    <x v="0"/>
    <n v="-303.23"/>
  </r>
  <r>
    <d v="2020-07-21T00:00:00"/>
    <x v="138"/>
    <x v="5"/>
    <n v="1096"/>
    <x v="1"/>
    <x v="6"/>
    <x v="0"/>
    <n v="0"/>
    <x v="2"/>
    <n v="1096"/>
  </r>
  <r>
    <d v="2020-07-22T00:00:00"/>
    <x v="139"/>
    <x v="6"/>
    <n v="1439.51"/>
    <x v="0"/>
    <x v="6"/>
    <x v="0"/>
    <n v="200"/>
    <x v="0"/>
    <n v="-1439.51"/>
  </r>
  <r>
    <d v="2020-07-22T00:00:00"/>
    <x v="140"/>
    <x v="4"/>
    <n v="495.53"/>
    <x v="0"/>
    <x v="6"/>
    <x v="0"/>
    <n v="300"/>
    <x v="0"/>
    <n v="-495.53"/>
  </r>
  <r>
    <d v="2020-07-22T00:00:00"/>
    <x v="141"/>
    <x v="0"/>
    <n v="1786.39"/>
    <x v="0"/>
    <x v="6"/>
    <x v="0"/>
    <n v="500"/>
    <x v="0"/>
    <n v="-1786.39"/>
  </r>
  <r>
    <d v="2020-07-23T00:00:00"/>
    <x v="142"/>
    <x v="2"/>
    <n v="1559.06"/>
    <x v="0"/>
    <x v="6"/>
    <x v="0"/>
    <n v="1500"/>
    <x v="0"/>
    <n v="-1559.06"/>
  </r>
  <r>
    <d v="2020-07-24T00:00:00"/>
    <x v="143"/>
    <x v="8"/>
    <n v="109.93"/>
    <x v="1"/>
    <x v="6"/>
    <x v="0"/>
    <n v="0"/>
    <x v="2"/>
    <n v="109.93"/>
  </r>
  <r>
    <d v="2020-07-28T00:00:00"/>
    <x v="144"/>
    <x v="2"/>
    <n v="918.36"/>
    <x v="0"/>
    <x v="6"/>
    <x v="0"/>
    <n v="1500"/>
    <x v="1"/>
    <n v="-918.36"/>
  </r>
  <r>
    <d v="2020-07-28T00:00:00"/>
    <x v="145"/>
    <x v="7"/>
    <n v="1900.58"/>
    <x v="0"/>
    <x v="6"/>
    <x v="0"/>
    <n v="150"/>
    <x v="0"/>
    <n v="-1900.58"/>
  </r>
  <r>
    <d v="2020-07-29T00:00:00"/>
    <x v="146"/>
    <x v="4"/>
    <n v="1662.83"/>
    <x v="0"/>
    <x v="6"/>
    <x v="0"/>
    <n v="300"/>
    <x v="0"/>
    <n v="-1662.83"/>
  </r>
  <r>
    <d v="2020-07-30T00:00:00"/>
    <x v="147"/>
    <x v="1"/>
    <n v="1489.87"/>
    <x v="0"/>
    <x v="6"/>
    <x v="0"/>
    <n v="150"/>
    <x v="0"/>
    <n v="-1489.87"/>
  </r>
  <r>
    <d v="2020-07-31T00:00:00"/>
    <x v="148"/>
    <x v="9"/>
    <n v="1506.04"/>
    <x v="0"/>
    <x v="6"/>
    <x v="0"/>
    <n v="200"/>
    <x v="0"/>
    <n v="-1506.04"/>
  </r>
  <r>
    <d v="2020-08-01T00:00:00"/>
    <x v="149"/>
    <x v="9"/>
    <n v="1533.97"/>
    <x v="0"/>
    <x v="7"/>
    <x v="0"/>
    <n v="200"/>
    <x v="0"/>
    <n v="-1533.97"/>
  </r>
  <r>
    <d v="2020-08-01T00:00:00"/>
    <x v="150"/>
    <x v="6"/>
    <n v="556.45000000000005"/>
    <x v="0"/>
    <x v="7"/>
    <x v="0"/>
    <n v="200"/>
    <x v="0"/>
    <n v="-556.45000000000005"/>
  </r>
  <r>
    <d v="2020-08-01T00:00:00"/>
    <x v="151"/>
    <x v="5"/>
    <n v="2420"/>
    <x v="1"/>
    <x v="7"/>
    <x v="0"/>
    <n v="0"/>
    <x v="2"/>
    <n v="2420"/>
  </r>
  <r>
    <d v="2020-08-02T00:00:00"/>
    <x v="152"/>
    <x v="7"/>
    <n v="1787.12"/>
    <x v="0"/>
    <x v="7"/>
    <x v="0"/>
    <n v="150"/>
    <x v="0"/>
    <n v="-1787.12"/>
  </r>
  <r>
    <d v="2020-08-03T00:00:00"/>
    <x v="153"/>
    <x v="3"/>
    <n v="2394"/>
    <x v="1"/>
    <x v="7"/>
    <x v="0"/>
    <n v="0"/>
    <x v="2"/>
    <n v="2394"/>
  </r>
  <r>
    <d v="2020-08-04T00:00:00"/>
    <x v="154"/>
    <x v="1"/>
    <n v="1415.77"/>
    <x v="0"/>
    <x v="7"/>
    <x v="0"/>
    <n v="150"/>
    <x v="0"/>
    <n v="-1415.77"/>
  </r>
  <r>
    <d v="2020-08-04T00:00:00"/>
    <x v="155"/>
    <x v="5"/>
    <n v="3210"/>
    <x v="1"/>
    <x v="7"/>
    <x v="0"/>
    <n v="0"/>
    <x v="2"/>
    <n v="3210"/>
  </r>
  <r>
    <d v="2020-08-04T00:00:00"/>
    <x v="156"/>
    <x v="4"/>
    <n v="133.91"/>
    <x v="0"/>
    <x v="7"/>
    <x v="0"/>
    <n v="300"/>
    <x v="1"/>
    <n v="-133.91"/>
  </r>
  <r>
    <d v="2020-08-05T00:00:00"/>
    <x v="157"/>
    <x v="4"/>
    <n v="1810.63"/>
    <x v="0"/>
    <x v="7"/>
    <x v="0"/>
    <n v="300"/>
    <x v="0"/>
    <n v="-1810.63"/>
  </r>
  <r>
    <d v="2020-08-05T00:00:00"/>
    <x v="158"/>
    <x v="0"/>
    <n v="1714.9"/>
    <x v="0"/>
    <x v="7"/>
    <x v="0"/>
    <n v="500"/>
    <x v="0"/>
    <n v="-1714.9"/>
  </r>
  <r>
    <d v="2020-08-06T00:00:00"/>
    <x v="159"/>
    <x v="4"/>
    <n v="959.19"/>
    <x v="0"/>
    <x v="7"/>
    <x v="0"/>
    <n v="300"/>
    <x v="0"/>
    <n v="-959.19"/>
  </r>
  <r>
    <d v="2020-08-08T00:00:00"/>
    <x v="160"/>
    <x v="9"/>
    <n v="1509.42"/>
    <x v="0"/>
    <x v="7"/>
    <x v="0"/>
    <n v="200"/>
    <x v="0"/>
    <n v="-1509.42"/>
  </r>
  <r>
    <d v="2020-08-08T00:00:00"/>
    <x v="161"/>
    <x v="4"/>
    <n v="1081.06"/>
    <x v="0"/>
    <x v="7"/>
    <x v="0"/>
    <n v="300"/>
    <x v="0"/>
    <n v="-1081.06"/>
  </r>
  <r>
    <d v="2020-08-09T00:00:00"/>
    <x v="162"/>
    <x v="6"/>
    <n v="981.58"/>
    <x v="0"/>
    <x v="7"/>
    <x v="0"/>
    <n v="200"/>
    <x v="0"/>
    <n v="-981.58"/>
  </r>
  <r>
    <d v="2020-08-13T00:00:00"/>
    <x v="163"/>
    <x v="8"/>
    <n v="67.760000000000005"/>
    <x v="1"/>
    <x v="7"/>
    <x v="0"/>
    <n v="0"/>
    <x v="2"/>
    <n v="67.760000000000005"/>
  </r>
  <r>
    <d v="2020-08-14T00:00:00"/>
    <x v="164"/>
    <x v="4"/>
    <n v="1451.12"/>
    <x v="0"/>
    <x v="7"/>
    <x v="0"/>
    <n v="300"/>
    <x v="0"/>
    <n v="-1451.12"/>
  </r>
  <r>
    <d v="2020-08-16T00:00:00"/>
    <x v="165"/>
    <x v="1"/>
    <n v="1961.64"/>
    <x v="0"/>
    <x v="7"/>
    <x v="0"/>
    <n v="150"/>
    <x v="0"/>
    <n v="-1961.64"/>
  </r>
  <r>
    <d v="2020-08-17T00:00:00"/>
    <x v="166"/>
    <x v="4"/>
    <n v="1187.8699999999999"/>
    <x v="0"/>
    <x v="7"/>
    <x v="0"/>
    <n v="300"/>
    <x v="0"/>
    <n v="-1187.8699999999999"/>
  </r>
  <r>
    <d v="2020-08-18T00:00:00"/>
    <x v="167"/>
    <x v="2"/>
    <n v="1289.07"/>
    <x v="0"/>
    <x v="7"/>
    <x v="0"/>
    <n v="1500"/>
    <x v="1"/>
    <n v="-1289.07"/>
  </r>
  <r>
    <d v="2020-08-19T00:00:00"/>
    <x v="168"/>
    <x v="5"/>
    <n v="1988"/>
    <x v="1"/>
    <x v="7"/>
    <x v="0"/>
    <n v="0"/>
    <x v="2"/>
    <n v="1988"/>
  </r>
  <r>
    <d v="2020-08-20T00:00:00"/>
    <x v="169"/>
    <x v="5"/>
    <n v="3181"/>
    <x v="1"/>
    <x v="7"/>
    <x v="0"/>
    <n v="0"/>
    <x v="2"/>
    <n v="3181"/>
  </r>
  <r>
    <d v="2020-08-21T00:00:00"/>
    <x v="170"/>
    <x v="7"/>
    <n v="681.63"/>
    <x v="0"/>
    <x v="7"/>
    <x v="0"/>
    <n v="150"/>
    <x v="0"/>
    <n v="-681.63"/>
  </r>
  <r>
    <d v="2020-08-21T00:00:00"/>
    <x v="171"/>
    <x v="9"/>
    <n v="1506.5"/>
    <x v="0"/>
    <x v="7"/>
    <x v="0"/>
    <n v="200"/>
    <x v="0"/>
    <n v="-1506.5"/>
  </r>
  <r>
    <d v="2020-08-22T00:00:00"/>
    <x v="172"/>
    <x v="9"/>
    <n v="1671.47"/>
    <x v="0"/>
    <x v="7"/>
    <x v="0"/>
    <n v="200"/>
    <x v="0"/>
    <n v="-1671.47"/>
  </r>
  <r>
    <d v="2020-08-22T00:00:00"/>
    <x v="173"/>
    <x v="0"/>
    <n v="1999.82"/>
    <x v="0"/>
    <x v="7"/>
    <x v="0"/>
    <n v="500"/>
    <x v="0"/>
    <n v="-1999.82"/>
  </r>
  <r>
    <d v="2020-08-26T00:00:00"/>
    <x v="174"/>
    <x v="2"/>
    <n v="1564.65"/>
    <x v="0"/>
    <x v="7"/>
    <x v="0"/>
    <n v="1500"/>
    <x v="0"/>
    <n v="-1564.65"/>
  </r>
  <r>
    <d v="2020-08-27T00:00:00"/>
    <x v="175"/>
    <x v="0"/>
    <n v="1899.73"/>
    <x v="0"/>
    <x v="7"/>
    <x v="0"/>
    <n v="500"/>
    <x v="0"/>
    <n v="-1899.73"/>
  </r>
  <r>
    <d v="2020-08-27T00:00:00"/>
    <x v="176"/>
    <x v="3"/>
    <n v="1748"/>
    <x v="1"/>
    <x v="7"/>
    <x v="0"/>
    <n v="0"/>
    <x v="2"/>
    <n v="1748"/>
  </r>
  <r>
    <d v="2020-08-29T00:00:00"/>
    <x v="177"/>
    <x v="8"/>
    <n v="1342.22"/>
    <x v="1"/>
    <x v="7"/>
    <x v="0"/>
    <n v="0"/>
    <x v="2"/>
    <n v="1342.22"/>
  </r>
  <r>
    <d v="2020-08-30T00:00:00"/>
    <x v="178"/>
    <x v="6"/>
    <n v="935.42"/>
    <x v="0"/>
    <x v="7"/>
    <x v="0"/>
    <n v="200"/>
    <x v="0"/>
    <n v="-935.42"/>
  </r>
  <r>
    <d v="2020-08-31T00:00:00"/>
    <x v="179"/>
    <x v="7"/>
    <n v="343.9"/>
    <x v="0"/>
    <x v="7"/>
    <x v="0"/>
    <n v="150"/>
    <x v="0"/>
    <n v="-343.9"/>
  </r>
  <r>
    <d v="2020-09-01T00:00:00"/>
    <x v="180"/>
    <x v="2"/>
    <n v="1557.81"/>
    <x v="0"/>
    <x v="8"/>
    <x v="0"/>
    <n v="1500"/>
    <x v="0"/>
    <n v="-1557.81"/>
  </r>
  <r>
    <d v="2020-09-05T00:00:00"/>
    <x v="181"/>
    <x v="5"/>
    <n v="1385"/>
    <x v="1"/>
    <x v="8"/>
    <x v="0"/>
    <n v="0"/>
    <x v="2"/>
    <n v="1385"/>
  </r>
  <r>
    <d v="2020-09-05T00:00:00"/>
    <x v="182"/>
    <x v="9"/>
    <n v="1155.8399999999999"/>
    <x v="0"/>
    <x v="8"/>
    <x v="0"/>
    <n v="200"/>
    <x v="0"/>
    <n v="-1155.8399999999999"/>
  </r>
  <r>
    <d v="2020-09-06T00:00:00"/>
    <x v="183"/>
    <x v="4"/>
    <n v="799.34"/>
    <x v="0"/>
    <x v="8"/>
    <x v="0"/>
    <n v="300"/>
    <x v="0"/>
    <n v="-799.34"/>
  </r>
  <r>
    <d v="2020-09-07T00:00:00"/>
    <x v="184"/>
    <x v="2"/>
    <n v="1188.27"/>
    <x v="0"/>
    <x v="8"/>
    <x v="0"/>
    <n v="1500"/>
    <x v="1"/>
    <n v="-1188.27"/>
  </r>
  <r>
    <d v="2020-09-08T00:00:00"/>
    <x v="185"/>
    <x v="6"/>
    <n v="212.78"/>
    <x v="0"/>
    <x v="8"/>
    <x v="0"/>
    <n v="200"/>
    <x v="0"/>
    <n v="-212.78"/>
  </r>
  <r>
    <d v="2020-09-11T00:00:00"/>
    <x v="186"/>
    <x v="2"/>
    <n v="1594.49"/>
    <x v="0"/>
    <x v="8"/>
    <x v="0"/>
    <n v="1500"/>
    <x v="0"/>
    <n v="-1594.49"/>
  </r>
  <r>
    <d v="2020-09-11T00:00:00"/>
    <x v="187"/>
    <x v="0"/>
    <n v="700.94"/>
    <x v="0"/>
    <x v="8"/>
    <x v="0"/>
    <n v="500"/>
    <x v="0"/>
    <n v="-700.94"/>
  </r>
  <r>
    <d v="2020-09-11T00:00:00"/>
    <x v="188"/>
    <x v="7"/>
    <n v="147.22"/>
    <x v="0"/>
    <x v="8"/>
    <x v="0"/>
    <n v="150"/>
    <x v="1"/>
    <n v="-147.22"/>
  </r>
  <r>
    <d v="2020-09-16T00:00:00"/>
    <x v="189"/>
    <x v="0"/>
    <n v="1700.66"/>
    <x v="0"/>
    <x v="8"/>
    <x v="0"/>
    <n v="500"/>
    <x v="0"/>
    <n v="-1700.66"/>
  </r>
  <r>
    <d v="2020-09-17T00:00:00"/>
    <x v="190"/>
    <x v="2"/>
    <n v="872.71"/>
    <x v="0"/>
    <x v="8"/>
    <x v="0"/>
    <n v="1500"/>
    <x v="1"/>
    <n v="-872.71"/>
  </r>
  <r>
    <d v="2020-09-17T00:00:00"/>
    <x v="191"/>
    <x v="8"/>
    <n v="1417.54"/>
    <x v="1"/>
    <x v="8"/>
    <x v="0"/>
    <n v="0"/>
    <x v="2"/>
    <n v="1417.54"/>
  </r>
  <r>
    <d v="2020-09-18T00:00:00"/>
    <x v="192"/>
    <x v="9"/>
    <n v="1235.67"/>
    <x v="0"/>
    <x v="8"/>
    <x v="0"/>
    <n v="200"/>
    <x v="0"/>
    <n v="-1235.67"/>
  </r>
  <r>
    <d v="2020-09-18T00:00:00"/>
    <x v="193"/>
    <x v="8"/>
    <n v="935.1"/>
    <x v="1"/>
    <x v="8"/>
    <x v="0"/>
    <n v="0"/>
    <x v="2"/>
    <n v="935.1"/>
  </r>
  <r>
    <d v="2020-09-22T00:00:00"/>
    <x v="194"/>
    <x v="9"/>
    <n v="651.39"/>
    <x v="0"/>
    <x v="8"/>
    <x v="0"/>
    <n v="200"/>
    <x v="0"/>
    <n v="-651.39"/>
  </r>
  <r>
    <d v="2020-09-22T00:00:00"/>
    <x v="195"/>
    <x v="2"/>
    <n v="565.07000000000005"/>
    <x v="0"/>
    <x v="8"/>
    <x v="0"/>
    <n v="1500"/>
    <x v="1"/>
    <n v="-565.07000000000005"/>
  </r>
  <r>
    <d v="2020-09-22T00:00:00"/>
    <x v="196"/>
    <x v="8"/>
    <n v="1144"/>
    <x v="1"/>
    <x v="8"/>
    <x v="0"/>
    <n v="0"/>
    <x v="2"/>
    <n v="1144"/>
  </r>
  <r>
    <d v="2020-09-23T00:00:00"/>
    <x v="197"/>
    <x v="7"/>
    <n v="67.11"/>
    <x v="0"/>
    <x v="8"/>
    <x v="0"/>
    <n v="150"/>
    <x v="1"/>
    <n v="-67.11"/>
  </r>
  <r>
    <d v="2020-09-23T00:00:00"/>
    <x v="198"/>
    <x v="1"/>
    <n v="980.22"/>
    <x v="0"/>
    <x v="8"/>
    <x v="0"/>
    <n v="150"/>
    <x v="0"/>
    <n v="-980.22"/>
  </r>
  <r>
    <d v="2020-09-25T00:00:00"/>
    <x v="199"/>
    <x v="9"/>
    <n v="687.27"/>
    <x v="0"/>
    <x v="8"/>
    <x v="0"/>
    <n v="200"/>
    <x v="0"/>
    <n v="-687.27"/>
  </r>
  <r>
    <d v="2020-09-27T00:00:00"/>
    <x v="200"/>
    <x v="9"/>
    <n v="1116.02"/>
    <x v="0"/>
    <x v="8"/>
    <x v="0"/>
    <n v="200"/>
    <x v="0"/>
    <n v="-1116.02"/>
  </r>
  <r>
    <d v="2020-09-27T00:00:00"/>
    <x v="201"/>
    <x v="6"/>
    <n v="180.37"/>
    <x v="0"/>
    <x v="8"/>
    <x v="0"/>
    <n v="200"/>
    <x v="1"/>
    <n v="-180.37"/>
  </r>
  <r>
    <d v="2020-09-27T00:00:00"/>
    <x v="202"/>
    <x v="8"/>
    <n v="1114.8"/>
    <x v="1"/>
    <x v="8"/>
    <x v="0"/>
    <n v="0"/>
    <x v="2"/>
    <n v="1114.8"/>
  </r>
  <r>
    <d v="2020-09-29T00:00:00"/>
    <x v="203"/>
    <x v="8"/>
    <n v="1295.3499999999999"/>
    <x v="1"/>
    <x v="8"/>
    <x v="0"/>
    <n v="0"/>
    <x v="2"/>
    <n v="1295.3499999999999"/>
  </r>
  <r>
    <d v="2020-09-30T00:00:00"/>
    <x v="204"/>
    <x v="0"/>
    <n v="195.18"/>
    <x v="0"/>
    <x v="8"/>
    <x v="0"/>
    <n v="500"/>
    <x v="1"/>
    <n v="-195.18"/>
  </r>
  <r>
    <d v="2020-10-01T00:00:00"/>
    <x v="205"/>
    <x v="6"/>
    <n v="619.35"/>
    <x v="0"/>
    <x v="9"/>
    <x v="0"/>
    <n v="200"/>
    <x v="0"/>
    <n v="-619.35"/>
  </r>
  <r>
    <d v="2020-10-03T00:00:00"/>
    <x v="206"/>
    <x v="8"/>
    <n v="1111.4100000000001"/>
    <x v="1"/>
    <x v="9"/>
    <x v="0"/>
    <n v="0"/>
    <x v="2"/>
    <n v="1111.4100000000001"/>
  </r>
  <r>
    <d v="2020-10-04T00:00:00"/>
    <x v="207"/>
    <x v="7"/>
    <n v="710.1"/>
    <x v="0"/>
    <x v="9"/>
    <x v="0"/>
    <n v="150"/>
    <x v="0"/>
    <n v="-710.1"/>
  </r>
  <r>
    <d v="2020-10-07T00:00:00"/>
    <x v="208"/>
    <x v="9"/>
    <n v="510.29"/>
    <x v="0"/>
    <x v="9"/>
    <x v="0"/>
    <n v="200"/>
    <x v="0"/>
    <n v="-510.29"/>
  </r>
  <r>
    <d v="2020-10-07T00:00:00"/>
    <x v="209"/>
    <x v="3"/>
    <n v="3084"/>
    <x v="1"/>
    <x v="9"/>
    <x v="0"/>
    <n v="0"/>
    <x v="2"/>
    <n v="3084"/>
  </r>
  <r>
    <d v="2020-10-07T00:00:00"/>
    <x v="210"/>
    <x v="3"/>
    <n v="2069"/>
    <x v="1"/>
    <x v="9"/>
    <x v="0"/>
    <n v="0"/>
    <x v="2"/>
    <n v="2069"/>
  </r>
  <r>
    <d v="2020-10-08T00:00:00"/>
    <x v="211"/>
    <x v="8"/>
    <n v="560.23"/>
    <x v="1"/>
    <x v="9"/>
    <x v="0"/>
    <n v="0"/>
    <x v="2"/>
    <n v="560.23"/>
  </r>
  <r>
    <d v="2020-10-08T00:00:00"/>
    <x v="212"/>
    <x v="9"/>
    <n v="1961.22"/>
    <x v="0"/>
    <x v="9"/>
    <x v="0"/>
    <n v="200"/>
    <x v="0"/>
    <n v="-1961.22"/>
  </r>
  <r>
    <d v="2020-10-10T00:00:00"/>
    <x v="213"/>
    <x v="9"/>
    <n v="462.69"/>
    <x v="0"/>
    <x v="9"/>
    <x v="0"/>
    <n v="200"/>
    <x v="0"/>
    <n v="-462.69"/>
  </r>
  <r>
    <d v="2020-10-10T00:00:00"/>
    <x v="214"/>
    <x v="3"/>
    <n v="4875"/>
    <x v="1"/>
    <x v="9"/>
    <x v="0"/>
    <n v="0"/>
    <x v="2"/>
    <n v="4875"/>
  </r>
  <r>
    <d v="2020-10-10T00:00:00"/>
    <x v="215"/>
    <x v="3"/>
    <n v="946"/>
    <x v="1"/>
    <x v="9"/>
    <x v="0"/>
    <n v="0"/>
    <x v="2"/>
    <n v="946"/>
  </r>
  <r>
    <d v="2020-10-12T00:00:00"/>
    <x v="216"/>
    <x v="1"/>
    <n v="1279.3599999999999"/>
    <x v="0"/>
    <x v="9"/>
    <x v="0"/>
    <n v="150"/>
    <x v="0"/>
    <n v="-1279.3599999999999"/>
  </r>
  <r>
    <d v="2020-10-14T00:00:00"/>
    <x v="217"/>
    <x v="2"/>
    <n v="1746.71"/>
    <x v="0"/>
    <x v="9"/>
    <x v="0"/>
    <n v="1500"/>
    <x v="0"/>
    <n v="-1746.71"/>
  </r>
  <r>
    <d v="2020-10-15T00:00:00"/>
    <x v="218"/>
    <x v="8"/>
    <n v="962.64"/>
    <x v="1"/>
    <x v="9"/>
    <x v="0"/>
    <n v="0"/>
    <x v="2"/>
    <n v="962.64"/>
  </r>
  <r>
    <d v="2020-10-16T00:00:00"/>
    <x v="219"/>
    <x v="0"/>
    <n v="512.42999999999995"/>
    <x v="0"/>
    <x v="9"/>
    <x v="0"/>
    <n v="500"/>
    <x v="0"/>
    <n v="-512.42999999999995"/>
  </r>
  <r>
    <d v="2020-10-16T00:00:00"/>
    <x v="220"/>
    <x v="2"/>
    <n v="1646.01"/>
    <x v="0"/>
    <x v="9"/>
    <x v="0"/>
    <n v="1500"/>
    <x v="0"/>
    <n v="-1646.01"/>
  </r>
  <r>
    <d v="2020-10-16T00:00:00"/>
    <x v="221"/>
    <x v="2"/>
    <n v="1158.27"/>
    <x v="0"/>
    <x v="9"/>
    <x v="0"/>
    <n v="1500"/>
    <x v="1"/>
    <n v="-1158.27"/>
  </r>
  <r>
    <d v="2020-10-18T00:00:00"/>
    <x v="222"/>
    <x v="1"/>
    <n v="306.89999999999998"/>
    <x v="0"/>
    <x v="9"/>
    <x v="0"/>
    <n v="150"/>
    <x v="0"/>
    <n v="-306.89999999999998"/>
  </r>
  <r>
    <d v="2020-10-19T00:00:00"/>
    <x v="223"/>
    <x v="9"/>
    <n v="179.51"/>
    <x v="0"/>
    <x v="9"/>
    <x v="0"/>
    <n v="200"/>
    <x v="1"/>
    <n v="-179.51"/>
  </r>
  <r>
    <d v="2020-10-23T00:00:00"/>
    <x v="224"/>
    <x v="4"/>
    <n v="1216.57"/>
    <x v="0"/>
    <x v="9"/>
    <x v="0"/>
    <n v="300"/>
    <x v="0"/>
    <n v="-1216.57"/>
  </r>
  <r>
    <d v="2020-10-24T00:00:00"/>
    <x v="225"/>
    <x v="6"/>
    <n v="1553.63"/>
    <x v="0"/>
    <x v="9"/>
    <x v="0"/>
    <n v="200"/>
    <x v="0"/>
    <n v="-1553.63"/>
  </r>
  <r>
    <d v="2020-10-26T00:00:00"/>
    <x v="226"/>
    <x v="8"/>
    <n v="601.73"/>
    <x v="1"/>
    <x v="9"/>
    <x v="0"/>
    <n v="0"/>
    <x v="2"/>
    <n v="601.73"/>
  </r>
  <r>
    <d v="2020-10-27T00:00:00"/>
    <x v="227"/>
    <x v="4"/>
    <n v="617.71"/>
    <x v="0"/>
    <x v="9"/>
    <x v="0"/>
    <n v="300"/>
    <x v="0"/>
    <n v="-617.71"/>
  </r>
  <r>
    <d v="2020-10-27T00:00:00"/>
    <x v="228"/>
    <x v="2"/>
    <n v="1895.7"/>
    <x v="0"/>
    <x v="9"/>
    <x v="0"/>
    <n v="1500"/>
    <x v="0"/>
    <n v="-1895.7"/>
  </r>
  <r>
    <d v="2020-10-27T00:00:00"/>
    <x v="229"/>
    <x v="6"/>
    <n v="536.65"/>
    <x v="0"/>
    <x v="9"/>
    <x v="0"/>
    <n v="200"/>
    <x v="0"/>
    <n v="-536.65"/>
  </r>
  <r>
    <d v="2020-10-28T00:00:00"/>
    <x v="230"/>
    <x v="3"/>
    <n v="1923"/>
    <x v="1"/>
    <x v="9"/>
    <x v="0"/>
    <n v="0"/>
    <x v="2"/>
    <n v="1923"/>
  </r>
  <r>
    <d v="2020-10-29T00:00:00"/>
    <x v="231"/>
    <x v="1"/>
    <n v="15.32"/>
    <x v="0"/>
    <x v="9"/>
    <x v="0"/>
    <n v="150"/>
    <x v="1"/>
    <n v="-15.32"/>
  </r>
  <r>
    <d v="2020-10-30T00:00:00"/>
    <x v="232"/>
    <x v="8"/>
    <n v="589.61"/>
    <x v="1"/>
    <x v="9"/>
    <x v="0"/>
    <n v="0"/>
    <x v="2"/>
    <n v="589.61"/>
  </r>
  <r>
    <d v="2020-10-31T00:00:00"/>
    <x v="233"/>
    <x v="9"/>
    <n v="1408.95"/>
    <x v="0"/>
    <x v="9"/>
    <x v="0"/>
    <n v="200"/>
    <x v="0"/>
    <n v="-1408.95"/>
  </r>
  <r>
    <d v="2020-11-01T00:00:00"/>
    <x v="234"/>
    <x v="6"/>
    <n v="1848.58"/>
    <x v="0"/>
    <x v="10"/>
    <x v="0"/>
    <n v="200"/>
    <x v="0"/>
    <n v="-1848.58"/>
  </r>
  <r>
    <d v="2020-11-01T00:00:00"/>
    <x v="235"/>
    <x v="6"/>
    <n v="856.03"/>
    <x v="0"/>
    <x v="10"/>
    <x v="0"/>
    <n v="200"/>
    <x v="0"/>
    <n v="-856.03"/>
  </r>
  <r>
    <d v="2020-11-02T00:00:00"/>
    <x v="236"/>
    <x v="1"/>
    <n v="1817.74"/>
    <x v="0"/>
    <x v="10"/>
    <x v="0"/>
    <n v="150"/>
    <x v="0"/>
    <n v="-1817.74"/>
  </r>
  <r>
    <d v="2020-11-04T00:00:00"/>
    <x v="237"/>
    <x v="2"/>
    <n v="128.68"/>
    <x v="0"/>
    <x v="10"/>
    <x v="0"/>
    <n v="1500"/>
    <x v="1"/>
    <n v="-128.68"/>
  </r>
  <r>
    <d v="2020-11-06T00:00:00"/>
    <x v="238"/>
    <x v="9"/>
    <n v="883.92"/>
    <x v="0"/>
    <x v="10"/>
    <x v="0"/>
    <n v="200"/>
    <x v="0"/>
    <n v="-883.92"/>
  </r>
  <r>
    <d v="2020-11-07T00:00:00"/>
    <x v="239"/>
    <x v="9"/>
    <n v="1402.47"/>
    <x v="0"/>
    <x v="10"/>
    <x v="0"/>
    <n v="200"/>
    <x v="0"/>
    <n v="-1402.47"/>
  </r>
  <r>
    <d v="2020-11-09T00:00:00"/>
    <x v="240"/>
    <x v="8"/>
    <n v="881.14"/>
    <x v="1"/>
    <x v="10"/>
    <x v="0"/>
    <n v="0"/>
    <x v="2"/>
    <n v="881.14"/>
  </r>
  <r>
    <d v="2020-11-10T00:00:00"/>
    <x v="241"/>
    <x v="4"/>
    <n v="1471.72"/>
    <x v="0"/>
    <x v="10"/>
    <x v="0"/>
    <n v="300"/>
    <x v="0"/>
    <n v="-1471.72"/>
  </r>
  <r>
    <d v="2020-11-10T00:00:00"/>
    <x v="242"/>
    <x v="0"/>
    <n v="191.74"/>
    <x v="0"/>
    <x v="10"/>
    <x v="0"/>
    <n v="500"/>
    <x v="1"/>
    <n v="-191.74"/>
  </r>
  <r>
    <d v="2020-11-12T00:00:00"/>
    <x v="243"/>
    <x v="0"/>
    <n v="1999.15"/>
    <x v="0"/>
    <x v="10"/>
    <x v="0"/>
    <n v="500"/>
    <x v="0"/>
    <n v="-1999.15"/>
  </r>
  <r>
    <d v="2020-11-12T00:00:00"/>
    <x v="244"/>
    <x v="9"/>
    <n v="1156.73"/>
    <x v="0"/>
    <x v="10"/>
    <x v="0"/>
    <n v="200"/>
    <x v="0"/>
    <n v="-1156.73"/>
  </r>
  <r>
    <d v="2020-11-14T00:00:00"/>
    <x v="245"/>
    <x v="1"/>
    <n v="946.3"/>
    <x v="0"/>
    <x v="10"/>
    <x v="0"/>
    <n v="150"/>
    <x v="0"/>
    <n v="-946.3"/>
  </r>
  <r>
    <d v="2020-11-14T00:00:00"/>
    <x v="246"/>
    <x v="9"/>
    <n v="371.16"/>
    <x v="0"/>
    <x v="10"/>
    <x v="0"/>
    <n v="200"/>
    <x v="0"/>
    <n v="-371.16"/>
  </r>
  <r>
    <d v="2020-11-14T00:00:00"/>
    <x v="247"/>
    <x v="8"/>
    <n v="1938.42"/>
    <x v="1"/>
    <x v="10"/>
    <x v="0"/>
    <n v="0"/>
    <x v="2"/>
    <n v="1938.42"/>
  </r>
  <r>
    <d v="2020-11-14T00:00:00"/>
    <x v="248"/>
    <x v="4"/>
    <n v="673.28"/>
    <x v="0"/>
    <x v="10"/>
    <x v="0"/>
    <n v="300"/>
    <x v="0"/>
    <n v="-673.28"/>
  </r>
  <r>
    <d v="2020-11-15T00:00:00"/>
    <x v="249"/>
    <x v="1"/>
    <n v="666.31"/>
    <x v="0"/>
    <x v="10"/>
    <x v="0"/>
    <n v="150"/>
    <x v="0"/>
    <n v="-666.31"/>
  </r>
  <r>
    <d v="2020-11-15T00:00:00"/>
    <x v="250"/>
    <x v="9"/>
    <n v="1328.54"/>
    <x v="0"/>
    <x v="10"/>
    <x v="0"/>
    <n v="200"/>
    <x v="0"/>
    <n v="-1328.54"/>
  </r>
  <r>
    <d v="2020-11-16T00:00:00"/>
    <x v="251"/>
    <x v="0"/>
    <n v="915.1"/>
    <x v="0"/>
    <x v="10"/>
    <x v="0"/>
    <n v="500"/>
    <x v="0"/>
    <n v="-915.1"/>
  </r>
  <r>
    <d v="2020-11-16T00:00:00"/>
    <x v="252"/>
    <x v="7"/>
    <n v="240.68"/>
    <x v="0"/>
    <x v="10"/>
    <x v="0"/>
    <n v="150"/>
    <x v="0"/>
    <n v="-240.68"/>
  </r>
  <r>
    <d v="2020-11-17T00:00:00"/>
    <x v="253"/>
    <x v="0"/>
    <n v="1318.74"/>
    <x v="0"/>
    <x v="10"/>
    <x v="0"/>
    <n v="500"/>
    <x v="0"/>
    <n v="-1318.74"/>
  </r>
  <r>
    <d v="2020-11-20T00:00:00"/>
    <x v="254"/>
    <x v="4"/>
    <n v="117.87"/>
    <x v="0"/>
    <x v="10"/>
    <x v="0"/>
    <n v="300"/>
    <x v="1"/>
    <n v="-117.87"/>
  </r>
  <r>
    <d v="2020-11-22T00:00:00"/>
    <x v="255"/>
    <x v="8"/>
    <n v="1254.56"/>
    <x v="1"/>
    <x v="10"/>
    <x v="0"/>
    <n v="0"/>
    <x v="2"/>
    <n v="1254.56"/>
  </r>
  <r>
    <d v="2020-11-23T00:00:00"/>
    <x v="256"/>
    <x v="6"/>
    <n v="541.44000000000005"/>
    <x v="0"/>
    <x v="10"/>
    <x v="0"/>
    <n v="200"/>
    <x v="0"/>
    <n v="-541.44000000000005"/>
  </r>
  <r>
    <d v="2020-11-25T00:00:00"/>
    <x v="257"/>
    <x v="5"/>
    <n v="4089"/>
    <x v="1"/>
    <x v="10"/>
    <x v="0"/>
    <n v="0"/>
    <x v="2"/>
    <n v="4089"/>
  </r>
  <r>
    <d v="2020-11-25T00:00:00"/>
    <x v="258"/>
    <x v="8"/>
    <n v="251.64"/>
    <x v="1"/>
    <x v="10"/>
    <x v="0"/>
    <n v="0"/>
    <x v="2"/>
    <n v="251.64"/>
  </r>
  <r>
    <d v="2020-11-26T00:00:00"/>
    <x v="259"/>
    <x v="6"/>
    <n v="1422.47"/>
    <x v="0"/>
    <x v="10"/>
    <x v="0"/>
    <n v="200"/>
    <x v="0"/>
    <n v="-1422.47"/>
  </r>
  <r>
    <d v="2020-11-27T00:00:00"/>
    <x v="260"/>
    <x v="0"/>
    <n v="1108.98"/>
    <x v="0"/>
    <x v="10"/>
    <x v="0"/>
    <n v="500"/>
    <x v="0"/>
    <n v="-1108.98"/>
  </r>
  <r>
    <d v="2020-11-27T00:00:00"/>
    <x v="261"/>
    <x v="3"/>
    <n v="4280"/>
    <x v="1"/>
    <x v="10"/>
    <x v="0"/>
    <n v="0"/>
    <x v="2"/>
    <n v="4280"/>
  </r>
  <r>
    <d v="2020-11-29T00:00:00"/>
    <x v="262"/>
    <x v="1"/>
    <n v="1001.77"/>
    <x v="0"/>
    <x v="10"/>
    <x v="0"/>
    <n v="150"/>
    <x v="0"/>
    <n v="-1001.77"/>
  </r>
  <r>
    <d v="2020-12-01T00:00:00"/>
    <x v="263"/>
    <x v="9"/>
    <n v="836.83"/>
    <x v="0"/>
    <x v="11"/>
    <x v="0"/>
    <n v="200"/>
    <x v="0"/>
    <n v="-836.83"/>
  </r>
  <r>
    <d v="2020-12-05T00:00:00"/>
    <x v="264"/>
    <x v="8"/>
    <n v="495.02"/>
    <x v="1"/>
    <x v="11"/>
    <x v="0"/>
    <n v="0"/>
    <x v="2"/>
    <n v="495.02"/>
  </r>
  <r>
    <d v="2020-12-05T00:00:00"/>
    <x v="265"/>
    <x v="4"/>
    <n v="389.31"/>
    <x v="0"/>
    <x v="11"/>
    <x v="0"/>
    <n v="300"/>
    <x v="0"/>
    <n v="-389.31"/>
  </r>
  <r>
    <d v="2020-12-06T00:00:00"/>
    <x v="266"/>
    <x v="1"/>
    <n v="1729.41"/>
    <x v="0"/>
    <x v="11"/>
    <x v="0"/>
    <n v="150"/>
    <x v="0"/>
    <n v="-1729.41"/>
  </r>
  <r>
    <d v="2020-12-10T00:00:00"/>
    <x v="267"/>
    <x v="4"/>
    <n v="686.35"/>
    <x v="0"/>
    <x v="11"/>
    <x v="0"/>
    <n v="300"/>
    <x v="0"/>
    <n v="-686.35"/>
  </r>
  <r>
    <d v="2020-12-10T00:00:00"/>
    <x v="268"/>
    <x v="9"/>
    <n v="1642.89"/>
    <x v="0"/>
    <x v="11"/>
    <x v="0"/>
    <n v="200"/>
    <x v="0"/>
    <n v="-1642.89"/>
  </r>
  <r>
    <d v="2020-12-11T00:00:00"/>
    <x v="269"/>
    <x v="9"/>
    <n v="1676.58"/>
    <x v="0"/>
    <x v="11"/>
    <x v="0"/>
    <n v="200"/>
    <x v="0"/>
    <n v="-1676.58"/>
  </r>
  <r>
    <d v="2020-12-12T00:00:00"/>
    <x v="270"/>
    <x v="8"/>
    <n v="1731.87"/>
    <x v="1"/>
    <x v="11"/>
    <x v="0"/>
    <n v="0"/>
    <x v="2"/>
    <n v="1731.87"/>
  </r>
  <r>
    <d v="2020-12-13T00:00:00"/>
    <x v="271"/>
    <x v="8"/>
    <n v="696.8"/>
    <x v="1"/>
    <x v="11"/>
    <x v="0"/>
    <n v="0"/>
    <x v="2"/>
    <n v="696.8"/>
  </r>
  <r>
    <d v="2020-12-14T00:00:00"/>
    <x v="272"/>
    <x v="4"/>
    <n v="916.14"/>
    <x v="0"/>
    <x v="11"/>
    <x v="0"/>
    <n v="300"/>
    <x v="0"/>
    <n v="-916.14"/>
  </r>
  <r>
    <d v="2020-12-14T00:00:00"/>
    <x v="273"/>
    <x v="6"/>
    <n v="1961.74"/>
    <x v="0"/>
    <x v="11"/>
    <x v="0"/>
    <n v="200"/>
    <x v="0"/>
    <n v="-1961.74"/>
  </r>
  <r>
    <d v="2020-12-16T00:00:00"/>
    <x v="274"/>
    <x v="4"/>
    <n v="474.79"/>
    <x v="0"/>
    <x v="11"/>
    <x v="0"/>
    <n v="300"/>
    <x v="0"/>
    <n v="-474.79"/>
  </r>
  <r>
    <d v="2020-12-16T00:00:00"/>
    <x v="275"/>
    <x v="0"/>
    <n v="643.16999999999996"/>
    <x v="0"/>
    <x v="11"/>
    <x v="0"/>
    <n v="500"/>
    <x v="0"/>
    <n v="-643.16999999999996"/>
  </r>
  <r>
    <d v="2020-12-16T00:00:00"/>
    <x v="276"/>
    <x v="4"/>
    <n v="778.3"/>
    <x v="0"/>
    <x v="11"/>
    <x v="0"/>
    <n v="300"/>
    <x v="0"/>
    <n v="-778.3"/>
  </r>
  <r>
    <d v="2020-12-18T00:00:00"/>
    <x v="277"/>
    <x v="1"/>
    <n v="995.7"/>
    <x v="0"/>
    <x v="11"/>
    <x v="0"/>
    <n v="150"/>
    <x v="0"/>
    <n v="-995.7"/>
  </r>
  <r>
    <d v="2020-12-18T00:00:00"/>
    <x v="278"/>
    <x v="5"/>
    <n v="1322"/>
    <x v="1"/>
    <x v="11"/>
    <x v="0"/>
    <n v="0"/>
    <x v="2"/>
    <n v="1322"/>
  </r>
  <r>
    <d v="2020-12-20T00:00:00"/>
    <x v="279"/>
    <x v="8"/>
    <n v="208.43"/>
    <x v="1"/>
    <x v="11"/>
    <x v="0"/>
    <n v="0"/>
    <x v="2"/>
    <n v="208.43"/>
  </r>
  <r>
    <d v="2020-12-20T00:00:00"/>
    <x v="280"/>
    <x v="0"/>
    <n v="1447.66"/>
    <x v="0"/>
    <x v="11"/>
    <x v="0"/>
    <n v="500"/>
    <x v="0"/>
    <n v="-1447.66"/>
  </r>
  <r>
    <d v="2020-12-22T00:00:00"/>
    <x v="281"/>
    <x v="1"/>
    <n v="158.91"/>
    <x v="0"/>
    <x v="11"/>
    <x v="0"/>
    <n v="150"/>
    <x v="0"/>
    <n v="-158.91"/>
  </r>
  <r>
    <d v="2020-12-23T00:00:00"/>
    <x v="282"/>
    <x v="9"/>
    <n v="683.74"/>
    <x v="0"/>
    <x v="11"/>
    <x v="0"/>
    <n v="200"/>
    <x v="0"/>
    <n v="-683.74"/>
  </r>
  <r>
    <d v="2020-12-23T00:00:00"/>
    <x v="283"/>
    <x v="2"/>
    <n v="1705.01"/>
    <x v="0"/>
    <x v="11"/>
    <x v="0"/>
    <n v="1500"/>
    <x v="0"/>
    <n v="-1705.01"/>
  </r>
  <r>
    <d v="2020-12-24T00:00:00"/>
    <x v="284"/>
    <x v="4"/>
    <n v="1908.74"/>
    <x v="0"/>
    <x v="11"/>
    <x v="0"/>
    <n v="300"/>
    <x v="0"/>
    <n v="-1908.74"/>
  </r>
  <r>
    <d v="2020-12-25T00:00:00"/>
    <x v="285"/>
    <x v="8"/>
    <n v="1746.04"/>
    <x v="1"/>
    <x v="11"/>
    <x v="0"/>
    <n v="0"/>
    <x v="2"/>
    <n v="1746.04"/>
  </r>
  <r>
    <d v="2020-12-26T00:00:00"/>
    <x v="286"/>
    <x v="3"/>
    <n v="2423"/>
    <x v="1"/>
    <x v="11"/>
    <x v="0"/>
    <n v="0"/>
    <x v="2"/>
    <n v="2423"/>
  </r>
  <r>
    <d v="2020-12-28T00:00:00"/>
    <x v="287"/>
    <x v="9"/>
    <n v="1994.88"/>
    <x v="0"/>
    <x v="11"/>
    <x v="0"/>
    <n v="200"/>
    <x v="0"/>
    <n v="-1994.88"/>
  </r>
  <r>
    <d v="2020-12-30T00:00:00"/>
    <x v="288"/>
    <x v="4"/>
    <n v="1956.89"/>
    <x v="0"/>
    <x v="11"/>
    <x v="0"/>
    <n v="300"/>
    <x v="0"/>
    <n v="-1956.89"/>
  </r>
  <r>
    <d v="2020-12-31T00:00:00"/>
    <x v="289"/>
    <x v="2"/>
    <n v="892.92"/>
    <x v="0"/>
    <x v="11"/>
    <x v="0"/>
    <n v="1500"/>
    <x v="1"/>
    <n v="-892.92"/>
  </r>
  <r>
    <d v="2021-01-01T00:00:00"/>
    <x v="290"/>
    <x v="0"/>
    <n v="101.52"/>
    <x v="0"/>
    <x v="12"/>
    <x v="1"/>
    <n v="500"/>
    <x v="1"/>
    <n v="-101.52"/>
  </r>
  <r>
    <d v="2021-01-06T00:00:00"/>
    <x v="291"/>
    <x v="9"/>
    <n v="723.34"/>
    <x v="0"/>
    <x v="12"/>
    <x v="1"/>
    <n v="200"/>
    <x v="0"/>
    <n v="-723.34"/>
  </r>
  <r>
    <d v="2021-01-06T00:00:00"/>
    <x v="292"/>
    <x v="6"/>
    <n v="1067.02"/>
    <x v="0"/>
    <x v="12"/>
    <x v="1"/>
    <n v="200"/>
    <x v="0"/>
    <n v="-1067.02"/>
  </r>
  <r>
    <d v="2021-01-08T00:00:00"/>
    <x v="293"/>
    <x v="1"/>
    <n v="348.27"/>
    <x v="0"/>
    <x v="12"/>
    <x v="1"/>
    <n v="150"/>
    <x v="0"/>
    <n v="-348.27"/>
  </r>
  <r>
    <d v="2021-01-10T00:00:00"/>
    <x v="294"/>
    <x v="5"/>
    <n v="2472"/>
    <x v="1"/>
    <x v="12"/>
    <x v="1"/>
    <n v="0"/>
    <x v="2"/>
    <n v="2472"/>
  </r>
  <r>
    <d v="2021-01-10T00:00:00"/>
    <x v="295"/>
    <x v="1"/>
    <n v="472.06"/>
    <x v="0"/>
    <x v="12"/>
    <x v="1"/>
    <n v="150"/>
    <x v="0"/>
    <n v="-472.06"/>
  </r>
  <r>
    <d v="2021-01-11T00:00:00"/>
    <x v="296"/>
    <x v="8"/>
    <n v="518.1"/>
    <x v="1"/>
    <x v="12"/>
    <x v="1"/>
    <n v="0"/>
    <x v="2"/>
    <n v="518.1"/>
  </r>
  <r>
    <d v="2021-01-12T00:00:00"/>
    <x v="297"/>
    <x v="5"/>
    <n v="2856"/>
    <x v="1"/>
    <x v="12"/>
    <x v="1"/>
    <n v="0"/>
    <x v="2"/>
    <n v="2856"/>
  </r>
  <r>
    <d v="2021-01-13T00:00:00"/>
    <x v="298"/>
    <x v="1"/>
    <n v="156.99"/>
    <x v="0"/>
    <x v="12"/>
    <x v="1"/>
    <n v="150"/>
    <x v="0"/>
    <n v="-156.99"/>
  </r>
  <r>
    <d v="2021-01-13T00:00:00"/>
    <x v="299"/>
    <x v="9"/>
    <n v="1281.49"/>
    <x v="0"/>
    <x v="12"/>
    <x v="1"/>
    <n v="200"/>
    <x v="0"/>
    <n v="-1281.49"/>
  </r>
  <r>
    <d v="2021-01-14T00:00:00"/>
    <x v="300"/>
    <x v="9"/>
    <n v="919.1"/>
    <x v="0"/>
    <x v="12"/>
    <x v="1"/>
    <n v="200"/>
    <x v="0"/>
    <n v="-919.1"/>
  </r>
  <r>
    <d v="2021-01-14T00:00:00"/>
    <x v="301"/>
    <x v="4"/>
    <n v="1708.14"/>
    <x v="0"/>
    <x v="12"/>
    <x v="1"/>
    <n v="300"/>
    <x v="0"/>
    <n v="-1708.14"/>
  </r>
  <r>
    <d v="2021-01-15T00:00:00"/>
    <x v="302"/>
    <x v="5"/>
    <n v="3440"/>
    <x v="1"/>
    <x v="12"/>
    <x v="1"/>
    <n v="0"/>
    <x v="2"/>
    <n v="3440"/>
  </r>
  <r>
    <d v="2021-01-15T00:00:00"/>
    <x v="303"/>
    <x v="9"/>
    <n v="53.66"/>
    <x v="0"/>
    <x v="12"/>
    <x v="1"/>
    <n v="200"/>
    <x v="1"/>
    <n v="-53.66"/>
  </r>
  <r>
    <d v="2021-01-17T00:00:00"/>
    <x v="304"/>
    <x v="4"/>
    <n v="556.22"/>
    <x v="0"/>
    <x v="12"/>
    <x v="1"/>
    <n v="300"/>
    <x v="0"/>
    <n v="-556.22"/>
  </r>
  <r>
    <d v="2021-01-17T00:00:00"/>
    <x v="305"/>
    <x v="0"/>
    <n v="1822.13"/>
    <x v="0"/>
    <x v="12"/>
    <x v="1"/>
    <n v="500"/>
    <x v="0"/>
    <n v="-1822.13"/>
  </r>
  <r>
    <d v="2021-01-19T00:00:00"/>
    <x v="306"/>
    <x v="9"/>
    <n v="1553.72"/>
    <x v="0"/>
    <x v="12"/>
    <x v="1"/>
    <n v="200"/>
    <x v="0"/>
    <n v="-1553.72"/>
  </r>
  <r>
    <d v="2021-01-20T00:00:00"/>
    <x v="307"/>
    <x v="7"/>
    <n v="445.82"/>
    <x v="0"/>
    <x v="12"/>
    <x v="1"/>
    <n v="150"/>
    <x v="0"/>
    <n v="-445.82"/>
  </r>
  <r>
    <d v="2021-01-24T00:00:00"/>
    <x v="308"/>
    <x v="5"/>
    <n v="1620"/>
    <x v="1"/>
    <x v="12"/>
    <x v="1"/>
    <n v="0"/>
    <x v="2"/>
    <n v="1620"/>
  </r>
  <r>
    <d v="2021-01-26T00:00:00"/>
    <x v="309"/>
    <x v="0"/>
    <n v="624.78"/>
    <x v="0"/>
    <x v="12"/>
    <x v="1"/>
    <n v="500"/>
    <x v="0"/>
    <n v="-624.78"/>
  </r>
  <r>
    <d v="2021-01-27T00:00:00"/>
    <x v="310"/>
    <x v="7"/>
    <n v="1467.4"/>
    <x v="0"/>
    <x v="12"/>
    <x v="1"/>
    <n v="150"/>
    <x v="0"/>
    <n v="-1467.4"/>
  </r>
  <r>
    <d v="2021-01-27T00:00:00"/>
    <x v="311"/>
    <x v="5"/>
    <n v="3176"/>
    <x v="1"/>
    <x v="12"/>
    <x v="1"/>
    <n v="0"/>
    <x v="2"/>
    <n v="3176"/>
  </r>
  <r>
    <d v="2021-01-27T00:00:00"/>
    <x v="312"/>
    <x v="1"/>
    <n v="409.58"/>
    <x v="0"/>
    <x v="12"/>
    <x v="1"/>
    <n v="150"/>
    <x v="0"/>
    <n v="-409.58"/>
  </r>
  <r>
    <d v="2021-01-27T00:00:00"/>
    <x v="313"/>
    <x v="7"/>
    <n v="1066.4000000000001"/>
    <x v="0"/>
    <x v="12"/>
    <x v="1"/>
    <n v="150"/>
    <x v="0"/>
    <n v="-1066.4000000000001"/>
  </r>
  <r>
    <d v="2021-01-29T00:00:00"/>
    <x v="314"/>
    <x v="1"/>
    <n v="521.37"/>
    <x v="0"/>
    <x v="12"/>
    <x v="1"/>
    <n v="150"/>
    <x v="0"/>
    <n v="-521.37"/>
  </r>
  <r>
    <d v="2021-02-02T00:00:00"/>
    <x v="315"/>
    <x v="8"/>
    <n v="1935.09"/>
    <x v="1"/>
    <x v="13"/>
    <x v="1"/>
    <n v="0"/>
    <x v="2"/>
    <n v="1935.09"/>
  </r>
  <r>
    <d v="2021-02-05T00:00:00"/>
    <x v="316"/>
    <x v="7"/>
    <n v="1610.42"/>
    <x v="0"/>
    <x v="13"/>
    <x v="1"/>
    <n v="150"/>
    <x v="0"/>
    <n v="-1610.42"/>
  </r>
  <r>
    <d v="2021-02-05T00:00:00"/>
    <x v="317"/>
    <x v="2"/>
    <n v="290.11"/>
    <x v="0"/>
    <x v="13"/>
    <x v="1"/>
    <n v="1500"/>
    <x v="1"/>
    <n v="-290.11"/>
  </r>
  <r>
    <d v="2021-02-08T00:00:00"/>
    <x v="318"/>
    <x v="4"/>
    <n v="1934.87"/>
    <x v="0"/>
    <x v="13"/>
    <x v="1"/>
    <n v="300"/>
    <x v="0"/>
    <n v="-1934.87"/>
  </r>
  <r>
    <d v="2021-02-08T00:00:00"/>
    <x v="319"/>
    <x v="7"/>
    <n v="189.7"/>
    <x v="0"/>
    <x v="13"/>
    <x v="1"/>
    <n v="150"/>
    <x v="0"/>
    <n v="-189.7"/>
  </r>
  <r>
    <d v="2021-02-09T00:00:00"/>
    <x v="320"/>
    <x v="9"/>
    <n v="1077.78"/>
    <x v="0"/>
    <x v="13"/>
    <x v="1"/>
    <n v="200"/>
    <x v="0"/>
    <n v="-1077.78"/>
  </r>
  <r>
    <d v="2021-02-09T00:00:00"/>
    <x v="321"/>
    <x v="9"/>
    <n v="1173.27"/>
    <x v="0"/>
    <x v="13"/>
    <x v="1"/>
    <n v="200"/>
    <x v="0"/>
    <n v="-1173.27"/>
  </r>
  <r>
    <d v="2021-02-11T00:00:00"/>
    <x v="322"/>
    <x v="7"/>
    <n v="225.61"/>
    <x v="0"/>
    <x v="13"/>
    <x v="1"/>
    <n v="150"/>
    <x v="0"/>
    <n v="-225.61"/>
  </r>
  <r>
    <d v="2021-02-11T00:00:00"/>
    <x v="323"/>
    <x v="0"/>
    <n v="1242.9000000000001"/>
    <x v="0"/>
    <x v="13"/>
    <x v="1"/>
    <n v="500"/>
    <x v="0"/>
    <n v="-1242.9000000000001"/>
  </r>
  <r>
    <d v="2021-02-13T00:00:00"/>
    <x v="324"/>
    <x v="7"/>
    <n v="1831.36"/>
    <x v="0"/>
    <x v="13"/>
    <x v="1"/>
    <n v="150"/>
    <x v="0"/>
    <n v="-1831.36"/>
  </r>
  <r>
    <d v="2021-02-16T00:00:00"/>
    <x v="325"/>
    <x v="2"/>
    <n v="1274.45"/>
    <x v="0"/>
    <x v="13"/>
    <x v="1"/>
    <n v="1500"/>
    <x v="1"/>
    <n v="-1274.45"/>
  </r>
  <r>
    <d v="2021-02-18T00:00:00"/>
    <x v="326"/>
    <x v="9"/>
    <n v="1301.99"/>
    <x v="0"/>
    <x v="13"/>
    <x v="1"/>
    <n v="200"/>
    <x v="0"/>
    <n v="-1301.99"/>
  </r>
  <r>
    <d v="2021-02-19T00:00:00"/>
    <x v="327"/>
    <x v="3"/>
    <n v="804"/>
    <x v="1"/>
    <x v="13"/>
    <x v="1"/>
    <n v="0"/>
    <x v="2"/>
    <n v="804"/>
  </r>
  <r>
    <d v="2021-02-20T00:00:00"/>
    <x v="328"/>
    <x v="8"/>
    <n v="241.08"/>
    <x v="1"/>
    <x v="13"/>
    <x v="1"/>
    <n v="0"/>
    <x v="2"/>
    <n v="241.08"/>
  </r>
  <r>
    <d v="2021-02-21T00:00:00"/>
    <x v="329"/>
    <x v="1"/>
    <n v="783.41"/>
    <x v="0"/>
    <x v="13"/>
    <x v="1"/>
    <n v="150"/>
    <x v="0"/>
    <n v="-783.41"/>
  </r>
  <r>
    <d v="2021-02-23T00:00:00"/>
    <x v="330"/>
    <x v="4"/>
    <n v="1178.81"/>
    <x v="0"/>
    <x v="13"/>
    <x v="1"/>
    <n v="300"/>
    <x v="0"/>
    <n v="-1178.81"/>
  </r>
  <r>
    <d v="2021-02-24T00:00:00"/>
    <x v="331"/>
    <x v="4"/>
    <n v="1313.29"/>
    <x v="0"/>
    <x v="13"/>
    <x v="1"/>
    <n v="300"/>
    <x v="0"/>
    <n v="-1313.29"/>
  </r>
  <r>
    <d v="2021-02-27T00:00:00"/>
    <x v="332"/>
    <x v="4"/>
    <n v="1878.72"/>
    <x v="0"/>
    <x v="13"/>
    <x v="1"/>
    <n v="300"/>
    <x v="0"/>
    <n v="-1878.72"/>
  </r>
  <r>
    <d v="2021-02-28T00:00:00"/>
    <x v="333"/>
    <x v="7"/>
    <n v="442.37"/>
    <x v="0"/>
    <x v="13"/>
    <x v="1"/>
    <n v="150"/>
    <x v="0"/>
    <n v="-442.37"/>
  </r>
  <r>
    <d v="2021-03-02T00:00:00"/>
    <x v="334"/>
    <x v="6"/>
    <n v="1712.35"/>
    <x v="0"/>
    <x v="14"/>
    <x v="1"/>
    <n v="200"/>
    <x v="0"/>
    <n v="-1712.35"/>
  </r>
  <r>
    <d v="2021-03-02T00:00:00"/>
    <x v="335"/>
    <x v="5"/>
    <n v="4960"/>
    <x v="1"/>
    <x v="14"/>
    <x v="1"/>
    <n v="0"/>
    <x v="2"/>
    <n v="4960"/>
  </r>
  <r>
    <d v="2021-03-02T00:00:00"/>
    <x v="336"/>
    <x v="7"/>
    <n v="130.49"/>
    <x v="0"/>
    <x v="14"/>
    <x v="1"/>
    <n v="150"/>
    <x v="1"/>
    <n v="-130.49"/>
  </r>
  <r>
    <d v="2021-03-04T00:00:00"/>
    <x v="337"/>
    <x v="2"/>
    <n v="1898.53"/>
    <x v="0"/>
    <x v="14"/>
    <x v="1"/>
    <n v="1500"/>
    <x v="0"/>
    <n v="-1898.53"/>
  </r>
  <r>
    <d v="2021-03-05T00:00:00"/>
    <x v="338"/>
    <x v="2"/>
    <n v="1328.91"/>
    <x v="0"/>
    <x v="14"/>
    <x v="1"/>
    <n v="1500"/>
    <x v="1"/>
    <n v="-1328.91"/>
  </r>
  <r>
    <d v="2021-03-05T00:00:00"/>
    <x v="339"/>
    <x v="0"/>
    <n v="110.65"/>
    <x v="0"/>
    <x v="14"/>
    <x v="1"/>
    <n v="500"/>
    <x v="1"/>
    <n v="-110.65"/>
  </r>
  <r>
    <d v="2021-03-07T00:00:00"/>
    <x v="340"/>
    <x v="1"/>
    <n v="1576.09"/>
    <x v="0"/>
    <x v="14"/>
    <x v="1"/>
    <n v="150"/>
    <x v="0"/>
    <n v="-1576.09"/>
  </r>
  <r>
    <d v="2021-03-07T00:00:00"/>
    <x v="341"/>
    <x v="6"/>
    <n v="1176.9000000000001"/>
    <x v="0"/>
    <x v="14"/>
    <x v="1"/>
    <n v="200"/>
    <x v="0"/>
    <n v="-1176.9000000000001"/>
  </r>
  <r>
    <d v="2021-03-08T00:00:00"/>
    <x v="342"/>
    <x v="6"/>
    <n v="663.83"/>
    <x v="0"/>
    <x v="14"/>
    <x v="1"/>
    <n v="200"/>
    <x v="0"/>
    <n v="-663.83"/>
  </r>
  <r>
    <d v="2021-03-09T00:00:00"/>
    <x v="343"/>
    <x v="3"/>
    <n v="2771"/>
    <x v="1"/>
    <x v="14"/>
    <x v="1"/>
    <n v="0"/>
    <x v="2"/>
    <n v="2771"/>
  </r>
  <r>
    <d v="2021-03-09T00:00:00"/>
    <x v="344"/>
    <x v="1"/>
    <n v="1975.18"/>
    <x v="0"/>
    <x v="14"/>
    <x v="1"/>
    <n v="150"/>
    <x v="0"/>
    <n v="-1975.18"/>
  </r>
  <r>
    <d v="2021-03-10T00:00:00"/>
    <x v="345"/>
    <x v="1"/>
    <n v="228.75"/>
    <x v="0"/>
    <x v="14"/>
    <x v="1"/>
    <n v="150"/>
    <x v="0"/>
    <n v="-228.75"/>
  </r>
  <r>
    <d v="2021-03-12T00:00:00"/>
    <x v="346"/>
    <x v="1"/>
    <n v="39.57"/>
    <x v="0"/>
    <x v="14"/>
    <x v="1"/>
    <n v="150"/>
    <x v="1"/>
    <n v="-39.57"/>
  </r>
  <r>
    <d v="2021-03-15T00:00:00"/>
    <x v="347"/>
    <x v="6"/>
    <n v="1181.82"/>
    <x v="0"/>
    <x v="14"/>
    <x v="1"/>
    <n v="200"/>
    <x v="0"/>
    <n v="-1181.82"/>
  </r>
  <r>
    <d v="2021-03-15T00:00:00"/>
    <x v="348"/>
    <x v="5"/>
    <n v="929"/>
    <x v="1"/>
    <x v="14"/>
    <x v="1"/>
    <n v="0"/>
    <x v="2"/>
    <n v="929"/>
  </r>
  <r>
    <d v="2021-03-16T00:00:00"/>
    <x v="349"/>
    <x v="5"/>
    <n v="4809"/>
    <x v="1"/>
    <x v="14"/>
    <x v="1"/>
    <n v="0"/>
    <x v="2"/>
    <n v="4809"/>
  </r>
  <r>
    <d v="2021-03-16T00:00:00"/>
    <x v="350"/>
    <x v="3"/>
    <n v="4401"/>
    <x v="1"/>
    <x v="14"/>
    <x v="1"/>
    <n v="0"/>
    <x v="2"/>
    <n v="4401"/>
  </r>
  <r>
    <d v="2021-03-17T00:00:00"/>
    <x v="351"/>
    <x v="7"/>
    <n v="1031.3399999999999"/>
    <x v="0"/>
    <x v="14"/>
    <x v="1"/>
    <n v="150"/>
    <x v="0"/>
    <n v="-1031.3399999999999"/>
  </r>
  <r>
    <d v="2021-03-17T00:00:00"/>
    <x v="352"/>
    <x v="3"/>
    <n v="855"/>
    <x v="1"/>
    <x v="14"/>
    <x v="1"/>
    <n v="0"/>
    <x v="2"/>
    <n v="855"/>
  </r>
  <r>
    <d v="2021-03-18T00:00:00"/>
    <x v="353"/>
    <x v="9"/>
    <n v="921.5"/>
    <x v="0"/>
    <x v="14"/>
    <x v="1"/>
    <n v="200"/>
    <x v="0"/>
    <n v="-921.5"/>
  </r>
  <r>
    <d v="2021-03-19T00:00:00"/>
    <x v="354"/>
    <x v="0"/>
    <n v="1997.19"/>
    <x v="0"/>
    <x v="14"/>
    <x v="1"/>
    <n v="500"/>
    <x v="0"/>
    <n v="-1997.19"/>
  </r>
  <r>
    <d v="2021-03-20T00:00:00"/>
    <x v="355"/>
    <x v="4"/>
    <n v="1375.33"/>
    <x v="0"/>
    <x v="14"/>
    <x v="1"/>
    <n v="300"/>
    <x v="0"/>
    <n v="-1375.33"/>
  </r>
  <r>
    <d v="2021-03-21T00:00:00"/>
    <x v="356"/>
    <x v="8"/>
    <n v="156.25"/>
    <x v="1"/>
    <x v="14"/>
    <x v="1"/>
    <n v="0"/>
    <x v="2"/>
    <n v="156.25"/>
  </r>
  <r>
    <d v="2021-03-22T00:00:00"/>
    <x v="357"/>
    <x v="3"/>
    <n v="1038"/>
    <x v="1"/>
    <x v="14"/>
    <x v="1"/>
    <n v="0"/>
    <x v="2"/>
    <n v="1038"/>
  </r>
  <r>
    <d v="2021-03-22T00:00:00"/>
    <x v="358"/>
    <x v="5"/>
    <n v="3620"/>
    <x v="1"/>
    <x v="14"/>
    <x v="1"/>
    <n v="0"/>
    <x v="2"/>
    <n v="3620"/>
  </r>
  <r>
    <d v="2021-03-22T00:00:00"/>
    <x v="359"/>
    <x v="9"/>
    <n v="912.89"/>
    <x v="0"/>
    <x v="14"/>
    <x v="1"/>
    <n v="200"/>
    <x v="0"/>
    <n v="-912.89"/>
  </r>
  <r>
    <d v="2021-03-23T00:00:00"/>
    <x v="360"/>
    <x v="2"/>
    <n v="1588.26"/>
    <x v="0"/>
    <x v="14"/>
    <x v="1"/>
    <n v="1500"/>
    <x v="0"/>
    <n v="-1588.26"/>
  </r>
  <r>
    <d v="2021-03-23T00:00:00"/>
    <x v="361"/>
    <x v="3"/>
    <n v="4023"/>
    <x v="1"/>
    <x v="14"/>
    <x v="1"/>
    <n v="0"/>
    <x v="2"/>
    <n v="4023"/>
  </r>
  <r>
    <d v="2021-03-24T00:00:00"/>
    <x v="362"/>
    <x v="6"/>
    <n v="833.49"/>
    <x v="0"/>
    <x v="14"/>
    <x v="1"/>
    <n v="200"/>
    <x v="0"/>
    <n v="-833.49"/>
  </r>
  <r>
    <d v="2021-03-25T00:00:00"/>
    <x v="363"/>
    <x v="4"/>
    <n v="837.82"/>
    <x v="0"/>
    <x v="14"/>
    <x v="1"/>
    <n v="300"/>
    <x v="0"/>
    <n v="-837.82"/>
  </r>
  <r>
    <d v="2021-03-26T00:00:00"/>
    <x v="364"/>
    <x v="5"/>
    <n v="3060"/>
    <x v="1"/>
    <x v="14"/>
    <x v="1"/>
    <n v="0"/>
    <x v="2"/>
    <n v="3060"/>
  </r>
  <r>
    <d v="2021-03-27T00:00:00"/>
    <x v="365"/>
    <x v="7"/>
    <n v="1907.65"/>
    <x v="0"/>
    <x v="14"/>
    <x v="1"/>
    <n v="150"/>
    <x v="0"/>
    <n v="-1907.65"/>
  </r>
  <r>
    <d v="2021-03-28T00:00:00"/>
    <x v="366"/>
    <x v="8"/>
    <n v="143.6"/>
    <x v="1"/>
    <x v="14"/>
    <x v="1"/>
    <n v="0"/>
    <x v="2"/>
    <n v="143.6"/>
  </r>
  <r>
    <d v="2021-03-29T00:00:00"/>
    <x v="367"/>
    <x v="2"/>
    <n v="869.43"/>
    <x v="0"/>
    <x v="14"/>
    <x v="1"/>
    <n v="1500"/>
    <x v="1"/>
    <n v="-869.43"/>
  </r>
  <r>
    <d v="2021-03-30T00:00:00"/>
    <x v="368"/>
    <x v="7"/>
    <n v="1625.42"/>
    <x v="0"/>
    <x v="14"/>
    <x v="1"/>
    <n v="150"/>
    <x v="0"/>
    <n v="-1625.42"/>
  </r>
  <r>
    <d v="2021-04-01T00:00:00"/>
    <x v="369"/>
    <x v="7"/>
    <n v="1343.33"/>
    <x v="0"/>
    <x v="15"/>
    <x v="1"/>
    <n v="150"/>
    <x v="0"/>
    <n v="-1343.33"/>
  </r>
  <r>
    <d v="2021-04-02T00:00:00"/>
    <x v="370"/>
    <x v="4"/>
    <n v="1737.5"/>
    <x v="0"/>
    <x v="15"/>
    <x v="1"/>
    <n v="300"/>
    <x v="0"/>
    <n v="-1737.5"/>
  </r>
  <r>
    <d v="2021-04-03T00:00:00"/>
    <x v="371"/>
    <x v="9"/>
    <n v="1204.82"/>
    <x v="0"/>
    <x v="15"/>
    <x v="1"/>
    <n v="200"/>
    <x v="0"/>
    <n v="-1204.82"/>
  </r>
  <r>
    <d v="2021-04-03T00:00:00"/>
    <x v="372"/>
    <x v="6"/>
    <n v="317.91000000000003"/>
    <x v="0"/>
    <x v="15"/>
    <x v="1"/>
    <n v="200"/>
    <x v="0"/>
    <n v="-317.91000000000003"/>
  </r>
  <r>
    <d v="2021-04-03T00:00:00"/>
    <x v="373"/>
    <x v="2"/>
    <n v="706.73"/>
    <x v="0"/>
    <x v="15"/>
    <x v="1"/>
    <n v="1500"/>
    <x v="1"/>
    <n v="-706.73"/>
  </r>
  <r>
    <d v="2021-04-08T00:00:00"/>
    <x v="374"/>
    <x v="2"/>
    <n v="1527.59"/>
    <x v="0"/>
    <x v="15"/>
    <x v="1"/>
    <n v="1500"/>
    <x v="0"/>
    <n v="-1527.59"/>
  </r>
  <r>
    <d v="2021-04-08T00:00:00"/>
    <x v="375"/>
    <x v="4"/>
    <n v="1691.86"/>
    <x v="0"/>
    <x v="15"/>
    <x v="1"/>
    <n v="300"/>
    <x v="0"/>
    <n v="-1691.86"/>
  </r>
  <r>
    <d v="2021-04-09T00:00:00"/>
    <x v="376"/>
    <x v="0"/>
    <n v="1221.9000000000001"/>
    <x v="0"/>
    <x v="15"/>
    <x v="1"/>
    <n v="500"/>
    <x v="0"/>
    <n v="-1221.9000000000001"/>
  </r>
  <r>
    <d v="2021-04-11T00:00:00"/>
    <x v="377"/>
    <x v="9"/>
    <n v="67.62"/>
    <x v="0"/>
    <x v="15"/>
    <x v="1"/>
    <n v="200"/>
    <x v="1"/>
    <n v="-67.62"/>
  </r>
  <r>
    <d v="2021-04-11T00:00:00"/>
    <x v="378"/>
    <x v="9"/>
    <n v="1843.86"/>
    <x v="0"/>
    <x v="15"/>
    <x v="1"/>
    <n v="200"/>
    <x v="0"/>
    <n v="-1843.86"/>
  </r>
  <r>
    <d v="2021-04-12T00:00:00"/>
    <x v="379"/>
    <x v="1"/>
    <n v="1741.03"/>
    <x v="0"/>
    <x v="15"/>
    <x v="1"/>
    <n v="150"/>
    <x v="0"/>
    <n v="-1741.03"/>
  </r>
  <r>
    <d v="2021-04-13T00:00:00"/>
    <x v="380"/>
    <x v="4"/>
    <n v="148.47"/>
    <x v="0"/>
    <x v="15"/>
    <x v="1"/>
    <n v="300"/>
    <x v="1"/>
    <n v="-148.47"/>
  </r>
  <r>
    <d v="2021-04-18T00:00:00"/>
    <x v="381"/>
    <x v="0"/>
    <n v="192.6"/>
    <x v="0"/>
    <x v="15"/>
    <x v="1"/>
    <n v="500"/>
    <x v="1"/>
    <n v="-192.6"/>
  </r>
  <r>
    <d v="2021-04-19T00:00:00"/>
    <x v="382"/>
    <x v="4"/>
    <n v="845.47"/>
    <x v="0"/>
    <x v="15"/>
    <x v="1"/>
    <n v="300"/>
    <x v="0"/>
    <n v="-845.47"/>
  </r>
  <r>
    <d v="2021-04-19T00:00:00"/>
    <x v="383"/>
    <x v="7"/>
    <n v="630.16"/>
    <x v="0"/>
    <x v="15"/>
    <x v="1"/>
    <n v="150"/>
    <x v="0"/>
    <n v="-630.16"/>
  </r>
  <r>
    <d v="2021-04-19T00:00:00"/>
    <x v="384"/>
    <x v="2"/>
    <n v="1767.85"/>
    <x v="0"/>
    <x v="15"/>
    <x v="1"/>
    <n v="1500"/>
    <x v="0"/>
    <n v="-1767.85"/>
  </r>
  <r>
    <d v="2021-04-19T00:00:00"/>
    <x v="385"/>
    <x v="3"/>
    <n v="1168"/>
    <x v="1"/>
    <x v="15"/>
    <x v="1"/>
    <n v="0"/>
    <x v="2"/>
    <n v="1168"/>
  </r>
  <r>
    <d v="2021-04-21T00:00:00"/>
    <x v="386"/>
    <x v="4"/>
    <n v="976.47"/>
    <x v="0"/>
    <x v="15"/>
    <x v="1"/>
    <n v="300"/>
    <x v="0"/>
    <n v="-976.47"/>
  </r>
  <r>
    <d v="2021-04-23T00:00:00"/>
    <x v="387"/>
    <x v="9"/>
    <n v="438.98"/>
    <x v="0"/>
    <x v="15"/>
    <x v="1"/>
    <n v="200"/>
    <x v="0"/>
    <n v="-438.98"/>
  </r>
  <r>
    <d v="2021-04-23T00:00:00"/>
    <x v="388"/>
    <x v="7"/>
    <n v="865.53"/>
    <x v="0"/>
    <x v="15"/>
    <x v="1"/>
    <n v="150"/>
    <x v="0"/>
    <n v="-865.53"/>
  </r>
  <r>
    <d v="2021-04-24T00:00:00"/>
    <x v="389"/>
    <x v="8"/>
    <n v="1058.5999999999999"/>
    <x v="1"/>
    <x v="15"/>
    <x v="1"/>
    <n v="0"/>
    <x v="2"/>
    <n v="1058.5999999999999"/>
  </r>
  <r>
    <d v="2021-04-27T00:00:00"/>
    <x v="390"/>
    <x v="6"/>
    <n v="796.57"/>
    <x v="0"/>
    <x v="15"/>
    <x v="1"/>
    <n v="200"/>
    <x v="0"/>
    <n v="-796.57"/>
  </r>
  <r>
    <d v="2021-04-27T00:00:00"/>
    <x v="391"/>
    <x v="0"/>
    <n v="416.8"/>
    <x v="0"/>
    <x v="15"/>
    <x v="1"/>
    <n v="500"/>
    <x v="1"/>
    <n v="-416.8"/>
  </r>
  <r>
    <d v="2021-04-27T00:00:00"/>
    <x v="392"/>
    <x v="1"/>
    <n v="1530.68"/>
    <x v="0"/>
    <x v="15"/>
    <x v="1"/>
    <n v="150"/>
    <x v="0"/>
    <n v="-1530.68"/>
  </r>
  <r>
    <d v="2021-04-30T00:00:00"/>
    <x v="393"/>
    <x v="2"/>
    <n v="25.38"/>
    <x v="0"/>
    <x v="15"/>
    <x v="1"/>
    <n v="1500"/>
    <x v="1"/>
    <n v="-25.38"/>
  </r>
  <r>
    <d v="2021-05-02T00:00:00"/>
    <x v="394"/>
    <x v="1"/>
    <n v="267.08"/>
    <x v="0"/>
    <x v="16"/>
    <x v="1"/>
    <n v="150"/>
    <x v="0"/>
    <n v="-267.08"/>
  </r>
  <r>
    <d v="2021-05-04T00:00:00"/>
    <x v="395"/>
    <x v="6"/>
    <n v="1005.52"/>
    <x v="0"/>
    <x v="16"/>
    <x v="1"/>
    <n v="200"/>
    <x v="0"/>
    <n v="-1005.52"/>
  </r>
  <r>
    <d v="2021-05-04T00:00:00"/>
    <x v="396"/>
    <x v="7"/>
    <n v="153.43"/>
    <x v="0"/>
    <x v="16"/>
    <x v="1"/>
    <n v="150"/>
    <x v="0"/>
    <n v="-153.43"/>
  </r>
  <r>
    <d v="2021-05-06T00:00:00"/>
    <x v="397"/>
    <x v="0"/>
    <n v="878.08"/>
    <x v="0"/>
    <x v="16"/>
    <x v="1"/>
    <n v="500"/>
    <x v="0"/>
    <n v="-878.08"/>
  </r>
  <r>
    <d v="2021-05-07T00:00:00"/>
    <x v="398"/>
    <x v="2"/>
    <n v="1725.6"/>
    <x v="0"/>
    <x v="16"/>
    <x v="1"/>
    <n v="1500"/>
    <x v="0"/>
    <n v="-1725.6"/>
  </r>
  <r>
    <d v="2021-05-07T00:00:00"/>
    <x v="399"/>
    <x v="4"/>
    <n v="1421.9"/>
    <x v="0"/>
    <x v="16"/>
    <x v="1"/>
    <n v="300"/>
    <x v="0"/>
    <n v="-1421.9"/>
  </r>
  <r>
    <d v="2021-05-07T00:00:00"/>
    <x v="400"/>
    <x v="2"/>
    <n v="816.01"/>
    <x v="0"/>
    <x v="16"/>
    <x v="1"/>
    <n v="1500"/>
    <x v="1"/>
    <n v="-816.01"/>
  </r>
  <r>
    <d v="2021-05-10T00:00:00"/>
    <x v="401"/>
    <x v="1"/>
    <n v="1604.63"/>
    <x v="0"/>
    <x v="16"/>
    <x v="1"/>
    <n v="150"/>
    <x v="0"/>
    <n v="-1604.63"/>
  </r>
  <r>
    <d v="2021-05-11T00:00:00"/>
    <x v="402"/>
    <x v="7"/>
    <n v="185.38"/>
    <x v="0"/>
    <x v="16"/>
    <x v="1"/>
    <n v="150"/>
    <x v="0"/>
    <n v="-185.38"/>
  </r>
  <r>
    <d v="2021-05-11T00:00:00"/>
    <x v="403"/>
    <x v="6"/>
    <n v="877"/>
    <x v="0"/>
    <x v="16"/>
    <x v="1"/>
    <n v="200"/>
    <x v="0"/>
    <n v="-877"/>
  </r>
  <r>
    <d v="2021-05-12T00:00:00"/>
    <x v="404"/>
    <x v="2"/>
    <n v="797.58"/>
    <x v="0"/>
    <x v="16"/>
    <x v="1"/>
    <n v="1500"/>
    <x v="1"/>
    <n v="-797.58"/>
  </r>
  <r>
    <d v="2021-05-14T00:00:00"/>
    <x v="405"/>
    <x v="7"/>
    <n v="450.93"/>
    <x v="0"/>
    <x v="16"/>
    <x v="1"/>
    <n v="150"/>
    <x v="0"/>
    <n v="-450.93"/>
  </r>
  <r>
    <d v="2021-05-14T00:00:00"/>
    <x v="406"/>
    <x v="2"/>
    <n v="1025.8599999999999"/>
    <x v="0"/>
    <x v="16"/>
    <x v="1"/>
    <n v="1500"/>
    <x v="1"/>
    <n v="-1025.8599999999999"/>
  </r>
  <r>
    <d v="2021-05-15T00:00:00"/>
    <x v="407"/>
    <x v="3"/>
    <n v="3362"/>
    <x v="1"/>
    <x v="16"/>
    <x v="1"/>
    <n v="0"/>
    <x v="2"/>
    <n v="3362"/>
  </r>
  <r>
    <d v="2021-05-17T00:00:00"/>
    <x v="408"/>
    <x v="1"/>
    <n v="480.18"/>
    <x v="0"/>
    <x v="16"/>
    <x v="1"/>
    <n v="150"/>
    <x v="0"/>
    <n v="-480.18"/>
  </r>
  <r>
    <d v="2021-05-19T00:00:00"/>
    <x v="409"/>
    <x v="3"/>
    <n v="1921"/>
    <x v="1"/>
    <x v="16"/>
    <x v="1"/>
    <n v="0"/>
    <x v="2"/>
    <n v="1921"/>
  </r>
  <r>
    <d v="2021-05-22T00:00:00"/>
    <x v="410"/>
    <x v="2"/>
    <n v="362.52"/>
    <x v="0"/>
    <x v="16"/>
    <x v="1"/>
    <n v="1500"/>
    <x v="1"/>
    <n v="-362.52"/>
  </r>
  <r>
    <d v="2021-05-23T00:00:00"/>
    <x v="411"/>
    <x v="8"/>
    <n v="933.27"/>
    <x v="1"/>
    <x v="16"/>
    <x v="1"/>
    <n v="0"/>
    <x v="2"/>
    <n v="933.27"/>
  </r>
  <r>
    <d v="2021-05-24T00:00:00"/>
    <x v="412"/>
    <x v="8"/>
    <n v="1365.46"/>
    <x v="1"/>
    <x v="16"/>
    <x v="1"/>
    <n v="0"/>
    <x v="2"/>
    <n v="1365.46"/>
  </r>
  <r>
    <d v="2021-05-24T00:00:00"/>
    <x v="413"/>
    <x v="7"/>
    <n v="1729.85"/>
    <x v="0"/>
    <x v="16"/>
    <x v="1"/>
    <n v="150"/>
    <x v="0"/>
    <n v="-1729.85"/>
  </r>
  <r>
    <d v="2021-05-24T00:00:00"/>
    <x v="414"/>
    <x v="1"/>
    <n v="885.13"/>
    <x v="0"/>
    <x v="16"/>
    <x v="1"/>
    <n v="150"/>
    <x v="0"/>
    <n v="-885.13"/>
  </r>
  <r>
    <d v="2021-05-25T00:00:00"/>
    <x v="415"/>
    <x v="9"/>
    <n v="1594.7"/>
    <x v="0"/>
    <x v="16"/>
    <x v="1"/>
    <n v="200"/>
    <x v="0"/>
    <n v="-1594.7"/>
  </r>
  <r>
    <d v="2021-05-25T00:00:00"/>
    <x v="416"/>
    <x v="7"/>
    <n v="1019.6"/>
    <x v="0"/>
    <x v="16"/>
    <x v="1"/>
    <n v="150"/>
    <x v="0"/>
    <n v="-1019.6"/>
  </r>
  <r>
    <d v="2021-05-27T00:00:00"/>
    <x v="417"/>
    <x v="8"/>
    <n v="84.84"/>
    <x v="1"/>
    <x v="16"/>
    <x v="1"/>
    <n v="0"/>
    <x v="2"/>
    <n v="84.84"/>
  </r>
  <r>
    <d v="2021-05-27T00:00:00"/>
    <x v="418"/>
    <x v="9"/>
    <n v="162.69"/>
    <x v="0"/>
    <x v="16"/>
    <x v="1"/>
    <n v="200"/>
    <x v="1"/>
    <n v="-162.69"/>
  </r>
  <r>
    <d v="2021-05-29T00:00:00"/>
    <x v="419"/>
    <x v="2"/>
    <n v="1233.8699999999999"/>
    <x v="0"/>
    <x v="16"/>
    <x v="1"/>
    <n v="1500"/>
    <x v="1"/>
    <n v="-1233.8699999999999"/>
  </r>
  <r>
    <d v="2021-05-30T00:00:00"/>
    <x v="420"/>
    <x v="8"/>
    <n v="1164.8599999999999"/>
    <x v="1"/>
    <x v="16"/>
    <x v="1"/>
    <n v="0"/>
    <x v="2"/>
    <n v="1164.8599999999999"/>
  </r>
  <r>
    <d v="2021-05-31T00:00:00"/>
    <x v="421"/>
    <x v="0"/>
    <n v="904.97"/>
    <x v="0"/>
    <x v="16"/>
    <x v="1"/>
    <n v="500"/>
    <x v="0"/>
    <n v="-904.97"/>
  </r>
  <r>
    <d v="2021-05-31T00:00:00"/>
    <x v="422"/>
    <x v="6"/>
    <n v="649.84"/>
    <x v="0"/>
    <x v="16"/>
    <x v="1"/>
    <n v="200"/>
    <x v="0"/>
    <n v="-649.84"/>
  </r>
  <r>
    <d v="2021-06-02T00:00:00"/>
    <x v="423"/>
    <x v="1"/>
    <n v="1915.87"/>
    <x v="0"/>
    <x v="17"/>
    <x v="1"/>
    <n v="150"/>
    <x v="0"/>
    <n v="-1915.87"/>
  </r>
  <r>
    <d v="2021-06-02T00:00:00"/>
    <x v="424"/>
    <x v="7"/>
    <n v="1964.95"/>
    <x v="0"/>
    <x v="17"/>
    <x v="1"/>
    <n v="150"/>
    <x v="0"/>
    <n v="-1964.95"/>
  </r>
  <r>
    <d v="2021-06-03T00:00:00"/>
    <x v="425"/>
    <x v="3"/>
    <n v="820"/>
    <x v="1"/>
    <x v="17"/>
    <x v="1"/>
    <n v="0"/>
    <x v="2"/>
    <n v="820"/>
  </r>
  <r>
    <d v="2021-06-06T00:00:00"/>
    <x v="426"/>
    <x v="8"/>
    <n v="1982.06"/>
    <x v="1"/>
    <x v="17"/>
    <x v="1"/>
    <n v="0"/>
    <x v="2"/>
    <n v="1982.06"/>
  </r>
  <r>
    <d v="2021-06-06T00:00:00"/>
    <x v="427"/>
    <x v="1"/>
    <n v="734.16"/>
    <x v="0"/>
    <x v="17"/>
    <x v="1"/>
    <n v="150"/>
    <x v="0"/>
    <n v="-734.16"/>
  </r>
  <r>
    <d v="2021-06-06T00:00:00"/>
    <x v="428"/>
    <x v="4"/>
    <n v="823.45"/>
    <x v="0"/>
    <x v="17"/>
    <x v="1"/>
    <n v="300"/>
    <x v="0"/>
    <n v="-823.45"/>
  </r>
  <r>
    <d v="2021-06-09T00:00:00"/>
    <x v="429"/>
    <x v="0"/>
    <n v="1580.56"/>
    <x v="0"/>
    <x v="17"/>
    <x v="1"/>
    <n v="500"/>
    <x v="0"/>
    <n v="-1580.56"/>
  </r>
  <r>
    <d v="2021-06-11T00:00:00"/>
    <x v="430"/>
    <x v="2"/>
    <n v="666.08"/>
    <x v="0"/>
    <x v="17"/>
    <x v="1"/>
    <n v="1500"/>
    <x v="1"/>
    <n v="-666.08"/>
  </r>
  <r>
    <d v="2021-06-11T00:00:00"/>
    <x v="431"/>
    <x v="4"/>
    <n v="575.45000000000005"/>
    <x v="0"/>
    <x v="17"/>
    <x v="1"/>
    <n v="300"/>
    <x v="0"/>
    <n v="-575.45000000000005"/>
  </r>
  <r>
    <d v="2021-06-14T00:00:00"/>
    <x v="432"/>
    <x v="1"/>
    <n v="673.39"/>
    <x v="0"/>
    <x v="17"/>
    <x v="1"/>
    <n v="150"/>
    <x v="0"/>
    <n v="-673.39"/>
  </r>
  <r>
    <d v="2021-06-15T00:00:00"/>
    <x v="433"/>
    <x v="1"/>
    <n v="1834.33"/>
    <x v="0"/>
    <x v="17"/>
    <x v="1"/>
    <n v="150"/>
    <x v="0"/>
    <n v="-1834.33"/>
  </r>
  <r>
    <d v="2021-06-16T00:00:00"/>
    <x v="434"/>
    <x v="4"/>
    <n v="266.61"/>
    <x v="0"/>
    <x v="17"/>
    <x v="1"/>
    <n v="300"/>
    <x v="1"/>
    <n v="-266.61"/>
  </r>
  <r>
    <d v="2021-06-20T00:00:00"/>
    <x v="435"/>
    <x v="2"/>
    <n v="626.07000000000005"/>
    <x v="0"/>
    <x v="17"/>
    <x v="1"/>
    <n v="1500"/>
    <x v="1"/>
    <n v="-626.07000000000005"/>
  </r>
  <r>
    <d v="2021-06-20T00:00:00"/>
    <x v="436"/>
    <x v="7"/>
    <n v="1628.24"/>
    <x v="0"/>
    <x v="17"/>
    <x v="1"/>
    <n v="150"/>
    <x v="0"/>
    <n v="-1628.24"/>
  </r>
  <r>
    <d v="2021-06-22T00:00:00"/>
    <x v="437"/>
    <x v="2"/>
    <n v="1295.5899999999999"/>
    <x v="0"/>
    <x v="17"/>
    <x v="1"/>
    <n v="1500"/>
    <x v="1"/>
    <n v="-1295.5899999999999"/>
  </r>
  <r>
    <d v="2021-06-23T00:00:00"/>
    <x v="438"/>
    <x v="7"/>
    <n v="46.28"/>
    <x v="0"/>
    <x v="17"/>
    <x v="1"/>
    <n v="150"/>
    <x v="1"/>
    <n v="-46.28"/>
  </r>
  <r>
    <d v="2021-06-24T00:00:00"/>
    <x v="439"/>
    <x v="6"/>
    <n v="690.05"/>
    <x v="0"/>
    <x v="17"/>
    <x v="1"/>
    <n v="200"/>
    <x v="0"/>
    <n v="-690.05"/>
  </r>
  <r>
    <d v="2021-06-26T00:00:00"/>
    <x v="440"/>
    <x v="6"/>
    <n v="460.82"/>
    <x v="0"/>
    <x v="17"/>
    <x v="1"/>
    <n v="200"/>
    <x v="0"/>
    <n v="-460.82"/>
  </r>
  <r>
    <d v="2021-06-27T00:00:00"/>
    <x v="441"/>
    <x v="3"/>
    <n v="2923"/>
    <x v="1"/>
    <x v="17"/>
    <x v="1"/>
    <n v="0"/>
    <x v="2"/>
    <n v="2923"/>
  </r>
  <r>
    <d v="2021-06-28T00:00:00"/>
    <x v="442"/>
    <x v="2"/>
    <n v="1020.3"/>
    <x v="0"/>
    <x v="17"/>
    <x v="1"/>
    <n v="1500"/>
    <x v="1"/>
    <n v="-1020.3"/>
  </r>
  <r>
    <d v="2021-06-28T00:00:00"/>
    <x v="443"/>
    <x v="0"/>
    <n v="1327.24"/>
    <x v="0"/>
    <x v="17"/>
    <x v="1"/>
    <n v="500"/>
    <x v="0"/>
    <n v="-1327.24"/>
  </r>
  <r>
    <d v="2021-06-28T00:00:00"/>
    <x v="444"/>
    <x v="1"/>
    <n v="1198.52"/>
    <x v="0"/>
    <x v="17"/>
    <x v="1"/>
    <n v="150"/>
    <x v="0"/>
    <n v="-1198.52"/>
  </r>
  <r>
    <d v="2021-06-28T00:00:00"/>
    <x v="445"/>
    <x v="3"/>
    <n v="1856"/>
    <x v="1"/>
    <x v="17"/>
    <x v="1"/>
    <n v="0"/>
    <x v="2"/>
    <n v="1856"/>
  </r>
  <r>
    <d v="2021-06-29T00:00:00"/>
    <x v="446"/>
    <x v="0"/>
    <n v="827.61"/>
    <x v="0"/>
    <x v="17"/>
    <x v="1"/>
    <n v="500"/>
    <x v="0"/>
    <n v="-827.61"/>
  </r>
  <r>
    <d v="2021-07-04T00:00:00"/>
    <x v="447"/>
    <x v="6"/>
    <n v="1939.48"/>
    <x v="0"/>
    <x v="18"/>
    <x v="1"/>
    <n v="200"/>
    <x v="0"/>
    <n v="-1939.48"/>
  </r>
  <r>
    <d v="2021-07-04T00:00:00"/>
    <x v="448"/>
    <x v="8"/>
    <n v="475.67"/>
    <x v="1"/>
    <x v="18"/>
    <x v="1"/>
    <n v="0"/>
    <x v="2"/>
    <n v="475.67"/>
  </r>
  <r>
    <d v="2021-07-04T00:00:00"/>
    <x v="449"/>
    <x v="8"/>
    <n v="1808.91"/>
    <x v="1"/>
    <x v="18"/>
    <x v="1"/>
    <n v="0"/>
    <x v="2"/>
    <n v="1808.91"/>
  </r>
  <r>
    <d v="2021-07-06T00:00:00"/>
    <x v="450"/>
    <x v="5"/>
    <n v="4282"/>
    <x v="1"/>
    <x v="18"/>
    <x v="1"/>
    <n v="0"/>
    <x v="2"/>
    <n v="4282"/>
  </r>
  <r>
    <d v="2021-07-07T00:00:00"/>
    <x v="451"/>
    <x v="4"/>
    <n v="1010.78"/>
    <x v="0"/>
    <x v="18"/>
    <x v="1"/>
    <n v="300"/>
    <x v="0"/>
    <n v="-1010.78"/>
  </r>
  <r>
    <d v="2021-07-09T00:00:00"/>
    <x v="452"/>
    <x v="1"/>
    <n v="1635.61"/>
    <x v="0"/>
    <x v="18"/>
    <x v="1"/>
    <n v="150"/>
    <x v="0"/>
    <n v="-1635.61"/>
  </r>
  <r>
    <d v="2021-07-09T00:00:00"/>
    <x v="453"/>
    <x v="1"/>
    <n v="1747.27"/>
    <x v="0"/>
    <x v="18"/>
    <x v="1"/>
    <n v="150"/>
    <x v="0"/>
    <n v="-1747.27"/>
  </r>
  <r>
    <d v="2021-07-10T00:00:00"/>
    <x v="454"/>
    <x v="5"/>
    <n v="3540"/>
    <x v="1"/>
    <x v="18"/>
    <x v="1"/>
    <n v="0"/>
    <x v="2"/>
    <n v="3540"/>
  </r>
  <r>
    <d v="2021-07-10T00:00:00"/>
    <x v="455"/>
    <x v="2"/>
    <n v="1425.69"/>
    <x v="0"/>
    <x v="18"/>
    <x v="1"/>
    <n v="1500"/>
    <x v="1"/>
    <n v="-1425.69"/>
  </r>
  <r>
    <d v="2021-07-11T00:00:00"/>
    <x v="456"/>
    <x v="2"/>
    <n v="577.28"/>
    <x v="0"/>
    <x v="18"/>
    <x v="1"/>
    <n v="1500"/>
    <x v="1"/>
    <n v="-577.28"/>
  </r>
  <r>
    <d v="2021-07-11T00:00:00"/>
    <x v="457"/>
    <x v="9"/>
    <n v="904.15"/>
    <x v="0"/>
    <x v="18"/>
    <x v="1"/>
    <n v="200"/>
    <x v="0"/>
    <n v="-904.15"/>
  </r>
  <r>
    <d v="2021-07-11T00:00:00"/>
    <x v="458"/>
    <x v="4"/>
    <n v="192.51"/>
    <x v="0"/>
    <x v="18"/>
    <x v="1"/>
    <n v="300"/>
    <x v="1"/>
    <n v="-192.51"/>
  </r>
  <r>
    <d v="2021-07-12T00:00:00"/>
    <x v="459"/>
    <x v="8"/>
    <n v="1770.41"/>
    <x v="1"/>
    <x v="18"/>
    <x v="1"/>
    <n v="0"/>
    <x v="2"/>
    <n v="1770.41"/>
  </r>
  <r>
    <d v="2021-07-13T00:00:00"/>
    <x v="460"/>
    <x v="4"/>
    <n v="115.98"/>
    <x v="0"/>
    <x v="18"/>
    <x v="1"/>
    <n v="300"/>
    <x v="1"/>
    <n v="-115.98"/>
  </r>
  <r>
    <d v="2021-07-14T00:00:00"/>
    <x v="461"/>
    <x v="6"/>
    <n v="778.47"/>
    <x v="0"/>
    <x v="18"/>
    <x v="1"/>
    <n v="200"/>
    <x v="0"/>
    <n v="-778.47"/>
  </r>
  <r>
    <d v="2021-07-15T00:00:00"/>
    <x v="462"/>
    <x v="3"/>
    <n v="730"/>
    <x v="1"/>
    <x v="18"/>
    <x v="1"/>
    <n v="0"/>
    <x v="2"/>
    <n v="730"/>
  </r>
  <r>
    <d v="2021-07-19T00:00:00"/>
    <x v="463"/>
    <x v="2"/>
    <n v="1679.96"/>
    <x v="0"/>
    <x v="18"/>
    <x v="1"/>
    <n v="1500"/>
    <x v="0"/>
    <n v="-1679.96"/>
  </r>
  <r>
    <d v="2021-07-19T00:00:00"/>
    <x v="464"/>
    <x v="1"/>
    <n v="283.82"/>
    <x v="0"/>
    <x v="18"/>
    <x v="1"/>
    <n v="150"/>
    <x v="0"/>
    <n v="-283.82"/>
  </r>
  <r>
    <d v="2021-07-23T00:00:00"/>
    <x v="465"/>
    <x v="8"/>
    <n v="1395.18"/>
    <x v="1"/>
    <x v="18"/>
    <x v="1"/>
    <n v="0"/>
    <x v="2"/>
    <n v="1395.18"/>
  </r>
  <r>
    <d v="2021-07-23T00:00:00"/>
    <x v="466"/>
    <x v="5"/>
    <n v="4174"/>
    <x v="1"/>
    <x v="18"/>
    <x v="1"/>
    <n v="0"/>
    <x v="2"/>
    <n v="4174"/>
  </r>
  <r>
    <d v="2021-07-24T00:00:00"/>
    <x v="467"/>
    <x v="2"/>
    <n v="47.82"/>
    <x v="0"/>
    <x v="18"/>
    <x v="1"/>
    <n v="1500"/>
    <x v="1"/>
    <n v="-47.82"/>
  </r>
  <r>
    <d v="2021-07-28T00:00:00"/>
    <x v="468"/>
    <x v="1"/>
    <n v="1102.1199999999999"/>
    <x v="0"/>
    <x v="18"/>
    <x v="1"/>
    <n v="150"/>
    <x v="0"/>
    <n v="-1102.1199999999999"/>
  </r>
  <r>
    <d v="2021-07-29T00:00:00"/>
    <x v="469"/>
    <x v="4"/>
    <n v="231.26"/>
    <x v="0"/>
    <x v="18"/>
    <x v="1"/>
    <n v="300"/>
    <x v="1"/>
    <n v="-231.26"/>
  </r>
  <r>
    <d v="2021-08-02T00:00:00"/>
    <x v="470"/>
    <x v="9"/>
    <n v="252.48"/>
    <x v="0"/>
    <x v="19"/>
    <x v="1"/>
    <n v="200"/>
    <x v="0"/>
    <n v="-252.48"/>
  </r>
  <r>
    <d v="2021-08-06T00:00:00"/>
    <x v="471"/>
    <x v="8"/>
    <n v="134.99"/>
    <x v="1"/>
    <x v="19"/>
    <x v="1"/>
    <n v="0"/>
    <x v="2"/>
    <n v="134.99"/>
  </r>
  <r>
    <d v="2021-08-07T00:00:00"/>
    <x v="472"/>
    <x v="8"/>
    <n v="1197.51"/>
    <x v="1"/>
    <x v="19"/>
    <x v="1"/>
    <n v="0"/>
    <x v="2"/>
    <n v="1197.51"/>
  </r>
  <r>
    <d v="2021-08-07T00:00:00"/>
    <x v="473"/>
    <x v="3"/>
    <n v="1676"/>
    <x v="1"/>
    <x v="19"/>
    <x v="1"/>
    <n v="0"/>
    <x v="2"/>
    <n v="1676"/>
  </r>
  <r>
    <d v="2021-08-08T00:00:00"/>
    <x v="474"/>
    <x v="0"/>
    <n v="1233.47"/>
    <x v="0"/>
    <x v="19"/>
    <x v="1"/>
    <n v="500"/>
    <x v="0"/>
    <n v="-1233.47"/>
  </r>
  <r>
    <d v="2021-08-09T00:00:00"/>
    <x v="475"/>
    <x v="4"/>
    <n v="382.75"/>
    <x v="0"/>
    <x v="19"/>
    <x v="1"/>
    <n v="300"/>
    <x v="0"/>
    <n v="-382.75"/>
  </r>
  <r>
    <d v="2021-08-11T00:00:00"/>
    <x v="476"/>
    <x v="7"/>
    <n v="144.68"/>
    <x v="0"/>
    <x v="19"/>
    <x v="1"/>
    <n v="150"/>
    <x v="1"/>
    <n v="-144.68"/>
  </r>
  <r>
    <d v="2021-08-13T00:00:00"/>
    <x v="477"/>
    <x v="0"/>
    <n v="787"/>
    <x v="0"/>
    <x v="19"/>
    <x v="1"/>
    <n v="500"/>
    <x v="0"/>
    <n v="-787"/>
  </r>
  <r>
    <d v="2021-08-13T00:00:00"/>
    <x v="478"/>
    <x v="4"/>
    <n v="1962.27"/>
    <x v="0"/>
    <x v="19"/>
    <x v="1"/>
    <n v="300"/>
    <x v="0"/>
    <n v="-1962.27"/>
  </r>
  <r>
    <d v="2021-08-15T00:00:00"/>
    <x v="479"/>
    <x v="0"/>
    <n v="720.62"/>
    <x v="0"/>
    <x v="19"/>
    <x v="1"/>
    <n v="500"/>
    <x v="0"/>
    <n v="-720.62"/>
  </r>
  <r>
    <d v="2021-08-16T00:00:00"/>
    <x v="480"/>
    <x v="3"/>
    <n v="1349"/>
    <x v="1"/>
    <x v="19"/>
    <x v="1"/>
    <n v="0"/>
    <x v="2"/>
    <n v="1349"/>
  </r>
  <r>
    <d v="2021-08-18T00:00:00"/>
    <x v="481"/>
    <x v="7"/>
    <n v="275.49"/>
    <x v="0"/>
    <x v="19"/>
    <x v="1"/>
    <n v="150"/>
    <x v="0"/>
    <n v="-275.49"/>
  </r>
  <r>
    <d v="2021-08-20T00:00:00"/>
    <x v="482"/>
    <x v="7"/>
    <n v="1628.88"/>
    <x v="0"/>
    <x v="19"/>
    <x v="1"/>
    <n v="150"/>
    <x v="0"/>
    <n v="-1628.88"/>
  </r>
  <r>
    <d v="2021-08-21T00:00:00"/>
    <x v="483"/>
    <x v="5"/>
    <n v="4420"/>
    <x v="1"/>
    <x v="19"/>
    <x v="1"/>
    <n v="0"/>
    <x v="2"/>
    <n v="4420"/>
  </r>
  <r>
    <d v="2021-08-21T00:00:00"/>
    <x v="484"/>
    <x v="1"/>
    <n v="135.57"/>
    <x v="0"/>
    <x v="19"/>
    <x v="1"/>
    <n v="150"/>
    <x v="1"/>
    <n v="-135.57"/>
  </r>
  <r>
    <d v="2021-08-22T00:00:00"/>
    <x v="485"/>
    <x v="8"/>
    <n v="83.6"/>
    <x v="1"/>
    <x v="19"/>
    <x v="1"/>
    <n v="0"/>
    <x v="2"/>
    <n v="83.6"/>
  </r>
  <r>
    <d v="2021-08-23T00:00:00"/>
    <x v="486"/>
    <x v="6"/>
    <n v="1772.72"/>
    <x v="0"/>
    <x v="19"/>
    <x v="1"/>
    <n v="200"/>
    <x v="0"/>
    <n v="-1772.72"/>
  </r>
  <r>
    <d v="2021-08-24T00:00:00"/>
    <x v="487"/>
    <x v="9"/>
    <n v="1035.6099999999999"/>
    <x v="0"/>
    <x v="19"/>
    <x v="1"/>
    <n v="200"/>
    <x v="0"/>
    <n v="-1035.6099999999999"/>
  </r>
  <r>
    <d v="2021-08-25T00:00:00"/>
    <x v="488"/>
    <x v="8"/>
    <n v="514.09"/>
    <x v="1"/>
    <x v="19"/>
    <x v="1"/>
    <n v="0"/>
    <x v="2"/>
    <n v="514.09"/>
  </r>
  <r>
    <d v="2021-08-27T00:00:00"/>
    <x v="489"/>
    <x v="6"/>
    <n v="579.36"/>
    <x v="0"/>
    <x v="19"/>
    <x v="1"/>
    <n v="200"/>
    <x v="0"/>
    <n v="-579.36"/>
  </r>
  <r>
    <d v="2021-08-29T00:00:00"/>
    <x v="490"/>
    <x v="0"/>
    <n v="1732.94"/>
    <x v="0"/>
    <x v="19"/>
    <x v="1"/>
    <n v="500"/>
    <x v="0"/>
    <n v="-1732.94"/>
  </r>
  <r>
    <d v="2021-09-05T00:00:00"/>
    <x v="491"/>
    <x v="2"/>
    <n v="1600.69"/>
    <x v="0"/>
    <x v="20"/>
    <x v="1"/>
    <n v="1500"/>
    <x v="0"/>
    <n v="-1600.69"/>
  </r>
  <r>
    <d v="2021-09-06T00:00:00"/>
    <x v="492"/>
    <x v="4"/>
    <n v="1489.18"/>
    <x v="0"/>
    <x v="20"/>
    <x v="1"/>
    <n v="300"/>
    <x v="0"/>
    <n v="-1489.18"/>
  </r>
  <r>
    <d v="2021-09-09T00:00:00"/>
    <x v="493"/>
    <x v="4"/>
    <n v="684.68"/>
    <x v="0"/>
    <x v="20"/>
    <x v="1"/>
    <n v="300"/>
    <x v="0"/>
    <n v="-684.68"/>
  </r>
  <r>
    <d v="2021-09-09T00:00:00"/>
    <x v="494"/>
    <x v="5"/>
    <n v="3509"/>
    <x v="1"/>
    <x v="20"/>
    <x v="1"/>
    <n v="0"/>
    <x v="2"/>
    <n v="3509"/>
  </r>
  <r>
    <d v="2021-09-09T00:00:00"/>
    <x v="495"/>
    <x v="9"/>
    <n v="1604.28"/>
    <x v="0"/>
    <x v="20"/>
    <x v="1"/>
    <n v="200"/>
    <x v="0"/>
    <n v="-1604.28"/>
  </r>
  <r>
    <d v="2021-09-10T00:00:00"/>
    <x v="496"/>
    <x v="2"/>
    <n v="866.91"/>
    <x v="0"/>
    <x v="20"/>
    <x v="1"/>
    <n v="1500"/>
    <x v="1"/>
    <n v="-866.91"/>
  </r>
  <r>
    <d v="2021-09-11T00:00:00"/>
    <x v="497"/>
    <x v="1"/>
    <n v="1095.49"/>
    <x v="0"/>
    <x v="20"/>
    <x v="1"/>
    <n v="150"/>
    <x v="0"/>
    <n v="-1095.49"/>
  </r>
  <r>
    <d v="2021-09-11T00:00:00"/>
    <x v="498"/>
    <x v="2"/>
    <n v="662.56"/>
    <x v="0"/>
    <x v="20"/>
    <x v="1"/>
    <n v="1500"/>
    <x v="1"/>
    <n v="-662.56"/>
  </r>
  <r>
    <d v="2021-09-11T00:00:00"/>
    <x v="499"/>
    <x v="8"/>
    <n v="1209.22"/>
    <x v="1"/>
    <x v="20"/>
    <x v="1"/>
    <n v="0"/>
    <x v="2"/>
    <n v="1209.22"/>
  </r>
  <r>
    <d v="2021-09-11T00:00:00"/>
    <x v="500"/>
    <x v="8"/>
    <n v="709.58"/>
    <x v="1"/>
    <x v="20"/>
    <x v="1"/>
    <n v="0"/>
    <x v="2"/>
    <n v="709.58"/>
  </r>
  <r>
    <d v="2021-09-15T00:00:00"/>
    <x v="501"/>
    <x v="5"/>
    <n v="4063"/>
    <x v="1"/>
    <x v="20"/>
    <x v="1"/>
    <n v="0"/>
    <x v="2"/>
    <n v="4063"/>
  </r>
  <r>
    <d v="2021-09-16T00:00:00"/>
    <x v="502"/>
    <x v="0"/>
    <n v="159.33000000000001"/>
    <x v="0"/>
    <x v="20"/>
    <x v="1"/>
    <n v="500"/>
    <x v="1"/>
    <n v="-159.33000000000001"/>
  </r>
  <r>
    <d v="2021-09-16T00:00:00"/>
    <x v="503"/>
    <x v="7"/>
    <n v="1031.04"/>
    <x v="0"/>
    <x v="20"/>
    <x v="1"/>
    <n v="150"/>
    <x v="0"/>
    <n v="-1031.04"/>
  </r>
  <r>
    <d v="2021-09-17T00:00:00"/>
    <x v="504"/>
    <x v="1"/>
    <n v="1906.05"/>
    <x v="0"/>
    <x v="20"/>
    <x v="1"/>
    <n v="150"/>
    <x v="0"/>
    <n v="-1906.05"/>
  </r>
  <r>
    <d v="2021-09-17T00:00:00"/>
    <x v="505"/>
    <x v="5"/>
    <n v="785"/>
    <x v="1"/>
    <x v="20"/>
    <x v="1"/>
    <n v="0"/>
    <x v="2"/>
    <n v="785"/>
  </r>
  <r>
    <d v="2021-09-19T00:00:00"/>
    <x v="506"/>
    <x v="3"/>
    <n v="3500"/>
    <x v="1"/>
    <x v="20"/>
    <x v="1"/>
    <n v="0"/>
    <x v="2"/>
    <n v="3500"/>
  </r>
  <r>
    <d v="2021-09-19T00:00:00"/>
    <x v="507"/>
    <x v="0"/>
    <n v="1214.1400000000001"/>
    <x v="0"/>
    <x v="20"/>
    <x v="1"/>
    <n v="500"/>
    <x v="0"/>
    <n v="-1214.1400000000001"/>
  </r>
  <r>
    <d v="2021-09-19T00:00:00"/>
    <x v="508"/>
    <x v="7"/>
    <n v="750.31"/>
    <x v="0"/>
    <x v="20"/>
    <x v="1"/>
    <n v="150"/>
    <x v="0"/>
    <n v="-750.31"/>
  </r>
  <r>
    <d v="2021-09-19T00:00:00"/>
    <x v="509"/>
    <x v="1"/>
    <n v="1063.6300000000001"/>
    <x v="0"/>
    <x v="20"/>
    <x v="1"/>
    <n v="150"/>
    <x v="0"/>
    <n v="-1063.6300000000001"/>
  </r>
  <r>
    <d v="2021-09-20T00:00:00"/>
    <x v="510"/>
    <x v="9"/>
    <n v="506.73"/>
    <x v="0"/>
    <x v="20"/>
    <x v="1"/>
    <n v="200"/>
    <x v="0"/>
    <n v="-506.73"/>
  </r>
  <r>
    <d v="2021-09-21T00:00:00"/>
    <x v="511"/>
    <x v="3"/>
    <n v="4588"/>
    <x v="1"/>
    <x v="20"/>
    <x v="1"/>
    <n v="0"/>
    <x v="2"/>
    <n v="4588"/>
  </r>
  <r>
    <d v="2021-09-28T00:00:00"/>
    <x v="512"/>
    <x v="2"/>
    <n v="530.94000000000005"/>
    <x v="0"/>
    <x v="20"/>
    <x v="1"/>
    <n v="1500"/>
    <x v="1"/>
    <n v="-530.94000000000005"/>
  </r>
  <r>
    <d v="2021-10-01T00:00:00"/>
    <x v="513"/>
    <x v="8"/>
    <n v="437"/>
    <x v="1"/>
    <x v="21"/>
    <x v="1"/>
    <n v="0"/>
    <x v="2"/>
    <n v="437"/>
  </r>
  <r>
    <d v="2021-10-07T00:00:00"/>
    <x v="514"/>
    <x v="8"/>
    <n v="408.35"/>
    <x v="1"/>
    <x v="21"/>
    <x v="1"/>
    <n v="0"/>
    <x v="2"/>
    <n v="408.35"/>
  </r>
  <r>
    <d v="2021-10-08T00:00:00"/>
    <x v="515"/>
    <x v="3"/>
    <n v="4203"/>
    <x v="1"/>
    <x v="21"/>
    <x v="1"/>
    <n v="0"/>
    <x v="2"/>
    <n v="4203"/>
  </r>
  <r>
    <d v="2021-10-13T00:00:00"/>
    <x v="516"/>
    <x v="5"/>
    <n v="1219"/>
    <x v="1"/>
    <x v="21"/>
    <x v="1"/>
    <n v="0"/>
    <x v="2"/>
    <n v="1219"/>
  </r>
  <r>
    <d v="2021-10-13T00:00:00"/>
    <x v="517"/>
    <x v="7"/>
    <n v="1339"/>
    <x v="0"/>
    <x v="21"/>
    <x v="1"/>
    <n v="150"/>
    <x v="0"/>
    <n v="-1339"/>
  </r>
  <r>
    <d v="2021-10-13T00:00:00"/>
    <x v="518"/>
    <x v="9"/>
    <n v="1783.75"/>
    <x v="0"/>
    <x v="21"/>
    <x v="1"/>
    <n v="200"/>
    <x v="0"/>
    <n v="-1783.75"/>
  </r>
  <r>
    <d v="2021-10-16T00:00:00"/>
    <x v="519"/>
    <x v="1"/>
    <n v="1589.46"/>
    <x v="0"/>
    <x v="21"/>
    <x v="1"/>
    <n v="150"/>
    <x v="0"/>
    <n v="-1589.46"/>
  </r>
  <r>
    <d v="2021-10-20T00:00:00"/>
    <x v="520"/>
    <x v="2"/>
    <n v="1970.41"/>
    <x v="0"/>
    <x v="21"/>
    <x v="1"/>
    <n v="1500"/>
    <x v="0"/>
    <n v="-1970.41"/>
  </r>
  <r>
    <d v="2021-10-21T00:00:00"/>
    <x v="521"/>
    <x v="6"/>
    <n v="1582.84"/>
    <x v="0"/>
    <x v="21"/>
    <x v="1"/>
    <n v="200"/>
    <x v="0"/>
    <n v="-1582.84"/>
  </r>
  <r>
    <d v="2021-10-22T00:00:00"/>
    <x v="522"/>
    <x v="5"/>
    <n v="4328"/>
    <x v="1"/>
    <x v="21"/>
    <x v="1"/>
    <n v="0"/>
    <x v="2"/>
    <n v="4328"/>
  </r>
  <r>
    <d v="2021-10-24T00:00:00"/>
    <x v="523"/>
    <x v="1"/>
    <n v="1227.78"/>
    <x v="0"/>
    <x v="21"/>
    <x v="1"/>
    <n v="150"/>
    <x v="0"/>
    <n v="-1227.78"/>
  </r>
  <r>
    <d v="2021-10-24T00:00:00"/>
    <x v="524"/>
    <x v="5"/>
    <n v="3761"/>
    <x v="1"/>
    <x v="21"/>
    <x v="1"/>
    <n v="0"/>
    <x v="2"/>
    <n v="3761"/>
  </r>
  <r>
    <d v="2021-10-27T00:00:00"/>
    <x v="525"/>
    <x v="8"/>
    <n v="1056.1300000000001"/>
    <x v="1"/>
    <x v="21"/>
    <x v="1"/>
    <n v="0"/>
    <x v="2"/>
    <n v="1056.1300000000001"/>
  </r>
  <r>
    <d v="2021-10-27T00:00:00"/>
    <x v="526"/>
    <x v="2"/>
    <n v="259.39999999999998"/>
    <x v="0"/>
    <x v="21"/>
    <x v="1"/>
    <n v="1500"/>
    <x v="1"/>
    <n v="-259.39999999999998"/>
  </r>
  <r>
    <d v="2021-10-30T00:00:00"/>
    <x v="527"/>
    <x v="2"/>
    <n v="905.45"/>
    <x v="0"/>
    <x v="21"/>
    <x v="1"/>
    <n v="1500"/>
    <x v="1"/>
    <n v="-905.45"/>
  </r>
  <r>
    <d v="2021-11-03T00:00:00"/>
    <x v="528"/>
    <x v="7"/>
    <n v="265.39"/>
    <x v="0"/>
    <x v="22"/>
    <x v="1"/>
    <n v="150"/>
    <x v="0"/>
    <n v="-265.39"/>
  </r>
  <r>
    <d v="2021-11-04T00:00:00"/>
    <x v="529"/>
    <x v="1"/>
    <n v="1537.89"/>
    <x v="0"/>
    <x v="22"/>
    <x v="1"/>
    <n v="150"/>
    <x v="0"/>
    <n v="-1537.89"/>
  </r>
  <r>
    <d v="2021-11-05T00:00:00"/>
    <x v="530"/>
    <x v="3"/>
    <n v="1517"/>
    <x v="1"/>
    <x v="22"/>
    <x v="1"/>
    <n v="0"/>
    <x v="2"/>
    <n v="1517"/>
  </r>
  <r>
    <d v="2021-11-05T00:00:00"/>
    <x v="531"/>
    <x v="9"/>
    <n v="337.67"/>
    <x v="0"/>
    <x v="22"/>
    <x v="1"/>
    <n v="200"/>
    <x v="0"/>
    <n v="-337.67"/>
  </r>
  <r>
    <d v="2021-11-06T00:00:00"/>
    <x v="532"/>
    <x v="6"/>
    <n v="698.59"/>
    <x v="0"/>
    <x v="22"/>
    <x v="1"/>
    <n v="200"/>
    <x v="0"/>
    <n v="-698.59"/>
  </r>
  <r>
    <d v="2021-11-07T00:00:00"/>
    <x v="533"/>
    <x v="9"/>
    <n v="1693.41"/>
    <x v="0"/>
    <x v="22"/>
    <x v="1"/>
    <n v="200"/>
    <x v="0"/>
    <n v="-1693.41"/>
  </r>
  <r>
    <d v="2021-11-10T00:00:00"/>
    <x v="534"/>
    <x v="9"/>
    <n v="259.08999999999997"/>
    <x v="0"/>
    <x v="22"/>
    <x v="1"/>
    <n v="200"/>
    <x v="0"/>
    <n v="-259.08999999999997"/>
  </r>
  <r>
    <d v="2021-11-15T00:00:00"/>
    <x v="535"/>
    <x v="2"/>
    <n v="1010.12"/>
    <x v="0"/>
    <x v="22"/>
    <x v="1"/>
    <n v="1500"/>
    <x v="1"/>
    <n v="-1010.12"/>
  </r>
  <r>
    <d v="2021-11-16T00:00:00"/>
    <x v="536"/>
    <x v="3"/>
    <n v="1902"/>
    <x v="1"/>
    <x v="22"/>
    <x v="1"/>
    <n v="0"/>
    <x v="2"/>
    <n v="1902"/>
  </r>
  <r>
    <d v="2021-11-17T00:00:00"/>
    <x v="537"/>
    <x v="7"/>
    <n v="1686.63"/>
    <x v="0"/>
    <x v="22"/>
    <x v="1"/>
    <n v="150"/>
    <x v="0"/>
    <n v="-1686.63"/>
  </r>
  <r>
    <d v="2021-11-18T00:00:00"/>
    <x v="538"/>
    <x v="0"/>
    <n v="171.63"/>
    <x v="0"/>
    <x v="22"/>
    <x v="1"/>
    <n v="500"/>
    <x v="1"/>
    <n v="-171.63"/>
  </r>
  <r>
    <d v="2021-11-18T00:00:00"/>
    <x v="539"/>
    <x v="9"/>
    <n v="1305.75"/>
    <x v="0"/>
    <x v="22"/>
    <x v="1"/>
    <n v="200"/>
    <x v="0"/>
    <n v="-1305.75"/>
  </r>
  <r>
    <d v="2021-11-19T00:00:00"/>
    <x v="540"/>
    <x v="4"/>
    <n v="1240.04"/>
    <x v="0"/>
    <x v="22"/>
    <x v="1"/>
    <n v="300"/>
    <x v="0"/>
    <n v="-1240.04"/>
  </r>
  <r>
    <d v="2021-11-21T00:00:00"/>
    <x v="541"/>
    <x v="5"/>
    <n v="2974"/>
    <x v="1"/>
    <x v="22"/>
    <x v="1"/>
    <n v="0"/>
    <x v="2"/>
    <n v="2974"/>
  </r>
  <r>
    <d v="2021-11-21T00:00:00"/>
    <x v="542"/>
    <x v="4"/>
    <n v="601.89"/>
    <x v="0"/>
    <x v="22"/>
    <x v="1"/>
    <n v="300"/>
    <x v="0"/>
    <n v="-601.89"/>
  </r>
  <r>
    <d v="2021-11-21T00:00:00"/>
    <x v="543"/>
    <x v="3"/>
    <n v="1794"/>
    <x v="1"/>
    <x v="22"/>
    <x v="1"/>
    <n v="0"/>
    <x v="2"/>
    <n v="1794"/>
  </r>
  <r>
    <d v="2021-11-23T00:00:00"/>
    <x v="544"/>
    <x v="8"/>
    <n v="934.24"/>
    <x v="1"/>
    <x v="22"/>
    <x v="1"/>
    <n v="0"/>
    <x v="2"/>
    <n v="934.24"/>
  </r>
  <r>
    <d v="2021-11-26T00:00:00"/>
    <x v="545"/>
    <x v="1"/>
    <n v="632.04"/>
    <x v="0"/>
    <x v="22"/>
    <x v="1"/>
    <n v="150"/>
    <x v="0"/>
    <n v="-632.04"/>
  </r>
  <r>
    <d v="2021-11-27T00:00:00"/>
    <x v="546"/>
    <x v="7"/>
    <n v="1950.99"/>
    <x v="0"/>
    <x v="22"/>
    <x v="1"/>
    <n v="150"/>
    <x v="0"/>
    <n v="-1950.99"/>
  </r>
  <r>
    <d v="2021-11-28T00:00:00"/>
    <x v="547"/>
    <x v="5"/>
    <n v="4718"/>
    <x v="1"/>
    <x v="22"/>
    <x v="1"/>
    <n v="0"/>
    <x v="2"/>
    <n v="4718"/>
  </r>
  <r>
    <d v="2021-12-01T00:00:00"/>
    <x v="548"/>
    <x v="7"/>
    <n v="491.06"/>
    <x v="0"/>
    <x v="23"/>
    <x v="1"/>
    <n v="150"/>
    <x v="0"/>
    <n v="-491.06"/>
  </r>
  <r>
    <d v="2021-12-02T00:00:00"/>
    <x v="549"/>
    <x v="5"/>
    <n v="2530"/>
    <x v="1"/>
    <x v="23"/>
    <x v="1"/>
    <n v="0"/>
    <x v="2"/>
    <n v="2530"/>
  </r>
  <r>
    <d v="2021-12-03T00:00:00"/>
    <x v="550"/>
    <x v="3"/>
    <n v="2877"/>
    <x v="1"/>
    <x v="23"/>
    <x v="1"/>
    <n v="0"/>
    <x v="2"/>
    <n v="2877"/>
  </r>
  <r>
    <d v="2021-12-03T00:00:00"/>
    <x v="551"/>
    <x v="4"/>
    <n v="504.06"/>
    <x v="0"/>
    <x v="23"/>
    <x v="1"/>
    <n v="300"/>
    <x v="0"/>
    <n v="-504.06"/>
  </r>
  <r>
    <d v="2021-12-08T00:00:00"/>
    <x v="552"/>
    <x v="1"/>
    <n v="1628.82"/>
    <x v="0"/>
    <x v="23"/>
    <x v="1"/>
    <n v="150"/>
    <x v="0"/>
    <n v="-1628.82"/>
  </r>
  <r>
    <d v="2021-12-09T00:00:00"/>
    <x v="553"/>
    <x v="7"/>
    <n v="387.77"/>
    <x v="0"/>
    <x v="23"/>
    <x v="1"/>
    <n v="150"/>
    <x v="0"/>
    <n v="-387.77"/>
  </r>
  <r>
    <d v="2021-12-09T00:00:00"/>
    <x v="554"/>
    <x v="5"/>
    <n v="4585"/>
    <x v="1"/>
    <x v="23"/>
    <x v="1"/>
    <n v="0"/>
    <x v="2"/>
    <n v="4585"/>
  </r>
  <r>
    <d v="2021-12-11T00:00:00"/>
    <x v="555"/>
    <x v="8"/>
    <n v="56.12"/>
    <x v="1"/>
    <x v="23"/>
    <x v="1"/>
    <n v="0"/>
    <x v="2"/>
    <n v="56.12"/>
  </r>
  <r>
    <d v="2021-12-12T00:00:00"/>
    <x v="556"/>
    <x v="8"/>
    <n v="1933.71"/>
    <x v="1"/>
    <x v="23"/>
    <x v="1"/>
    <n v="0"/>
    <x v="2"/>
    <n v="1933.71"/>
  </r>
  <r>
    <d v="2021-12-13T00:00:00"/>
    <x v="557"/>
    <x v="7"/>
    <n v="106.83"/>
    <x v="0"/>
    <x v="23"/>
    <x v="1"/>
    <n v="150"/>
    <x v="1"/>
    <n v="-106.83"/>
  </r>
  <r>
    <d v="2021-12-13T00:00:00"/>
    <x v="558"/>
    <x v="8"/>
    <n v="578.64"/>
    <x v="1"/>
    <x v="23"/>
    <x v="1"/>
    <n v="0"/>
    <x v="2"/>
    <n v="578.64"/>
  </r>
  <r>
    <d v="2021-12-15T00:00:00"/>
    <x v="559"/>
    <x v="3"/>
    <n v="4030"/>
    <x v="1"/>
    <x v="23"/>
    <x v="1"/>
    <n v="0"/>
    <x v="2"/>
    <n v="4030"/>
  </r>
  <r>
    <d v="2021-12-15T00:00:00"/>
    <x v="560"/>
    <x v="5"/>
    <n v="3496"/>
    <x v="1"/>
    <x v="23"/>
    <x v="1"/>
    <n v="0"/>
    <x v="2"/>
    <n v="3496"/>
  </r>
  <r>
    <d v="2021-12-16T00:00:00"/>
    <x v="561"/>
    <x v="7"/>
    <n v="100.03"/>
    <x v="0"/>
    <x v="23"/>
    <x v="1"/>
    <n v="150"/>
    <x v="1"/>
    <n v="-100.03"/>
  </r>
  <r>
    <d v="2021-12-19T00:00:00"/>
    <x v="562"/>
    <x v="3"/>
    <n v="3469"/>
    <x v="1"/>
    <x v="23"/>
    <x v="1"/>
    <n v="0"/>
    <x v="2"/>
    <n v="3469"/>
  </r>
  <r>
    <d v="2021-12-20T00:00:00"/>
    <x v="563"/>
    <x v="2"/>
    <n v="778.83"/>
    <x v="0"/>
    <x v="23"/>
    <x v="1"/>
    <n v="1500"/>
    <x v="1"/>
    <n v="-778.83"/>
  </r>
  <r>
    <d v="2021-12-20T00:00:00"/>
    <x v="564"/>
    <x v="9"/>
    <n v="1652.37"/>
    <x v="0"/>
    <x v="23"/>
    <x v="1"/>
    <n v="200"/>
    <x v="0"/>
    <n v="-1652.37"/>
  </r>
  <r>
    <d v="2021-12-23T00:00:00"/>
    <x v="565"/>
    <x v="2"/>
    <n v="266.04000000000002"/>
    <x v="0"/>
    <x v="23"/>
    <x v="1"/>
    <n v="1500"/>
    <x v="1"/>
    <n v="-266.04000000000002"/>
  </r>
  <r>
    <d v="2021-12-24T00:00:00"/>
    <x v="566"/>
    <x v="5"/>
    <n v="3277"/>
    <x v="1"/>
    <x v="23"/>
    <x v="1"/>
    <n v="0"/>
    <x v="2"/>
    <n v="3277"/>
  </r>
  <r>
    <d v="2021-12-26T00:00:00"/>
    <x v="567"/>
    <x v="7"/>
    <n v="1512.38"/>
    <x v="0"/>
    <x v="23"/>
    <x v="1"/>
    <n v="150"/>
    <x v="0"/>
    <n v="-1512.38"/>
  </r>
  <r>
    <d v="2021-12-28T00:00:00"/>
    <x v="568"/>
    <x v="5"/>
    <n v="4596"/>
    <x v="1"/>
    <x v="23"/>
    <x v="1"/>
    <n v="0"/>
    <x v="2"/>
    <n v="4596"/>
  </r>
  <r>
    <d v="2021-12-31T00:00:00"/>
    <x v="569"/>
    <x v="3"/>
    <n v="1622"/>
    <x v="1"/>
    <x v="23"/>
    <x v="1"/>
    <n v="0"/>
    <x v="2"/>
    <n v="1622"/>
  </r>
  <r>
    <d v="2022-01-01T00:00:00"/>
    <x v="570"/>
    <x v="8"/>
    <n v="1043.47"/>
    <x v="1"/>
    <x v="24"/>
    <x v="2"/>
    <n v="0"/>
    <x v="2"/>
    <n v="1043.47"/>
  </r>
  <r>
    <d v="2022-01-03T00:00:00"/>
    <x v="571"/>
    <x v="3"/>
    <n v="3186"/>
    <x v="1"/>
    <x v="24"/>
    <x v="2"/>
    <n v="0"/>
    <x v="2"/>
    <n v="3186"/>
  </r>
  <r>
    <d v="2022-01-03T00:00:00"/>
    <x v="572"/>
    <x v="7"/>
    <n v="333.38"/>
    <x v="0"/>
    <x v="24"/>
    <x v="2"/>
    <n v="150"/>
    <x v="0"/>
    <n v="-333.38"/>
  </r>
  <r>
    <d v="2022-01-03T00:00:00"/>
    <x v="573"/>
    <x v="9"/>
    <n v="1191.51"/>
    <x v="0"/>
    <x v="24"/>
    <x v="2"/>
    <n v="200"/>
    <x v="0"/>
    <n v="-1191.51"/>
  </r>
  <r>
    <d v="2022-01-04T00:00:00"/>
    <x v="574"/>
    <x v="8"/>
    <n v="1420.39"/>
    <x v="1"/>
    <x v="24"/>
    <x v="2"/>
    <n v="0"/>
    <x v="2"/>
    <n v="1420.39"/>
  </r>
  <r>
    <d v="2022-01-05T00:00:00"/>
    <x v="575"/>
    <x v="0"/>
    <n v="743.03"/>
    <x v="0"/>
    <x v="24"/>
    <x v="2"/>
    <n v="500"/>
    <x v="0"/>
    <n v="-743.03"/>
  </r>
  <r>
    <d v="2022-01-06T00:00:00"/>
    <x v="576"/>
    <x v="4"/>
    <n v="1171.57"/>
    <x v="0"/>
    <x v="24"/>
    <x v="2"/>
    <n v="300"/>
    <x v="0"/>
    <n v="-1171.57"/>
  </r>
  <r>
    <d v="2022-01-08T00:00:00"/>
    <x v="577"/>
    <x v="0"/>
    <n v="1197.8499999999999"/>
    <x v="0"/>
    <x v="24"/>
    <x v="2"/>
    <n v="500"/>
    <x v="0"/>
    <n v="-1197.8499999999999"/>
  </r>
  <r>
    <d v="2022-01-09T00:00:00"/>
    <x v="578"/>
    <x v="6"/>
    <n v="1445.59"/>
    <x v="0"/>
    <x v="24"/>
    <x v="2"/>
    <n v="200"/>
    <x v="0"/>
    <n v="-1445.59"/>
  </r>
  <r>
    <d v="2022-01-13T00:00:00"/>
    <x v="579"/>
    <x v="1"/>
    <n v="1053.22"/>
    <x v="0"/>
    <x v="24"/>
    <x v="2"/>
    <n v="150"/>
    <x v="0"/>
    <n v="-1053.22"/>
  </r>
  <r>
    <d v="2022-01-13T00:00:00"/>
    <x v="580"/>
    <x v="4"/>
    <n v="304.07"/>
    <x v="0"/>
    <x v="24"/>
    <x v="2"/>
    <n v="300"/>
    <x v="0"/>
    <n v="-304.07"/>
  </r>
  <r>
    <d v="2022-01-14T00:00:00"/>
    <x v="581"/>
    <x v="0"/>
    <n v="1149.4100000000001"/>
    <x v="0"/>
    <x v="24"/>
    <x v="2"/>
    <n v="500"/>
    <x v="0"/>
    <n v="-1149.4100000000001"/>
  </r>
  <r>
    <d v="2022-01-16T00:00:00"/>
    <x v="582"/>
    <x v="6"/>
    <n v="47.69"/>
    <x v="0"/>
    <x v="24"/>
    <x v="2"/>
    <n v="200"/>
    <x v="1"/>
    <n v="-47.69"/>
  </r>
  <r>
    <d v="2022-01-16T00:00:00"/>
    <x v="583"/>
    <x v="1"/>
    <n v="831.79"/>
    <x v="0"/>
    <x v="24"/>
    <x v="2"/>
    <n v="150"/>
    <x v="0"/>
    <n v="-831.79"/>
  </r>
  <r>
    <d v="2022-01-18T00:00:00"/>
    <x v="584"/>
    <x v="8"/>
    <n v="1746.91"/>
    <x v="1"/>
    <x v="24"/>
    <x v="2"/>
    <n v="0"/>
    <x v="2"/>
    <n v="1746.91"/>
  </r>
  <r>
    <d v="2022-01-18T00:00:00"/>
    <x v="585"/>
    <x v="0"/>
    <n v="1414.49"/>
    <x v="0"/>
    <x v="24"/>
    <x v="2"/>
    <n v="500"/>
    <x v="0"/>
    <n v="-1414.49"/>
  </r>
  <r>
    <d v="2022-01-21T00:00:00"/>
    <x v="586"/>
    <x v="7"/>
    <n v="1996.26"/>
    <x v="0"/>
    <x v="24"/>
    <x v="2"/>
    <n v="150"/>
    <x v="0"/>
    <n v="-1996.26"/>
  </r>
  <r>
    <d v="2022-01-21T00:00:00"/>
    <x v="587"/>
    <x v="4"/>
    <n v="634.37"/>
    <x v="0"/>
    <x v="24"/>
    <x v="2"/>
    <n v="300"/>
    <x v="0"/>
    <n v="-634.37"/>
  </r>
  <r>
    <d v="2022-01-22T00:00:00"/>
    <x v="588"/>
    <x v="5"/>
    <n v="4975"/>
    <x v="1"/>
    <x v="24"/>
    <x v="2"/>
    <n v="0"/>
    <x v="2"/>
    <n v="4975"/>
  </r>
  <r>
    <d v="2022-01-23T00:00:00"/>
    <x v="589"/>
    <x v="9"/>
    <n v="1224.05"/>
    <x v="0"/>
    <x v="24"/>
    <x v="2"/>
    <n v="200"/>
    <x v="0"/>
    <n v="-1224.05"/>
  </r>
  <r>
    <d v="2022-01-24T00:00:00"/>
    <x v="590"/>
    <x v="3"/>
    <n v="2785"/>
    <x v="1"/>
    <x v="24"/>
    <x v="2"/>
    <n v="0"/>
    <x v="2"/>
    <n v="2785"/>
  </r>
  <r>
    <d v="2022-01-28T00:00:00"/>
    <x v="591"/>
    <x v="6"/>
    <n v="1883.56"/>
    <x v="0"/>
    <x v="24"/>
    <x v="2"/>
    <n v="200"/>
    <x v="0"/>
    <n v="-1883.56"/>
  </r>
  <r>
    <d v="2022-02-01T00:00:00"/>
    <x v="592"/>
    <x v="9"/>
    <n v="1412.75"/>
    <x v="0"/>
    <x v="25"/>
    <x v="2"/>
    <n v="200"/>
    <x v="0"/>
    <n v="-1412.75"/>
  </r>
  <r>
    <d v="2022-02-02T00:00:00"/>
    <x v="593"/>
    <x v="8"/>
    <n v="640.91"/>
    <x v="1"/>
    <x v="25"/>
    <x v="2"/>
    <n v="0"/>
    <x v="2"/>
    <n v="640.91"/>
  </r>
  <r>
    <d v="2022-02-05T00:00:00"/>
    <x v="594"/>
    <x v="9"/>
    <n v="582.70000000000005"/>
    <x v="0"/>
    <x v="25"/>
    <x v="2"/>
    <n v="200"/>
    <x v="0"/>
    <n v="-582.70000000000005"/>
  </r>
  <r>
    <d v="2022-02-05T00:00:00"/>
    <x v="595"/>
    <x v="4"/>
    <n v="1792.56"/>
    <x v="0"/>
    <x v="25"/>
    <x v="2"/>
    <n v="300"/>
    <x v="0"/>
    <n v="-1792.56"/>
  </r>
  <r>
    <d v="2022-02-06T00:00:00"/>
    <x v="596"/>
    <x v="7"/>
    <n v="1909.67"/>
    <x v="0"/>
    <x v="25"/>
    <x v="2"/>
    <n v="150"/>
    <x v="0"/>
    <n v="-1909.67"/>
  </r>
  <r>
    <d v="2022-02-08T00:00:00"/>
    <x v="597"/>
    <x v="9"/>
    <n v="93.71"/>
    <x v="0"/>
    <x v="25"/>
    <x v="2"/>
    <n v="200"/>
    <x v="1"/>
    <n v="-93.71"/>
  </r>
  <r>
    <d v="2022-02-08T00:00:00"/>
    <x v="598"/>
    <x v="2"/>
    <n v="699.26"/>
    <x v="0"/>
    <x v="25"/>
    <x v="2"/>
    <n v="1500"/>
    <x v="1"/>
    <n v="-699.26"/>
  </r>
  <r>
    <d v="2022-02-09T00:00:00"/>
    <x v="599"/>
    <x v="9"/>
    <n v="1497.2"/>
    <x v="0"/>
    <x v="25"/>
    <x v="2"/>
    <n v="200"/>
    <x v="0"/>
    <n v="-1497.2"/>
  </r>
  <r>
    <d v="2022-02-10T00:00:00"/>
    <x v="600"/>
    <x v="9"/>
    <n v="1866.72"/>
    <x v="0"/>
    <x v="25"/>
    <x v="2"/>
    <n v="200"/>
    <x v="0"/>
    <n v="-1866.72"/>
  </r>
  <r>
    <d v="2022-02-10T00:00:00"/>
    <x v="601"/>
    <x v="1"/>
    <n v="227.36"/>
    <x v="0"/>
    <x v="25"/>
    <x v="2"/>
    <n v="150"/>
    <x v="0"/>
    <n v="-227.36"/>
  </r>
  <r>
    <d v="2022-02-10T00:00:00"/>
    <x v="602"/>
    <x v="6"/>
    <n v="492.49"/>
    <x v="0"/>
    <x v="25"/>
    <x v="2"/>
    <n v="200"/>
    <x v="0"/>
    <n v="-492.49"/>
  </r>
  <r>
    <d v="2022-02-10T00:00:00"/>
    <x v="603"/>
    <x v="6"/>
    <n v="1279.51"/>
    <x v="0"/>
    <x v="25"/>
    <x v="2"/>
    <n v="200"/>
    <x v="0"/>
    <n v="-1279.51"/>
  </r>
  <r>
    <d v="2022-02-11T00:00:00"/>
    <x v="604"/>
    <x v="5"/>
    <n v="3205"/>
    <x v="1"/>
    <x v="25"/>
    <x v="2"/>
    <n v="0"/>
    <x v="2"/>
    <n v="3205"/>
  </r>
  <r>
    <d v="2022-02-14T00:00:00"/>
    <x v="605"/>
    <x v="2"/>
    <n v="1365.57"/>
    <x v="0"/>
    <x v="25"/>
    <x v="2"/>
    <n v="1500"/>
    <x v="1"/>
    <n v="-1365.57"/>
  </r>
  <r>
    <d v="2022-02-17T00:00:00"/>
    <x v="606"/>
    <x v="3"/>
    <n v="3833"/>
    <x v="1"/>
    <x v="25"/>
    <x v="2"/>
    <n v="0"/>
    <x v="2"/>
    <n v="3833"/>
  </r>
  <r>
    <d v="2022-02-17T00:00:00"/>
    <x v="607"/>
    <x v="8"/>
    <n v="960.12"/>
    <x v="1"/>
    <x v="25"/>
    <x v="2"/>
    <n v="0"/>
    <x v="2"/>
    <n v="960.12"/>
  </r>
  <r>
    <d v="2022-02-17T00:00:00"/>
    <x v="608"/>
    <x v="5"/>
    <n v="3131"/>
    <x v="1"/>
    <x v="25"/>
    <x v="2"/>
    <n v="0"/>
    <x v="2"/>
    <n v="3131"/>
  </r>
  <r>
    <d v="2022-02-17T00:00:00"/>
    <x v="609"/>
    <x v="0"/>
    <n v="1816.79"/>
    <x v="0"/>
    <x v="25"/>
    <x v="2"/>
    <n v="500"/>
    <x v="0"/>
    <n v="-1816.79"/>
  </r>
  <r>
    <d v="2022-02-18T00:00:00"/>
    <x v="610"/>
    <x v="3"/>
    <n v="4883"/>
    <x v="1"/>
    <x v="25"/>
    <x v="2"/>
    <n v="0"/>
    <x v="2"/>
    <n v="4883"/>
  </r>
  <r>
    <d v="2022-02-21T00:00:00"/>
    <x v="611"/>
    <x v="0"/>
    <n v="1827.33"/>
    <x v="0"/>
    <x v="25"/>
    <x v="2"/>
    <n v="500"/>
    <x v="0"/>
    <n v="-1827.33"/>
  </r>
  <r>
    <d v="2022-02-22T00:00:00"/>
    <x v="612"/>
    <x v="3"/>
    <n v="797"/>
    <x v="1"/>
    <x v="25"/>
    <x v="2"/>
    <n v="0"/>
    <x v="2"/>
    <n v="797"/>
  </r>
  <r>
    <d v="2022-02-22T00:00:00"/>
    <x v="613"/>
    <x v="4"/>
    <n v="1578.04"/>
    <x v="0"/>
    <x v="25"/>
    <x v="2"/>
    <n v="300"/>
    <x v="0"/>
    <n v="-1578.04"/>
  </r>
  <r>
    <d v="2022-02-25T00:00:00"/>
    <x v="614"/>
    <x v="5"/>
    <n v="806"/>
    <x v="1"/>
    <x v="25"/>
    <x v="2"/>
    <n v="0"/>
    <x v="2"/>
    <n v="806"/>
  </r>
  <r>
    <d v="2022-02-27T00:00:00"/>
    <x v="615"/>
    <x v="3"/>
    <n v="3244"/>
    <x v="1"/>
    <x v="25"/>
    <x v="2"/>
    <n v="0"/>
    <x v="2"/>
    <n v="3244"/>
  </r>
  <r>
    <d v="2022-03-01T00:00:00"/>
    <x v="616"/>
    <x v="8"/>
    <n v="1779.63"/>
    <x v="1"/>
    <x v="26"/>
    <x v="2"/>
    <n v="0"/>
    <x v="2"/>
    <n v="1779.63"/>
  </r>
  <r>
    <d v="2022-03-02T00:00:00"/>
    <x v="617"/>
    <x v="5"/>
    <n v="2735"/>
    <x v="1"/>
    <x v="26"/>
    <x v="2"/>
    <n v="0"/>
    <x v="2"/>
    <n v="2735"/>
  </r>
  <r>
    <d v="2022-03-04T00:00:00"/>
    <x v="618"/>
    <x v="3"/>
    <n v="3208"/>
    <x v="1"/>
    <x v="26"/>
    <x v="2"/>
    <n v="0"/>
    <x v="2"/>
    <n v="3208"/>
  </r>
  <r>
    <d v="2022-03-05T00:00:00"/>
    <x v="619"/>
    <x v="5"/>
    <n v="2607"/>
    <x v="1"/>
    <x v="26"/>
    <x v="2"/>
    <n v="0"/>
    <x v="2"/>
    <n v="2607"/>
  </r>
  <r>
    <d v="2022-03-07T00:00:00"/>
    <x v="620"/>
    <x v="0"/>
    <n v="1475.87"/>
    <x v="0"/>
    <x v="26"/>
    <x v="2"/>
    <n v="500"/>
    <x v="0"/>
    <n v="-1475.87"/>
  </r>
  <r>
    <d v="2022-03-07T00:00:00"/>
    <x v="621"/>
    <x v="6"/>
    <n v="359.23"/>
    <x v="0"/>
    <x v="26"/>
    <x v="2"/>
    <n v="200"/>
    <x v="0"/>
    <n v="-359.23"/>
  </r>
  <r>
    <d v="2022-03-12T00:00:00"/>
    <x v="622"/>
    <x v="4"/>
    <n v="1655.71"/>
    <x v="0"/>
    <x v="26"/>
    <x v="2"/>
    <n v="300"/>
    <x v="0"/>
    <n v="-1655.71"/>
  </r>
  <r>
    <d v="2022-03-14T00:00:00"/>
    <x v="623"/>
    <x v="2"/>
    <n v="807.66"/>
    <x v="0"/>
    <x v="26"/>
    <x v="2"/>
    <n v="1500"/>
    <x v="1"/>
    <n v="-807.66"/>
  </r>
  <r>
    <d v="2022-03-17T00:00:00"/>
    <x v="624"/>
    <x v="3"/>
    <n v="4411"/>
    <x v="1"/>
    <x v="26"/>
    <x v="2"/>
    <n v="0"/>
    <x v="2"/>
    <n v="4411"/>
  </r>
  <r>
    <d v="2022-03-17T00:00:00"/>
    <x v="625"/>
    <x v="6"/>
    <n v="23.59"/>
    <x v="0"/>
    <x v="26"/>
    <x v="2"/>
    <n v="200"/>
    <x v="1"/>
    <n v="-23.59"/>
  </r>
  <r>
    <d v="2022-03-18T00:00:00"/>
    <x v="626"/>
    <x v="8"/>
    <n v="1509.98"/>
    <x v="1"/>
    <x v="26"/>
    <x v="2"/>
    <n v="0"/>
    <x v="2"/>
    <n v="1509.98"/>
  </r>
  <r>
    <d v="2022-03-18T00:00:00"/>
    <x v="627"/>
    <x v="9"/>
    <n v="1169.0999999999999"/>
    <x v="0"/>
    <x v="26"/>
    <x v="2"/>
    <n v="200"/>
    <x v="0"/>
    <n v="-1169.0999999999999"/>
  </r>
  <r>
    <d v="2022-03-18T00:00:00"/>
    <x v="628"/>
    <x v="9"/>
    <n v="1310.83"/>
    <x v="0"/>
    <x v="26"/>
    <x v="2"/>
    <n v="200"/>
    <x v="0"/>
    <n v="-1310.83"/>
  </r>
  <r>
    <d v="2022-03-20T00:00:00"/>
    <x v="629"/>
    <x v="0"/>
    <n v="1338.89"/>
    <x v="0"/>
    <x v="26"/>
    <x v="2"/>
    <n v="500"/>
    <x v="0"/>
    <n v="-1338.89"/>
  </r>
  <r>
    <d v="2022-03-20T00:00:00"/>
    <x v="630"/>
    <x v="1"/>
    <n v="816.78"/>
    <x v="0"/>
    <x v="26"/>
    <x v="2"/>
    <n v="150"/>
    <x v="0"/>
    <n v="-816.78"/>
  </r>
  <r>
    <d v="2022-03-22T00:00:00"/>
    <x v="631"/>
    <x v="9"/>
    <n v="1383.68"/>
    <x v="0"/>
    <x v="26"/>
    <x v="2"/>
    <n v="200"/>
    <x v="0"/>
    <n v="-1383.68"/>
  </r>
  <r>
    <d v="2022-03-23T00:00:00"/>
    <x v="632"/>
    <x v="9"/>
    <n v="741.41"/>
    <x v="0"/>
    <x v="26"/>
    <x v="2"/>
    <n v="200"/>
    <x v="0"/>
    <n v="-741.41"/>
  </r>
  <r>
    <d v="2022-03-23T00:00:00"/>
    <x v="633"/>
    <x v="1"/>
    <n v="961.58"/>
    <x v="0"/>
    <x v="26"/>
    <x v="2"/>
    <n v="150"/>
    <x v="0"/>
    <n v="-961.58"/>
  </r>
  <r>
    <d v="2022-03-24T00:00:00"/>
    <x v="634"/>
    <x v="7"/>
    <n v="837.53"/>
    <x v="0"/>
    <x v="26"/>
    <x v="2"/>
    <n v="150"/>
    <x v="0"/>
    <n v="-837.53"/>
  </r>
  <r>
    <d v="2022-03-25T00:00:00"/>
    <x v="635"/>
    <x v="8"/>
    <n v="1517.13"/>
    <x v="1"/>
    <x v="26"/>
    <x v="2"/>
    <n v="0"/>
    <x v="2"/>
    <n v="1517.13"/>
  </r>
  <r>
    <d v="2022-03-26T00:00:00"/>
    <x v="636"/>
    <x v="6"/>
    <n v="1526.1"/>
    <x v="0"/>
    <x v="26"/>
    <x v="2"/>
    <n v="200"/>
    <x v="0"/>
    <n v="-1526.1"/>
  </r>
  <r>
    <d v="2022-03-27T00:00:00"/>
    <x v="637"/>
    <x v="2"/>
    <n v="1055.76"/>
    <x v="0"/>
    <x v="26"/>
    <x v="2"/>
    <n v="1500"/>
    <x v="1"/>
    <n v="-1055.76"/>
  </r>
  <r>
    <d v="2022-03-28T00:00:00"/>
    <x v="638"/>
    <x v="7"/>
    <n v="165.42"/>
    <x v="0"/>
    <x v="26"/>
    <x v="2"/>
    <n v="150"/>
    <x v="0"/>
    <n v="-165.42"/>
  </r>
  <r>
    <d v="2022-03-28T00:00:00"/>
    <x v="639"/>
    <x v="0"/>
    <n v="1659.26"/>
    <x v="0"/>
    <x v="26"/>
    <x v="2"/>
    <n v="500"/>
    <x v="0"/>
    <n v="-1659.26"/>
  </r>
  <r>
    <d v="2022-03-28T00:00:00"/>
    <x v="640"/>
    <x v="6"/>
    <n v="1149.68"/>
    <x v="0"/>
    <x v="26"/>
    <x v="2"/>
    <n v="200"/>
    <x v="0"/>
    <n v="-1149.68"/>
  </r>
  <r>
    <d v="2022-03-28T00:00:00"/>
    <x v="641"/>
    <x v="5"/>
    <n v="4762"/>
    <x v="1"/>
    <x v="26"/>
    <x v="2"/>
    <n v="0"/>
    <x v="2"/>
    <n v="4762"/>
  </r>
  <r>
    <d v="2022-03-29T00:00:00"/>
    <x v="642"/>
    <x v="6"/>
    <n v="1436.67"/>
    <x v="0"/>
    <x v="26"/>
    <x v="2"/>
    <n v="200"/>
    <x v="0"/>
    <n v="-1436.67"/>
  </r>
  <r>
    <d v="2022-03-29T00:00:00"/>
    <x v="643"/>
    <x v="8"/>
    <n v="1619.3"/>
    <x v="1"/>
    <x v="26"/>
    <x v="2"/>
    <n v="0"/>
    <x v="2"/>
    <n v="1619.3"/>
  </r>
  <r>
    <d v="2022-03-31T00:00:00"/>
    <x v="644"/>
    <x v="4"/>
    <n v="919.03"/>
    <x v="0"/>
    <x v="26"/>
    <x v="2"/>
    <n v="300"/>
    <x v="0"/>
    <n v="-919.03"/>
  </r>
  <r>
    <d v="2022-03-31T00:00:00"/>
    <x v="645"/>
    <x v="5"/>
    <n v="3024"/>
    <x v="1"/>
    <x v="26"/>
    <x v="2"/>
    <n v="0"/>
    <x v="2"/>
    <n v="3024"/>
  </r>
  <r>
    <d v="2022-03-31T00:00:00"/>
    <x v="646"/>
    <x v="4"/>
    <n v="516.37"/>
    <x v="0"/>
    <x v="26"/>
    <x v="2"/>
    <n v="300"/>
    <x v="0"/>
    <n v="-516.37"/>
  </r>
  <r>
    <d v="2022-04-01T00:00:00"/>
    <x v="647"/>
    <x v="3"/>
    <n v="1098"/>
    <x v="1"/>
    <x v="27"/>
    <x v="2"/>
    <n v="0"/>
    <x v="2"/>
    <n v="1098"/>
  </r>
  <r>
    <d v="2022-04-01T00:00:00"/>
    <x v="648"/>
    <x v="5"/>
    <n v="1022"/>
    <x v="1"/>
    <x v="27"/>
    <x v="2"/>
    <n v="0"/>
    <x v="2"/>
    <n v="1022"/>
  </r>
  <r>
    <d v="2022-04-01T00:00:00"/>
    <x v="649"/>
    <x v="0"/>
    <n v="1869.82"/>
    <x v="0"/>
    <x v="27"/>
    <x v="2"/>
    <n v="500"/>
    <x v="0"/>
    <n v="-1869.82"/>
  </r>
  <r>
    <d v="2022-04-01T00:00:00"/>
    <x v="650"/>
    <x v="5"/>
    <n v="759"/>
    <x v="1"/>
    <x v="27"/>
    <x v="2"/>
    <n v="0"/>
    <x v="2"/>
    <n v="759"/>
  </r>
  <r>
    <d v="2022-04-02T00:00:00"/>
    <x v="651"/>
    <x v="1"/>
    <n v="1540.25"/>
    <x v="0"/>
    <x v="27"/>
    <x v="2"/>
    <n v="150"/>
    <x v="0"/>
    <n v="-1540.25"/>
  </r>
  <r>
    <d v="2022-04-02T00:00:00"/>
    <x v="652"/>
    <x v="4"/>
    <n v="755.18"/>
    <x v="0"/>
    <x v="27"/>
    <x v="2"/>
    <n v="300"/>
    <x v="0"/>
    <n v="-755.18"/>
  </r>
  <r>
    <d v="2022-04-03T00:00:00"/>
    <x v="653"/>
    <x v="8"/>
    <n v="1740.54"/>
    <x v="1"/>
    <x v="27"/>
    <x v="2"/>
    <n v="0"/>
    <x v="2"/>
    <n v="1740.54"/>
  </r>
  <r>
    <d v="2022-04-03T00:00:00"/>
    <x v="654"/>
    <x v="4"/>
    <n v="169.7"/>
    <x v="0"/>
    <x v="27"/>
    <x v="2"/>
    <n v="300"/>
    <x v="1"/>
    <n v="-169.7"/>
  </r>
  <r>
    <d v="2022-04-04T00:00:00"/>
    <x v="655"/>
    <x v="1"/>
    <n v="1310.53"/>
    <x v="0"/>
    <x v="27"/>
    <x v="2"/>
    <n v="150"/>
    <x v="0"/>
    <n v="-1310.53"/>
  </r>
  <r>
    <d v="2022-04-05T00:00:00"/>
    <x v="656"/>
    <x v="1"/>
    <n v="1985.77"/>
    <x v="0"/>
    <x v="27"/>
    <x v="2"/>
    <n v="150"/>
    <x v="0"/>
    <n v="-1985.77"/>
  </r>
  <r>
    <d v="2022-04-08T00:00:00"/>
    <x v="657"/>
    <x v="1"/>
    <n v="1458.44"/>
    <x v="0"/>
    <x v="27"/>
    <x v="2"/>
    <n v="150"/>
    <x v="0"/>
    <n v="-1458.44"/>
  </r>
  <r>
    <d v="2022-04-09T00:00:00"/>
    <x v="658"/>
    <x v="0"/>
    <n v="1514.8"/>
    <x v="0"/>
    <x v="27"/>
    <x v="2"/>
    <n v="500"/>
    <x v="0"/>
    <n v="-1514.8"/>
  </r>
  <r>
    <d v="2022-04-09T00:00:00"/>
    <x v="659"/>
    <x v="8"/>
    <n v="1350.26"/>
    <x v="1"/>
    <x v="27"/>
    <x v="2"/>
    <n v="0"/>
    <x v="2"/>
    <n v="1350.26"/>
  </r>
  <r>
    <d v="2022-04-10T00:00:00"/>
    <x v="660"/>
    <x v="4"/>
    <n v="1648.49"/>
    <x v="0"/>
    <x v="27"/>
    <x v="2"/>
    <n v="300"/>
    <x v="0"/>
    <n v="-1648.49"/>
  </r>
  <r>
    <d v="2022-04-10T00:00:00"/>
    <x v="661"/>
    <x v="7"/>
    <n v="318.69"/>
    <x v="0"/>
    <x v="27"/>
    <x v="2"/>
    <n v="150"/>
    <x v="0"/>
    <n v="-318.69"/>
  </r>
  <r>
    <d v="2022-04-16T00:00:00"/>
    <x v="662"/>
    <x v="3"/>
    <n v="763"/>
    <x v="1"/>
    <x v="27"/>
    <x v="2"/>
    <n v="0"/>
    <x v="2"/>
    <n v="763"/>
  </r>
  <r>
    <d v="2022-04-18T00:00:00"/>
    <x v="663"/>
    <x v="4"/>
    <n v="1233.7"/>
    <x v="0"/>
    <x v="27"/>
    <x v="2"/>
    <n v="300"/>
    <x v="0"/>
    <n v="-1233.7"/>
  </r>
  <r>
    <d v="2022-04-18T00:00:00"/>
    <x v="664"/>
    <x v="0"/>
    <n v="488.93"/>
    <x v="0"/>
    <x v="27"/>
    <x v="2"/>
    <n v="500"/>
    <x v="1"/>
    <n v="-488.93"/>
  </r>
  <r>
    <d v="2022-04-21T00:00:00"/>
    <x v="665"/>
    <x v="3"/>
    <n v="4157"/>
    <x v="1"/>
    <x v="27"/>
    <x v="2"/>
    <n v="0"/>
    <x v="2"/>
    <n v="4157"/>
  </r>
  <r>
    <d v="2022-04-22T00:00:00"/>
    <x v="666"/>
    <x v="0"/>
    <n v="497.02"/>
    <x v="0"/>
    <x v="27"/>
    <x v="2"/>
    <n v="500"/>
    <x v="1"/>
    <n v="-497.02"/>
  </r>
  <r>
    <d v="2022-04-22T00:00:00"/>
    <x v="667"/>
    <x v="5"/>
    <n v="2419"/>
    <x v="1"/>
    <x v="27"/>
    <x v="2"/>
    <n v="0"/>
    <x v="2"/>
    <n v="2419"/>
  </r>
  <r>
    <d v="2022-04-24T00:00:00"/>
    <x v="668"/>
    <x v="0"/>
    <n v="288.87"/>
    <x v="0"/>
    <x v="27"/>
    <x v="2"/>
    <n v="500"/>
    <x v="1"/>
    <n v="-288.87"/>
  </r>
  <r>
    <d v="2022-04-24T00:00:00"/>
    <x v="669"/>
    <x v="6"/>
    <n v="1633.41"/>
    <x v="0"/>
    <x v="27"/>
    <x v="2"/>
    <n v="200"/>
    <x v="0"/>
    <n v="-1633.41"/>
  </r>
  <r>
    <d v="2022-04-29T00:00:00"/>
    <x v="670"/>
    <x v="7"/>
    <n v="1159.17"/>
    <x v="0"/>
    <x v="27"/>
    <x v="2"/>
    <n v="150"/>
    <x v="0"/>
    <n v="-1159.17"/>
  </r>
  <r>
    <d v="2022-04-30T00:00:00"/>
    <x v="671"/>
    <x v="7"/>
    <n v="481.44"/>
    <x v="0"/>
    <x v="27"/>
    <x v="2"/>
    <n v="150"/>
    <x v="0"/>
    <n v="-481.44"/>
  </r>
  <r>
    <d v="2022-05-02T00:00:00"/>
    <x v="672"/>
    <x v="6"/>
    <n v="832.98"/>
    <x v="0"/>
    <x v="28"/>
    <x v="2"/>
    <n v="200"/>
    <x v="0"/>
    <n v="-832.98"/>
  </r>
  <r>
    <d v="2022-05-02T00:00:00"/>
    <x v="673"/>
    <x v="1"/>
    <n v="1255.73"/>
    <x v="0"/>
    <x v="28"/>
    <x v="2"/>
    <n v="150"/>
    <x v="0"/>
    <n v="-1255.73"/>
  </r>
  <r>
    <d v="2022-05-03T00:00:00"/>
    <x v="674"/>
    <x v="8"/>
    <n v="103.3"/>
    <x v="1"/>
    <x v="28"/>
    <x v="2"/>
    <n v="0"/>
    <x v="2"/>
    <n v="103.3"/>
  </r>
  <r>
    <d v="2022-05-05T00:00:00"/>
    <x v="675"/>
    <x v="4"/>
    <n v="1573.75"/>
    <x v="0"/>
    <x v="28"/>
    <x v="2"/>
    <n v="300"/>
    <x v="0"/>
    <n v="-1573.75"/>
  </r>
  <r>
    <d v="2022-05-05T00:00:00"/>
    <x v="676"/>
    <x v="4"/>
    <n v="822.44"/>
    <x v="0"/>
    <x v="28"/>
    <x v="2"/>
    <n v="300"/>
    <x v="0"/>
    <n v="-822.44"/>
  </r>
  <r>
    <d v="2022-05-06T00:00:00"/>
    <x v="677"/>
    <x v="1"/>
    <n v="1511.29"/>
    <x v="0"/>
    <x v="28"/>
    <x v="2"/>
    <n v="150"/>
    <x v="0"/>
    <n v="-1511.29"/>
  </r>
  <r>
    <d v="2022-05-07T00:00:00"/>
    <x v="678"/>
    <x v="6"/>
    <n v="608.47"/>
    <x v="0"/>
    <x v="28"/>
    <x v="2"/>
    <n v="200"/>
    <x v="0"/>
    <n v="-608.47"/>
  </r>
  <r>
    <d v="2022-05-07T00:00:00"/>
    <x v="679"/>
    <x v="8"/>
    <n v="1830.33"/>
    <x v="1"/>
    <x v="28"/>
    <x v="2"/>
    <n v="0"/>
    <x v="2"/>
    <n v="1830.33"/>
  </r>
  <r>
    <d v="2022-05-07T00:00:00"/>
    <x v="680"/>
    <x v="4"/>
    <n v="1119"/>
    <x v="0"/>
    <x v="28"/>
    <x v="2"/>
    <n v="300"/>
    <x v="0"/>
    <n v="-1119"/>
  </r>
  <r>
    <d v="2022-05-08T00:00:00"/>
    <x v="681"/>
    <x v="3"/>
    <n v="2588"/>
    <x v="1"/>
    <x v="28"/>
    <x v="2"/>
    <n v="0"/>
    <x v="2"/>
    <n v="2588"/>
  </r>
  <r>
    <d v="2022-05-08T00:00:00"/>
    <x v="682"/>
    <x v="2"/>
    <n v="1845.23"/>
    <x v="0"/>
    <x v="28"/>
    <x v="2"/>
    <n v="1500"/>
    <x v="0"/>
    <n v="-1845.23"/>
  </r>
  <r>
    <d v="2022-05-09T00:00:00"/>
    <x v="683"/>
    <x v="2"/>
    <n v="1075.9100000000001"/>
    <x v="0"/>
    <x v="28"/>
    <x v="2"/>
    <n v="1500"/>
    <x v="1"/>
    <n v="-1075.9100000000001"/>
  </r>
  <r>
    <d v="2022-05-09T00:00:00"/>
    <x v="684"/>
    <x v="0"/>
    <n v="544.24"/>
    <x v="0"/>
    <x v="28"/>
    <x v="2"/>
    <n v="500"/>
    <x v="0"/>
    <n v="-544.24"/>
  </r>
  <r>
    <d v="2022-05-11T00:00:00"/>
    <x v="685"/>
    <x v="0"/>
    <n v="1748.5"/>
    <x v="0"/>
    <x v="28"/>
    <x v="2"/>
    <n v="500"/>
    <x v="0"/>
    <n v="-1748.5"/>
  </r>
  <r>
    <d v="2022-05-13T00:00:00"/>
    <x v="686"/>
    <x v="3"/>
    <n v="4427"/>
    <x v="1"/>
    <x v="28"/>
    <x v="2"/>
    <n v="0"/>
    <x v="2"/>
    <n v="4427"/>
  </r>
  <r>
    <d v="2022-05-13T00:00:00"/>
    <x v="687"/>
    <x v="7"/>
    <n v="613.34"/>
    <x v="0"/>
    <x v="28"/>
    <x v="2"/>
    <n v="150"/>
    <x v="0"/>
    <n v="-613.34"/>
  </r>
  <r>
    <d v="2022-05-14T00:00:00"/>
    <x v="688"/>
    <x v="6"/>
    <n v="1874.95"/>
    <x v="0"/>
    <x v="28"/>
    <x v="2"/>
    <n v="200"/>
    <x v="0"/>
    <n v="-1874.95"/>
  </r>
  <r>
    <d v="2022-05-19T00:00:00"/>
    <x v="689"/>
    <x v="2"/>
    <n v="1496.29"/>
    <x v="0"/>
    <x v="28"/>
    <x v="2"/>
    <n v="1500"/>
    <x v="1"/>
    <n v="-1496.29"/>
  </r>
  <r>
    <d v="2022-05-19T00:00:00"/>
    <x v="690"/>
    <x v="6"/>
    <n v="1394.3"/>
    <x v="0"/>
    <x v="28"/>
    <x v="2"/>
    <n v="200"/>
    <x v="0"/>
    <n v="-1394.3"/>
  </r>
  <r>
    <d v="2022-05-20T00:00:00"/>
    <x v="691"/>
    <x v="4"/>
    <n v="1831.1"/>
    <x v="0"/>
    <x v="28"/>
    <x v="2"/>
    <n v="300"/>
    <x v="0"/>
    <n v="-1831.1"/>
  </r>
  <r>
    <d v="2022-05-20T00:00:00"/>
    <x v="692"/>
    <x v="9"/>
    <n v="767.52"/>
    <x v="0"/>
    <x v="28"/>
    <x v="2"/>
    <n v="200"/>
    <x v="0"/>
    <n v="-767.52"/>
  </r>
  <r>
    <d v="2022-05-22T00:00:00"/>
    <x v="693"/>
    <x v="7"/>
    <n v="623.76"/>
    <x v="0"/>
    <x v="28"/>
    <x v="2"/>
    <n v="150"/>
    <x v="0"/>
    <n v="-623.76"/>
  </r>
  <r>
    <d v="2022-05-23T00:00:00"/>
    <x v="694"/>
    <x v="8"/>
    <n v="937.35"/>
    <x v="1"/>
    <x v="28"/>
    <x v="2"/>
    <n v="0"/>
    <x v="2"/>
    <n v="937.35"/>
  </r>
  <r>
    <d v="2022-05-24T00:00:00"/>
    <x v="695"/>
    <x v="8"/>
    <n v="1525.64"/>
    <x v="1"/>
    <x v="28"/>
    <x v="2"/>
    <n v="0"/>
    <x v="2"/>
    <n v="1525.64"/>
  </r>
  <r>
    <d v="2022-05-24T00:00:00"/>
    <x v="696"/>
    <x v="6"/>
    <n v="747.7"/>
    <x v="0"/>
    <x v="28"/>
    <x v="2"/>
    <n v="200"/>
    <x v="0"/>
    <n v="-747.7"/>
  </r>
  <r>
    <d v="2022-05-25T00:00:00"/>
    <x v="697"/>
    <x v="6"/>
    <n v="1485.09"/>
    <x v="0"/>
    <x v="28"/>
    <x v="2"/>
    <n v="200"/>
    <x v="0"/>
    <n v="-1485.09"/>
  </r>
  <r>
    <d v="2022-05-27T00:00:00"/>
    <x v="698"/>
    <x v="5"/>
    <n v="2918"/>
    <x v="1"/>
    <x v="28"/>
    <x v="2"/>
    <n v="0"/>
    <x v="2"/>
    <n v="2918"/>
  </r>
  <r>
    <d v="2022-05-28T00:00:00"/>
    <x v="699"/>
    <x v="5"/>
    <n v="2384"/>
    <x v="1"/>
    <x v="28"/>
    <x v="2"/>
    <n v="0"/>
    <x v="2"/>
    <n v="2384"/>
  </r>
  <r>
    <d v="2022-05-29T00:00:00"/>
    <x v="700"/>
    <x v="6"/>
    <n v="1003.61"/>
    <x v="0"/>
    <x v="28"/>
    <x v="2"/>
    <n v="200"/>
    <x v="0"/>
    <n v="-1003.61"/>
  </r>
  <r>
    <d v="2022-05-29T00:00:00"/>
    <x v="701"/>
    <x v="7"/>
    <n v="522.08000000000004"/>
    <x v="0"/>
    <x v="28"/>
    <x v="2"/>
    <n v="150"/>
    <x v="0"/>
    <n v="-522.08000000000004"/>
  </r>
  <r>
    <d v="2022-05-30T00:00:00"/>
    <x v="702"/>
    <x v="8"/>
    <n v="927.05"/>
    <x v="1"/>
    <x v="28"/>
    <x v="2"/>
    <n v="0"/>
    <x v="2"/>
    <n v="927.05"/>
  </r>
  <r>
    <d v="2022-05-30T00:00:00"/>
    <x v="703"/>
    <x v="7"/>
    <n v="346.84"/>
    <x v="0"/>
    <x v="28"/>
    <x v="2"/>
    <n v="150"/>
    <x v="0"/>
    <n v="-346.84"/>
  </r>
  <r>
    <d v="2022-05-31T00:00:00"/>
    <x v="704"/>
    <x v="8"/>
    <n v="376.26"/>
    <x v="1"/>
    <x v="28"/>
    <x v="2"/>
    <n v="0"/>
    <x v="2"/>
    <n v="376.26"/>
  </r>
  <r>
    <d v="2022-06-01T00:00:00"/>
    <x v="705"/>
    <x v="0"/>
    <n v="1052.6500000000001"/>
    <x v="0"/>
    <x v="29"/>
    <x v="2"/>
    <n v="500"/>
    <x v="0"/>
    <n v="-1052.6500000000001"/>
  </r>
  <r>
    <d v="2022-06-01T00:00:00"/>
    <x v="706"/>
    <x v="2"/>
    <n v="1890.92"/>
    <x v="0"/>
    <x v="29"/>
    <x v="2"/>
    <n v="1500"/>
    <x v="0"/>
    <n v="-1890.92"/>
  </r>
  <r>
    <d v="2022-06-04T00:00:00"/>
    <x v="707"/>
    <x v="0"/>
    <n v="830.66"/>
    <x v="0"/>
    <x v="29"/>
    <x v="2"/>
    <n v="500"/>
    <x v="0"/>
    <n v="-830.66"/>
  </r>
  <r>
    <d v="2022-06-04T00:00:00"/>
    <x v="708"/>
    <x v="6"/>
    <n v="145.26"/>
    <x v="0"/>
    <x v="29"/>
    <x v="2"/>
    <n v="200"/>
    <x v="1"/>
    <n v="-145.26"/>
  </r>
  <r>
    <d v="2022-06-06T00:00:00"/>
    <x v="709"/>
    <x v="3"/>
    <n v="4642"/>
    <x v="1"/>
    <x v="29"/>
    <x v="2"/>
    <n v="0"/>
    <x v="2"/>
    <n v="4642"/>
  </r>
  <r>
    <d v="2022-06-07T00:00:00"/>
    <x v="710"/>
    <x v="0"/>
    <n v="1239.49"/>
    <x v="0"/>
    <x v="29"/>
    <x v="2"/>
    <n v="500"/>
    <x v="0"/>
    <n v="-1239.49"/>
  </r>
  <r>
    <d v="2022-06-07T00:00:00"/>
    <x v="711"/>
    <x v="8"/>
    <n v="1321.98"/>
    <x v="1"/>
    <x v="29"/>
    <x v="2"/>
    <n v="0"/>
    <x v="2"/>
    <n v="1321.98"/>
  </r>
  <r>
    <d v="2022-06-11T00:00:00"/>
    <x v="712"/>
    <x v="5"/>
    <n v="597"/>
    <x v="1"/>
    <x v="29"/>
    <x v="2"/>
    <n v="0"/>
    <x v="2"/>
    <n v="597"/>
  </r>
  <r>
    <d v="2022-06-11T00:00:00"/>
    <x v="713"/>
    <x v="5"/>
    <n v="4888"/>
    <x v="1"/>
    <x v="29"/>
    <x v="2"/>
    <n v="0"/>
    <x v="2"/>
    <n v="4888"/>
  </r>
  <r>
    <d v="2022-06-12T00:00:00"/>
    <x v="714"/>
    <x v="0"/>
    <n v="1009.41"/>
    <x v="0"/>
    <x v="29"/>
    <x v="2"/>
    <n v="500"/>
    <x v="0"/>
    <n v="-1009.41"/>
  </r>
  <r>
    <d v="2022-06-12T00:00:00"/>
    <x v="715"/>
    <x v="4"/>
    <n v="1614.27"/>
    <x v="0"/>
    <x v="29"/>
    <x v="2"/>
    <n v="300"/>
    <x v="0"/>
    <n v="-1614.27"/>
  </r>
  <r>
    <d v="2022-06-12T00:00:00"/>
    <x v="716"/>
    <x v="2"/>
    <n v="1836.92"/>
    <x v="0"/>
    <x v="29"/>
    <x v="2"/>
    <n v="1500"/>
    <x v="0"/>
    <n v="-1836.92"/>
  </r>
  <r>
    <d v="2022-06-13T00:00:00"/>
    <x v="717"/>
    <x v="6"/>
    <n v="391.94"/>
    <x v="0"/>
    <x v="29"/>
    <x v="2"/>
    <n v="200"/>
    <x v="0"/>
    <n v="-391.94"/>
  </r>
  <r>
    <d v="2022-06-17T00:00:00"/>
    <x v="718"/>
    <x v="7"/>
    <n v="541.98"/>
    <x v="0"/>
    <x v="29"/>
    <x v="2"/>
    <n v="150"/>
    <x v="0"/>
    <n v="-541.98"/>
  </r>
  <r>
    <d v="2022-06-17T00:00:00"/>
    <x v="719"/>
    <x v="7"/>
    <n v="1919"/>
    <x v="0"/>
    <x v="29"/>
    <x v="2"/>
    <n v="150"/>
    <x v="0"/>
    <n v="-1919"/>
  </r>
  <r>
    <d v="2022-06-18T00:00:00"/>
    <x v="720"/>
    <x v="6"/>
    <n v="1980.56"/>
    <x v="0"/>
    <x v="29"/>
    <x v="2"/>
    <n v="200"/>
    <x v="0"/>
    <n v="-1980.56"/>
  </r>
  <r>
    <d v="2022-06-19T00:00:00"/>
    <x v="721"/>
    <x v="2"/>
    <n v="1310.93"/>
    <x v="0"/>
    <x v="29"/>
    <x v="2"/>
    <n v="1500"/>
    <x v="1"/>
    <n v="-1310.93"/>
  </r>
  <r>
    <d v="2022-06-20T00:00:00"/>
    <x v="722"/>
    <x v="0"/>
    <n v="196.07"/>
    <x v="0"/>
    <x v="29"/>
    <x v="2"/>
    <n v="500"/>
    <x v="1"/>
    <n v="-196.07"/>
  </r>
  <r>
    <d v="2022-06-21T00:00:00"/>
    <x v="723"/>
    <x v="8"/>
    <n v="121.67"/>
    <x v="1"/>
    <x v="29"/>
    <x v="2"/>
    <n v="0"/>
    <x v="2"/>
    <n v="121.67"/>
  </r>
  <r>
    <d v="2022-06-21T00:00:00"/>
    <x v="724"/>
    <x v="3"/>
    <n v="1177"/>
    <x v="1"/>
    <x v="29"/>
    <x v="2"/>
    <n v="0"/>
    <x v="2"/>
    <n v="1177"/>
  </r>
  <r>
    <d v="2022-06-23T00:00:00"/>
    <x v="725"/>
    <x v="4"/>
    <n v="1293.3699999999999"/>
    <x v="0"/>
    <x v="29"/>
    <x v="2"/>
    <n v="300"/>
    <x v="0"/>
    <n v="-1293.3699999999999"/>
  </r>
  <r>
    <d v="2022-06-23T00:00:00"/>
    <x v="726"/>
    <x v="2"/>
    <n v="1790.63"/>
    <x v="0"/>
    <x v="29"/>
    <x v="2"/>
    <n v="1500"/>
    <x v="0"/>
    <n v="-1790.63"/>
  </r>
  <r>
    <d v="2022-06-25T00:00:00"/>
    <x v="727"/>
    <x v="6"/>
    <n v="430.72"/>
    <x v="0"/>
    <x v="29"/>
    <x v="2"/>
    <n v="200"/>
    <x v="0"/>
    <n v="-430.72"/>
  </r>
  <r>
    <d v="2022-06-25T00:00:00"/>
    <x v="728"/>
    <x v="8"/>
    <n v="549.48"/>
    <x v="1"/>
    <x v="29"/>
    <x v="2"/>
    <n v="0"/>
    <x v="2"/>
    <n v="549.48"/>
  </r>
  <r>
    <d v="2022-06-26T00:00:00"/>
    <x v="729"/>
    <x v="9"/>
    <n v="1799.63"/>
    <x v="0"/>
    <x v="29"/>
    <x v="2"/>
    <n v="200"/>
    <x v="0"/>
    <n v="-1799.63"/>
  </r>
  <r>
    <d v="2022-06-26T00:00:00"/>
    <x v="730"/>
    <x v="0"/>
    <n v="366.92"/>
    <x v="0"/>
    <x v="29"/>
    <x v="2"/>
    <n v="500"/>
    <x v="1"/>
    <n v="-366.92"/>
  </r>
  <r>
    <d v="2022-06-30T00:00:00"/>
    <x v="731"/>
    <x v="0"/>
    <n v="1923.32"/>
    <x v="0"/>
    <x v="29"/>
    <x v="2"/>
    <n v="500"/>
    <x v="0"/>
    <n v="-1923.32"/>
  </r>
  <r>
    <d v="2022-07-01T00:00:00"/>
    <x v="732"/>
    <x v="4"/>
    <n v="1858.46"/>
    <x v="0"/>
    <x v="30"/>
    <x v="2"/>
    <n v="300"/>
    <x v="0"/>
    <n v="-1858.46"/>
  </r>
  <r>
    <d v="2022-07-02T00:00:00"/>
    <x v="733"/>
    <x v="6"/>
    <n v="1137.72"/>
    <x v="0"/>
    <x v="30"/>
    <x v="2"/>
    <n v="200"/>
    <x v="0"/>
    <n v="-1137.72"/>
  </r>
  <r>
    <d v="2022-07-04T00:00:00"/>
    <x v="734"/>
    <x v="7"/>
    <n v="773.85"/>
    <x v="0"/>
    <x v="30"/>
    <x v="2"/>
    <n v="150"/>
    <x v="0"/>
    <n v="-773.85"/>
  </r>
  <r>
    <d v="2022-07-04T00:00:00"/>
    <x v="735"/>
    <x v="2"/>
    <n v="1006.58"/>
    <x v="0"/>
    <x v="30"/>
    <x v="2"/>
    <n v="1500"/>
    <x v="1"/>
    <n v="-1006.58"/>
  </r>
  <r>
    <d v="2022-07-04T00:00:00"/>
    <x v="736"/>
    <x v="0"/>
    <n v="204.39"/>
    <x v="0"/>
    <x v="30"/>
    <x v="2"/>
    <n v="500"/>
    <x v="1"/>
    <n v="-204.39"/>
  </r>
  <r>
    <d v="2022-07-05T00:00:00"/>
    <x v="737"/>
    <x v="2"/>
    <n v="687.78"/>
    <x v="0"/>
    <x v="30"/>
    <x v="2"/>
    <n v="1500"/>
    <x v="1"/>
    <n v="-687.78"/>
  </r>
  <r>
    <d v="2022-07-06T00:00:00"/>
    <x v="738"/>
    <x v="4"/>
    <n v="1938.15"/>
    <x v="0"/>
    <x v="30"/>
    <x v="2"/>
    <n v="300"/>
    <x v="0"/>
    <n v="-1938.15"/>
  </r>
  <r>
    <d v="2022-07-13T00:00:00"/>
    <x v="739"/>
    <x v="9"/>
    <n v="1569.26"/>
    <x v="0"/>
    <x v="30"/>
    <x v="2"/>
    <n v="200"/>
    <x v="0"/>
    <n v="-1569.26"/>
  </r>
  <r>
    <d v="2022-07-17T00:00:00"/>
    <x v="740"/>
    <x v="6"/>
    <n v="718.06"/>
    <x v="0"/>
    <x v="30"/>
    <x v="2"/>
    <n v="200"/>
    <x v="0"/>
    <n v="-718.06"/>
  </r>
  <r>
    <d v="2022-07-17T00:00:00"/>
    <x v="741"/>
    <x v="4"/>
    <n v="379.62"/>
    <x v="0"/>
    <x v="30"/>
    <x v="2"/>
    <n v="300"/>
    <x v="0"/>
    <n v="-379.62"/>
  </r>
  <r>
    <d v="2022-07-17T00:00:00"/>
    <x v="742"/>
    <x v="4"/>
    <n v="180.53"/>
    <x v="0"/>
    <x v="30"/>
    <x v="2"/>
    <n v="300"/>
    <x v="1"/>
    <n v="-180.53"/>
  </r>
  <r>
    <d v="2022-07-18T00:00:00"/>
    <x v="743"/>
    <x v="6"/>
    <n v="1429.09"/>
    <x v="0"/>
    <x v="30"/>
    <x v="2"/>
    <n v="200"/>
    <x v="0"/>
    <n v="-1429.09"/>
  </r>
  <r>
    <d v="2022-07-18T00:00:00"/>
    <x v="744"/>
    <x v="3"/>
    <n v="3612"/>
    <x v="1"/>
    <x v="30"/>
    <x v="2"/>
    <n v="0"/>
    <x v="2"/>
    <n v="3612"/>
  </r>
  <r>
    <d v="2022-07-19T00:00:00"/>
    <x v="745"/>
    <x v="1"/>
    <n v="1481.91"/>
    <x v="0"/>
    <x v="30"/>
    <x v="2"/>
    <n v="150"/>
    <x v="0"/>
    <n v="-1481.91"/>
  </r>
  <r>
    <d v="2022-07-20T00:00:00"/>
    <x v="746"/>
    <x v="2"/>
    <n v="192.13"/>
    <x v="0"/>
    <x v="30"/>
    <x v="2"/>
    <n v="1500"/>
    <x v="1"/>
    <n v="-192.13"/>
  </r>
  <r>
    <d v="2022-07-22T00:00:00"/>
    <x v="747"/>
    <x v="8"/>
    <n v="726.24"/>
    <x v="1"/>
    <x v="30"/>
    <x v="2"/>
    <n v="0"/>
    <x v="2"/>
    <n v="726.24"/>
  </r>
  <r>
    <d v="2022-07-25T00:00:00"/>
    <x v="748"/>
    <x v="1"/>
    <n v="183.72"/>
    <x v="0"/>
    <x v="30"/>
    <x v="2"/>
    <n v="150"/>
    <x v="0"/>
    <n v="-183.72"/>
  </r>
  <r>
    <d v="2022-07-27T00:00:00"/>
    <x v="749"/>
    <x v="4"/>
    <n v="215.55"/>
    <x v="0"/>
    <x v="30"/>
    <x v="2"/>
    <n v="300"/>
    <x v="1"/>
    <n v="-215.55"/>
  </r>
  <r>
    <d v="2022-07-27T00:00:00"/>
    <x v="750"/>
    <x v="3"/>
    <n v="3157"/>
    <x v="1"/>
    <x v="30"/>
    <x v="2"/>
    <n v="0"/>
    <x v="2"/>
    <n v="3157"/>
  </r>
  <r>
    <d v="2022-07-27T00:00:00"/>
    <x v="751"/>
    <x v="0"/>
    <n v="590.78"/>
    <x v="0"/>
    <x v="30"/>
    <x v="2"/>
    <n v="500"/>
    <x v="0"/>
    <n v="-590.78"/>
  </r>
  <r>
    <d v="2022-07-27T00:00:00"/>
    <x v="752"/>
    <x v="2"/>
    <n v="1452.44"/>
    <x v="0"/>
    <x v="30"/>
    <x v="2"/>
    <n v="1500"/>
    <x v="1"/>
    <n v="-1452.44"/>
  </r>
  <r>
    <d v="2022-07-28T00:00:00"/>
    <x v="753"/>
    <x v="6"/>
    <n v="1148.2"/>
    <x v="0"/>
    <x v="30"/>
    <x v="2"/>
    <n v="200"/>
    <x v="0"/>
    <n v="-1148.2"/>
  </r>
  <r>
    <d v="2022-07-28T00:00:00"/>
    <x v="754"/>
    <x v="5"/>
    <n v="1888"/>
    <x v="1"/>
    <x v="30"/>
    <x v="2"/>
    <n v="0"/>
    <x v="2"/>
    <n v="1888"/>
  </r>
  <r>
    <d v="2022-07-29T00:00:00"/>
    <x v="755"/>
    <x v="5"/>
    <n v="2698"/>
    <x v="1"/>
    <x v="30"/>
    <x v="2"/>
    <n v="0"/>
    <x v="2"/>
    <n v="2698"/>
  </r>
  <r>
    <d v="2022-07-30T00:00:00"/>
    <x v="756"/>
    <x v="2"/>
    <n v="342.74"/>
    <x v="0"/>
    <x v="30"/>
    <x v="2"/>
    <n v="1500"/>
    <x v="1"/>
    <n v="-342.74"/>
  </r>
  <r>
    <d v="2022-07-31T00:00:00"/>
    <x v="757"/>
    <x v="9"/>
    <n v="973.62"/>
    <x v="0"/>
    <x v="30"/>
    <x v="2"/>
    <n v="200"/>
    <x v="0"/>
    <n v="-973.62"/>
  </r>
  <r>
    <d v="2022-08-02T00:00:00"/>
    <x v="758"/>
    <x v="5"/>
    <n v="2520"/>
    <x v="1"/>
    <x v="31"/>
    <x v="2"/>
    <n v="0"/>
    <x v="2"/>
    <n v="2520"/>
  </r>
  <r>
    <d v="2022-08-02T00:00:00"/>
    <x v="759"/>
    <x v="8"/>
    <n v="1191.67"/>
    <x v="1"/>
    <x v="31"/>
    <x v="2"/>
    <n v="0"/>
    <x v="2"/>
    <n v="1191.67"/>
  </r>
  <r>
    <d v="2022-08-03T00:00:00"/>
    <x v="760"/>
    <x v="3"/>
    <n v="1609"/>
    <x v="1"/>
    <x v="31"/>
    <x v="2"/>
    <n v="0"/>
    <x v="2"/>
    <n v="1609"/>
  </r>
  <r>
    <d v="2022-08-04T00:00:00"/>
    <x v="761"/>
    <x v="4"/>
    <n v="671.11"/>
    <x v="0"/>
    <x v="31"/>
    <x v="2"/>
    <n v="300"/>
    <x v="0"/>
    <n v="-671.11"/>
  </r>
  <r>
    <d v="2022-08-06T00:00:00"/>
    <x v="762"/>
    <x v="7"/>
    <n v="886.04"/>
    <x v="0"/>
    <x v="31"/>
    <x v="2"/>
    <n v="150"/>
    <x v="0"/>
    <n v="-886.04"/>
  </r>
  <r>
    <d v="2022-08-07T00:00:00"/>
    <x v="763"/>
    <x v="1"/>
    <n v="607.87"/>
    <x v="0"/>
    <x v="31"/>
    <x v="2"/>
    <n v="150"/>
    <x v="0"/>
    <n v="-607.87"/>
  </r>
  <r>
    <d v="2022-08-12T00:00:00"/>
    <x v="764"/>
    <x v="6"/>
    <n v="963.23"/>
    <x v="0"/>
    <x v="31"/>
    <x v="2"/>
    <n v="200"/>
    <x v="0"/>
    <n v="-963.23"/>
  </r>
  <r>
    <d v="2022-08-13T00:00:00"/>
    <x v="765"/>
    <x v="5"/>
    <n v="3114"/>
    <x v="1"/>
    <x v="31"/>
    <x v="2"/>
    <n v="0"/>
    <x v="2"/>
    <n v="3114"/>
  </r>
  <r>
    <d v="2022-08-15T00:00:00"/>
    <x v="766"/>
    <x v="8"/>
    <n v="1935.85"/>
    <x v="1"/>
    <x v="31"/>
    <x v="2"/>
    <n v="0"/>
    <x v="2"/>
    <n v="1935.85"/>
  </r>
  <r>
    <d v="2022-08-15T00:00:00"/>
    <x v="767"/>
    <x v="7"/>
    <n v="758.35"/>
    <x v="0"/>
    <x v="31"/>
    <x v="2"/>
    <n v="150"/>
    <x v="0"/>
    <n v="-758.35"/>
  </r>
  <r>
    <d v="2022-08-16T00:00:00"/>
    <x v="768"/>
    <x v="4"/>
    <n v="736.38"/>
    <x v="0"/>
    <x v="31"/>
    <x v="2"/>
    <n v="300"/>
    <x v="0"/>
    <n v="-736.38"/>
  </r>
  <r>
    <d v="2022-08-16T00:00:00"/>
    <x v="769"/>
    <x v="6"/>
    <n v="1188.53"/>
    <x v="0"/>
    <x v="31"/>
    <x v="2"/>
    <n v="200"/>
    <x v="0"/>
    <n v="-1188.53"/>
  </r>
  <r>
    <d v="2022-08-17T00:00:00"/>
    <x v="770"/>
    <x v="0"/>
    <n v="1906.48"/>
    <x v="0"/>
    <x v="31"/>
    <x v="2"/>
    <n v="500"/>
    <x v="0"/>
    <n v="-1906.48"/>
  </r>
  <r>
    <d v="2022-08-18T00:00:00"/>
    <x v="771"/>
    <x v="6"/>
    <n v="882.53"/>
    <x v="0"/>
    <x v="31"/>
    <x v="2"/>
    <n v="200"/>
    <x v="0"/>
    <n v="-882.53"/>
  </r>
  <r>
    <d v="2022-08-19T00:00:00"/>
    <x v="772"/>
    <x v="2"/>
    <n v="1639.74"/>
    <x v="0"/>
    <x v="31"/>
    <x v="2"/>
    <n v="1500"/>
    <x v="0"/>
    <n v="-1639.74"/>
  </r>
  <r>
    <d v="2022-08-21T00:00:00"/>
    <x v="773"/>
    <x v="4"/>
    <n v="1349.23"/>
    <x v="0"/>
    <x v="31"/>
    <x v="2"/>
    <n v="300"/>
    <x v="0"/>
    <n v="-1349.23"/>
  </r>
  <r>
    <d v="2022-08-21T00:00:00"/>
    <x v="774"/>
    <x v="5"/>
    <n v="2482"/>
    <x v="1"/>
    <x v="31"/>
    <x v="2"/>
    <n v="0"/>
    <x v="2"/>
    <n v="2482"/>
  </r>
  <r>
    <d v="2022-08-22T00:00:00"/>
    <x v="775"/>
    <x v="1"/>
    <n v="1433.32"/>
    <x v="0"/>
    <x v="31"/>
    <x v="2"/>
    <n v="150"/>
    <x v="0"/>
    <n v="-1433.32"/>
  </r>
  <r>
    <d v="2022-08-22T00:00:00"/>
    <x v="776"/>
    <x v="2"/>
    <n v="903.64"/>
    <x v="0"/>
    <x v="31"/>
    <x v="2"/>
    <n v="1500"/>
    <x v="1"/>
    <n v="-903.64"/>
  </r>
  <r>
    <d v="2022-08-23T00:00:00"/>
    <x v="777"/>
    <x v="4"/>
    <n v="1073.3900000000001"/>
    <x v="0"/>
    <x v="31"/>
    <x v="2"/>
    <n v="300"/>
    <x v="0"/>
    <n v="-1073.3900000000001"/>
  </r>
  <r>
    <d v="2022-08-24T00:00:00"/>
    <x v="778"/>
    <x v="4"/>
    <n v="1091.8499999999999"/>
    <x v="0"/>
    <x v="31"/>
    <x v="2"/>
    <n v="300"/>
    <x v="0"/>
    <n v="-1091.8499999999999"/>
  </r>
  <r>
    <d v="2022-08-26T00:00:00"/>
    <x v="779"/>
    <x v="7"/>
    <n v="1406.25"/>
    <x v="0"/>
    <x v="31"/>
    <x v="2"/>
    <n v="150"/>
    <x v="0"/>
    <n v="-1406.25"/>
  </r>
  <r>
    <d v="2022-08-26T00:00:00"/>
    <x v="780"/>
    <x v="2"/>
    <n v="227.65"/>
    <x v="0"/>
    <x v="31"/>
    <x v="2"/>
    <n v="1500"/>
    <x v="1"/>
    <n v="-227.65"/>
  </r>
  <r>
    <d v="2022-08-28T00:00:00"/>
    <x v="781"/>
    <x v="7"/>
    <n v="341.01"/>
    <x v="0"/>
    <x v="31"/>
    <x v="2"/>
    <n v="150"/>
    <x v="0"/>
    <n v="-341.01"/>
  </r>
  <r>
    <d v="2022-08-29T00:00:00"/>
    <x v="782"/>
    <x v="4"/>
    <n v="1933.95"/>
    <x v="0"/>
    <x v="31"/>
    <x v="2"/>
    <n v="300"/>
    <x v="0"/>
    <n v="-1933.95"/>
  </r>
  <r>
    <d v="2022-08-30T00:00:00"/>
    <x v="783"/>
    <x v="4"/>
    <n v="220.83"/>
    <x v="0"/>
    <x v="31"/>
    <x v="2"/>
    <n v="300"/>
    <x v="1"/>
    <n v="-220.83"/>
  </r>
  <r>
    <d v="2022-08-31T00:00:00"/>
    <x v="784"/>
    <x v="3"/>
    <n v="4683"/>
    <x v="1"/>
    <x v="31"/>
    <x v="2"/>
    <n v="0"/>
    <x v="2"/>
    <n v="4683"/>
  </r>
  <r>
    <d v="2022-08-31T00:00:00"/>
    <x v="785"/>
    <x v="6"/>
    <n v="897.1"/>
    <x v="0"/>
    <x v="31"/>
    <x v="2"/>
    <n v="200"/>
    <x v="0"/>
    <n v="-897.1"/>
  </r>
  <r>
    <d v="2022-09-01T00:00:00"/>
    <x v="786"/>
    <x v="1"/>
    <n v="696.49"/>
    <x v="0"/>
    <x v="32"/>
    <x v="2"/>
    <n v="150"/>
    <x v="0"/>
    <n v="-696.49"/>
  </r>
  <r>
    <d v="2022-09-02T00:00:00"/>
    <x v="787"/>
    <x v="3"/>
    <n v="2920"/>
    <x v="1"/>
    <x v="32"/>
    <x v="2"/>
    <n v="0"/>
    <x v="2"/>
    <n v="2920"/>
  </r>
  <r>
    <d v="2022-09-03T00:00:00"/>
    <x v="788"/>
    <x v="2"/>
    <n v="240.98"/>
    <x v="0"/>
    <x v="32"/>
    <x v="2"/>
    <n v="1500"/>
    <x v="1"/>
    <n v="-240.98"/>
  </r>
  <r>
    <d v="2022-09-03T00:00:00"/>
    <x v="789"/>
    <x v="1"/>
    <n v="703.17"/>
    <x v="0"/>
    <x v="32"/>
    <x v="2"/>
    <n v="150"/>
    <x v="0"/>
    <n v="-703.17"/>
  </r>
  <r>
    <d v="2022-09-03T00:00:00"/>
    <x v="790"/>
    <x v="6"/>
    <n v="1047.02"/>
    <x v="0"/>
    <x v="32"/>
    <x v="2"/>
    <n v="200"/>
    <x v="0"/>
    <n v="-1047.02"/>
  </r>
  <r>
    <d v="2022-09-04T00:00:00"/>
    <x v="791"/>
    <x v="2"/>
    <n v="881.95"/>
    <x v="0"/>
    <x v="32"/>
    <x v="2"/>
    <n v="1500"/>
    <x v="1"/>
    <n v="-881.95"/>
  </r>
  <r>
    <d v="2022-09-04T00:00:00"/>
    <x v="792"/>
    <x v="7"/>
    <n v="143.68"/>
    <x v="0"/>
    <x v="32"/>
    <x v="2"/>
    <n v="150"/>
    <x v="1"/>
    <n v="-143.68"/>
  </r>
  <r>
    <d v="2022-09-05T00:00:00"/>
    <x v="793"/>
    <x v="3"/>
    <n v="685"/>
    <x v="1"/>
    <x v="32"/>
    <x v="2"/>
    <n v="0"/>
    <x v="2"/>
    <n v="685"/>
  </r>
  <r>
    <d v="2022-09-06T00:00:00"/>
    <x v="794"/>
    <x v="2"/>
    <n v="1357.51"/>
    <x v="0"/>
    <x v="32"/>
    <x v="2"/>
    <n v="1500"/>
    <x v="1"/>
    <n v="-1357.51"/>
  </r>
  <r>
    <d v="2022-09-07T00:00:00"/>
    <x v="795"/>
    <x v="3"/>
    <n v="4727"/>
    <x v="1"/>
    <x v="32"/>
    <x v="2"/>
    <n v="0"/>
    <x v="2"/>
    <n v="4727"/>
  </r>
  <r>
    <d v="2022-09-08T00:00:00"/>
    <x v="796"/>
    <x v="3"/>
    <n v="3211"/>
    <x v="1"/>
    <x v="32"/>
    <x v="2"/>
    <n v="0"/>
    <x v="2"/>
    <n v="3211"/>
  </r>
  <r>
    <d v="2022-09-10T00:00:00"/>
    <x v="797"/>
    <x v="8"/>
    <n v="471.39"/>
    <x v="1"/>
    <x v="32"/>
    <x v="2"/>
    <n v="0"/>
    <x v="2"/>
    <n v="471.39"/>
  </r>
  <r>
    <d v="2022-09-11T00:00:00"/>
    <x v="798"/>
    <x v="1"/>
    <n v="380.91"/>
    <x v="0"/>
    <x v="32"/>
    <x v="2"/>
    <n v="150"/>
    <x v="0"/>
    <n v="-380.91"/>
  </r>
  <r>
    <d v="2022-09-11T00:00:00"/>
    <x v="799"/>
    <x v="4"/>
    <n v="68.09"/>
    <x v="0"/>
    <x v="32"/>
    <x v="2"/>
    <n v="300"/>
    <x v="1"/>
    <n v="-68.09"/>
  </r>
  <r>
    <d v="2022-09-12T00:00:00"/>
    <x v="800"/>
    <x v="6"/>
    <n v="904.65"/>
    <x v="0"/>
    <x v="32"/>
    <x v="2"/>
    <n v="200"/>
    <x v="0"/>
    <n v="-904.65"/>
  </r>
  <r>
    <d v="2022-09-14T00:00:00"/>
    <x v="801"/>
    <x v="0"/>
    <n v="1412.42"/>
    <x v="0"/>
    <x v="32"/>
    <x v="2"/>
    <n v="500"/>
    <x v="0"/>
    <n v="-1412.42"/>
  </r>
  <r>
    <d v="2022-09-15T00:00:00"/>
    <x v="802"/>
    <x v="2"/>
    <n v="1158.92"/>
    <x v="0"/>
    <x v="32"/>
    <x v="2"/>
    <n v="1500"/>
    <x v="1"/>
    <n v="-1158.92"/>
  </r>
  <r>
    <d v="2022-09-15T00:00:00"/>
    <x v="803"/>
    <x v="1"/>
    <n v="737.93"/>
    <x v="0"/>
    <x v="32"/>
    <x v="2"/>
    <n v="150"/>
    <x v="0"/>
    <n v="-737.93"/>
  </r>
  <r>
    <d v="2022-09-17T00:00:00"/>
    <x v="804"/>
    <x v="3"/>
    <n v="2649"/>
    <x v="1"/>
    <x v="32"/>
    <x v="2"/>
    <n v="0"/>
    <x v="2"/>
    <n v="2649"/>
  </r>
  <r>
    <d v="2022-09-18T00:00:00"/>
    <x v="805"/>
    <x v="8"/>
    <n v="1060.1500000000001"/>
    <x v="1"/>
    <x v="32"/>
    <x v="2"/>
    <n v="0"/>
    <x v="2"/>
    <n v="1060.1500000000001"/>
  </r>
  <r>
    <d v="2022-09-19T00:00:00"/>
    <x v="806"/>
    <x v="4"/>
    <n v="1226.5"/>
    <x v="0"/>
    <x v="32"/>
    <x v="2"/>
    <n v="300"/>
    <x v="0"/>
    <n v="-1226.5"/>
  </r>
  <r>
    <d v="2022-09-19T00:00:00"/>
    <x v="807"/>
    <x v="7"/>
    <n v="710.45"/>
    <x v="0"/>
    <x v="32"/>
    <x v="2"/>
    <n v="150"/>
    <x v="0"/>
    <n v="-710.45"/>
  </r>
  <r>
    <d v="2022-09-21T00:00:00"/>
    <x v="808"/>
    <x v="1"/>
    <n v="1629.34"/>
    <x v="0"/>
    <x v="32"/>
    <x v="2"/>
    <n v="150"/>
    <x v="0"/>
    <n v="-1629.34"/>
  </r>
  <r>
    <d v="2022-09-23T00:00:00"/>
    <x v="809"/>
    <x v="9"/>
    <n v="1838.18"/>
    <x v="0"/>
    <x v="32"/>
    <x v="2"/>
    <n v="200"/>
    <x v="0"/>
    <n v="-1838.18"/>
  </r>
  <r>
    <d v="2022-09-26T00:00:00"/>
    <x v="810"/>
    <x v="1"/>
    <n v="633.24"/>
    <x v="0"/>
    <x v="32"/>
    <x v="2"/>
    <n v="150"/>
    <x v="0"/>
    <n v="-633.24"/>
  </r>
  <r>
    <d v="2022-09-26T00:00:00"/>
    <x v="811"/>
    <x v="2"/>
    <n v="374.26"/>
    <x v="0"/>
    <x v="32"/>
    <x v="2"/>
    <n v="1500"/>
    <x v="1"/>
    <n v="-374.26"/>
  </r>
  <r>
    <d v="2022-09-28T00:00:00"/>
    <x v="812"/>
    <x v="4"/>
    <n v="842.3"/>
    <x v="0"/>
    <x v="32"/>
    <x v="2"/>
    <n v="300"/>
    <x v="0"/>
    <n v="-842.3"/>
  </r>
  <r>
    <d v="2022-09-29T00:00:00"/>
    <x v="813"/>
    <x v="5"/>
    <n v="3965"/>
    <x v="1"/>
    <x v="32"/>
    <x v="2"/>
    <n v="0"/>
    <x v="2"/>
    <n v="3965"/>
  </r>
  <r>
    <d v="2022-09-29T00:00:00"/>
    <x v="814"/>
    <x v="3"/>
    <n v="1866"/>
    <x v="1"/>
    <x v="32"/>
    <x v="2"/>
    <n v="0"/>
    <x v="2"/>
    <n v="1866"/>
  </r>
  <r>
    <d v="2022-09-30T00:00:00"/>
    <x v="815"/>
    <x v="1"/>
    <n v="382.33"/>
    <x v="0"/>
    <x v="32"/>
    <x v="2"/>
    <n v="150"/>
    <x v="0"/>
    <n v="-382.33"/>
  </r>
  <r>
    <d v="2022-10-01T00:00:00"/>
    <x v="816"/>
    <x v="0"/>
    <n v="1732.39"/>
    <x v="0"/>
    <x v="33"/>
    <x v="2"/>
    <n v="500"/>
    <x v="0"/>
    <n v="-1732.39"/>
  </r>
  <r>
    <d v="2022-10-02T00:00:00"/>
    <x v="817"/>
    <x v="8"/>
    <n v="281.7"/>
    <x v="1"/>
    <x v="33"/>
    <x v="2"/>
    <n v="0"/>
    <x v="2"/>
    <n v="281.7"/>
  </r>
  <r>
    <d v="2022-10-03T00:00:00"/>
    <x v="818"/>
    <x v="8"/>
    <n v="824.18"/>
    <x v="1"/>
    <x v="33"/>
    <x v="2"/>
    <n v="0"/>
    <x v="2"/>
    <n v="824.18"/>
  </r>
  <r>
    <d v="2022-10-04T00:00:00"/>
    <x v="819"/>
    <x v="8"/>
    <n v="982.51"/>
    <x v="1"/>
    <x v="33"/>
    <x v="2"/>
    <n v="0"/>
    <x v="2"/>
    <n v="982.51"/>
  </r>
  <r>
    <d v="2022-10-04T00:00:00"/>
    <x v="820"/>
    <x v="3"/>
    <n v="2306"/>
    <x v="1"/>
    <x v="33"/>
    <x v="2"/>
    <n v="0"/>
    <x v="2"/>
    <n v="2306"/>
  </r>
  <r>
    <d v="2022-10-05T00:00:00"/>
    <x v="821"/>
    <x v="9"/>
    <n v="457.44"/>
    <x v="0"/>
    <x v="33"/>
    <x v="2"/>
    <n v="200"/>
    <x v="0"/>
    <n v="-457.44"/>
  </r>
  <r>
    <d v="2022-10-08T00:00:00"/>
    <x v="822"/>
    <x v="8"/>
    <n v="1135.6400000000001"/>
    <x v="1"/>
    <x v="33"/>
    <x v="2"/>
    <n v="0"/>
    <x v="2"/>
    <n v="1135.6400000000001"/>
  </r>
  <r>
    <d v="2022-10-10T00:00:00"/>
    <x v="823"/>
    <x v="8"/>
    <n v="1103.96"/>
    <x v="1"/>
    <x v="33"/>
    <x v="2"/>
    <n v="0"/>
    <x v="2"/>
    <n v="1103.96"/>
  </r>
  <r>
    <d v="2022-10-12T00:00:00"/>
    <x v="824"/>
    <x v="3"/>
    <n v="2694"/>
    <x v="1"/>
    <x v="33"/>
    <x v="2"/>
    <n v="0"/>
    <x v="2"/>
    <n v="2694"/>
  </r>
  <r>
    <d v="2022-10-12T00:00:00"/>
    <x v="825"/>
    <x v="7"/>
    <n v="1088.67"/>
    <x v="0"/>
    <x v="33"/>
    <x v="2"/>
    <n v="150"/>
    <x v="0"/>
    <n v="-1088.67"/>
  </r>
  <r>
    <d v="2022-10-13T00:00:00"/>
    <x v="826"/>
    <x v="8"/>
    <n v="1097.24"/>
    <x v="1"/>
    <x v="33"/>
    <x v="2"/>
    <n v="0"/>
    <x v="2"/>
    <n v="1097.24"/>
  </r>
  <r>
    <d v="2022-10-19T00:00:00"/>
    <x v="827"/>
    <x v="2"/>
    <n v="1474.62"/>
    <x v="0"/>
    <x v="33"/>
    <x v="2"/>
    <n v="1500"/>
    <x v="1"/>
    <n v="-1474.62"/>
  </r>
  <r>
    <d v="2022-10-19T00:00:00"/>
    <x v="828"/>
    <x v="6"/>
    <n v="602.44000000000005"/>
    <x v="0"/>
    <x v="33"/>
    <x v="2"/>
    <n v="200"/>
    <x v="0"/>
    <n v="-602.44000000000005"/>
  </r>
  <r>
    <d v="2022-10-20T00:00:00"/>
    <x v="829"/>
    <x v="8"/>
    <n v="533"/>
    <x v="1"/>
    <x v="33"/>
    <x v="2"/>
    <n v="0"/>
    <x v="2"/>
    <n v="533"/>
  </r>
  <r>
    <d v="2022-10-21T00:00:00"/>
    <x v="830"/>
    <x v="2"/>
    <n v="883.75"/>
    <x v="0"/>
    <x v="33"/>
    <x v="2"/>
    <n v="1500"/>
    <x v="1"/>
    <n v="-883.75"/>
  </r>
  <r>
    <d v="2022-10-22T00:00:00"/>
    <x v="831"/>
    <x v="6"/>
    <n v="427.66"/>
    <x v="0"/>
    <x v="33"/>
    <x v="2"/>
    <n v="200"/>
    <x v="0"/>
    <n v="-427.66"/>
  </r>
  <r>
    <d v="2022-10-23T00:00:00"/>
    <x v="832"/>
    <x v="7"/>
    <n v="1723.49"/>
    <x v="0"/>
    <x v="33"/>
    <x v="2"/>
    <n v="150"/>
    <x v="0"/>
    <n v="-1723.49"/>
  </r>
  <r>
    <d v="2022-10-25T00:00:00"/>
    <x v="833"/>
    <x v="4"/>
    <n v="340.3"/>
    <x v="0"/>
    <x v="33"/>
    <x v="2"/>
    <n v="300"/>
    <x v="0"/>
    <n v="-340.3"/>
  </r>
  <r>
    <d v="2022-10-28T00:00:00"/>
    <x v="834"/>
    <x v="3"/>
    <n v="2195"/>
    <x v="1"/>
    <x v="33"/>
    <x v="2"/>
    <n v="0"/>
    <x v="2"/>
    <n v="2195"/>
  </r>
  <r>
    <d v="2022-10-30T00:00:00"/>
    <x v="835"/>
    <x v="7"/>
    <n v="1069.24"/>
    <x v="0"/>
    <x v="33"/>
    <x v="2"/>
    <n v="150"/>
    <x v="0"/>
    <n v="-1069.24"/>
  </r>
  <r>
    <d v="2022-10-31T00:00:00"/>
    <x v="836"/>
    <x v="1"/>
    <n v="654.07000000000005"/>
    <x v="0"/>
    <x v="33"/>
    <x v="2"/>
    <n v="150"/>
    <x v="0"/>
    <n v="-654.07000000000005"/>
  </r>
  <r>
    <d v="2022-11-03T00:00:00"/>
    <x v="837"/>
    <x v="9"/>
    <n v="1149.74"/>
    <x v="0"/>
    <x v="34"/>
    <x v="2"/>
    <n v="200"/>
    <x v="0"/>
    <n v="-1149.74"/>
  </r>
  <r>
    <d v="2022-11-04T00:00:00"/>
    <x v="838"/>
    <x v="2"/>
    <n v="279.82"/>
    <x v="0"/>
    <x v="34"/>
    <x v="2"/>
    <n v="1500"/>
    <x v="1"/>
    <n v="-279.82"/>
  </r>
  <r>
    <d v="2022-11-05T00:00:00"/>
    <x v="839"/>
    <x v="4"/>
    <n v="1838.35"/>
    <x v="0"/>
    <x v="34"/>
    <x v="2"/>
    <n v="300"/>
    <x v="0"/>
    <n v="-1838.35"/>
  </r>
  <r>
    <d v="2022-11-07T00:00:00"/>
    <x v="840"/>
    <x v="1"/>
    <n v="1405.84"/>
    <x v="0"/>
    <x v="34"/>
    <x v="2"/>
    <n v="150"/>
    <x v="0"/>
    <n v="-1405.84"/>
  </r>
  <r>
    <d v="2022-11-07T00:00:00"/>
    <x v="841"/>
    <x v="3"/>
    <n v="3138"/>
    <x v="1"/>
    <x v="34"/>
    <x v="2"/>
    <n v="0"/>
    <x v="2"/>
    <n v="3138"/>
  </r>
  <r>
    <d v="2022-11-09T00:00:00"/>
    <x v="842"/>
    <x v="4"/>
    <n v="984.02"/>
    <x v="0"/>
    <x v="34"/>
    <x v="2"/>
    <n v="300"/>
    <x v="0"/>
    <n v="-984.02"/>
  </r>
  <r>
    <d v="2022-11-10T00:00:00"/>
    <x v="843"/>
    <x v="9"/>
    <n v="1259.3499999999999"/>
    <x v="0"/>
    <x v="34"/>
    <x v="2"/>
    <n v="200"/>
    <x v="0"/>
    <n v="-1259.3499999999999"/>
  </r>
  <r>
    <d v="2022-11-13T00:00:00"/>
    <x v="844"/>
    <x v="2"/>
    <n v="1270.92"/>
    <x v="0"/>
    <x v="34"/>
    <x v="2"/>
    <n v="1500"/>
    <x v="1"/>
    <n v="-1270.92"/>
  </r>
  <r>
    <d v="2022-11-14T00:00:00"/>
    <x v="845"/>
    <x v="2"/>
    <n v="811.67"/>
    <x v="0"/>
    <x v="34"/>
    <x v="2"/>
    <n v="1500"/>
    <x v="1"/>
    <n v="-811.67"/>
  </r>
  <r>
    <d v="2022-11-14T00:00:00"/>
    <x v="846"/>
    <x v="7"/>
    <n v="914.84"/>
    <x v="0"/>
    <x v="34"/>
    <x v="2"/>
    <n v="150"/>
    <x v="0"/>
    <n v="-914.84"/>
  </r>
  <r>
    <d v="2022-11-15T00:00:00"/>
    <x v="847"/>
    <x v="0"/>
    <n v="1739.13"/>
    <x v="0"/>
    <x v="34"/>
    <x v="2"/>
    <n v="500"/>
    <x v="0"/>
    <n v="-1739.13"/>
  </r>
  <r>
    <d v="2022-11-17T00:00:00"/>
    <x v="848"/>
    <x v="2"/>
    <n v="1464.55"/>
    <x v="0"/>
    <x v="34"/>
    <x v="2"/>
    <n v="1500"/>
    <x v="1"/>
    <n v="-1464.55"/>
  </r>
  <r>
    <d v="2022-11-17T00:00:00"/>
    <x v="849"/>
    <x v="7"/>
    <n v="1701.71"/>
    <x v="0"/>
    <x v="34"/>
    <x v="2"/>
    <n v="150"/>
    <x v="0"/>
    <n v="-1701.71"/>
  </r>
  <r>
    <d v="2022-11-18T00:00:00"/>
    <x v="850"/>
    <x v="4"/>
    <n v="443.48"/>
    <x v="0"/>
    <x v="34"/>
    <x v="2"/>
    <n v="300"/>
    <x v="0"/>
    <n v="-443.48"/>
  </r>
  <r>
    <d v="2022-11-19T00:00:00"/>
    <x v="851"/>
    <x v="6"/>
    <n v="994.48"/>
    <x v="0"/>
    <x v="34"/>
    <x v="2"/>
    <n v="200"/>
    <x v="0"/>
    <n v="-994.48"/>
  </r>
  <r>
    <d v="2022-11-21T00:00:00"/>
    <x v="852"/>
    <x v="9"/>
    <n v="682.13"/>
    <x v="0"/>
    <x v="34"/>
    <x v="2"/>
    <n v="200"/>
    <x v="0"/>
    <n v="-682.13"/>
  </r>
  <r>
    <d v="2022-11-22T00:00:00"/>
    <x v="853"/>
    <x v="8"/>
    <n v="1578.72"/>
    <x v="1"/>
    <x v="34"/>
    <x v="2"/>
    <n v="0"/>
    <x v="2"/>
    <n v="1578.72"/>
  </r>
  <r>
    <d v="2022-11-26T00:00:00"/>
    <x v="854"/>
    <x v="0"/>
    <n v="101.43"/>
    <x v="0"/>
    <x v="34"/>
    <x v="2"/>
    <n v="500"/>
    <x v="1"/>
    <n v="-101.43"/>
  </r>
  <r>
    <d v="2022-11-26T00:00:00"/>
    <x v="855"/>
    <x v="8"/>
    <n v="42.4"/>
    <x v="1"/>
    <x v="34"/>
    <x v="2"/>
    <n v="0"/>
    <x v="2"/>
    <n v="42.4"/>
  </r>
  <r>
    <d v="2022-11-28T00:00:00"/>
    <x v="856"/>
    <x v="1"/>
    <n v="888.16"/>
    <x v="0"/>
    <x v="34"/>
    <x v="2"/>
    <n v="150"/>
    <x v="0"/>
    <n v="-888.16"/>
  </r>
  <r>
    <d v="2022-11-28T00:00:00"/>
    <x v="857"/>
    <x v="5"/>
    <n v="2157"/>
    <x v="1"/>
    <x v="34"/>
    <x v="2"/>
    <n v="0"/>
    <x v="2"/>
    <n v="2157"/>
  </r>
  <r>
    <d v="2022-12-01T00:00:00"/>
    <x v="858"/>
    <x v="1"/>
    <n v="1765.47"/>
    <x v="0"/>
    <x v="35"/>
    <x v="2"/>
    <n v="150"/>
    <x v="0"/>
    <n v="-1765.47"/>
  </r>
  <r>
    <d v="2022-12-03T00:00:00"/>
    <x v="859"/>
    <x v="9"/>
    <n v="195.75"/>
    <x v="0"/>
    <x v="35"/>
    <x v="2"/>
    <n v="200"/>
    <x v="1"/>
    <n v="-195.75"/>
  </r>
  <r>
    <d v="2022-12-04T00:00:00"/>
    <x v="860"/>
    <x v="2"/>
    <n v="749.97"/>
    <x v="0"/>
    <x v="35"/>
    <x v="2"/>
    <n v="1500"/>
    <x v="1"/>
    <n v="-749.97"/>
  </r>
  <r>
    <d v="2022-12-05T00:00:00"/>
    <x v="861"/>
    <x v="1"/>
    <n v="113.06"/>
    <x v="0"/>
    <x v="35"/>
    <x v="2"/>
    <n v="150"/>
    <x v="1"/>
    <n v="-113.06"/>
  </r>
  <r>
    <d v="2022-12-05T00:00:00"/>
    <x v="862"/>
    <x v="6"/>
    <n v="864.17"/>
    <x v="0"/>
    <x v="35"/>
    <x v="2"/>
    <n v="200"/>
    <x v="0"/>
    <n v="-864.17"/>
  </r>
  <r>
    <d v="2022-12-07T00:00:00"/>
    <x v="863"/>
    <x v="3"/>
    <n v="508"/>
    <x v="1"/>
    <x v="35"/>
    <x v="2"/>
    <n v="0"/>
    <x v="2"/>
    <n v="508"/>
  </r>
  <r>
    <d v="2022-12-12T00:00:00"/>
    <x v="864"/>
    <x v="2"/>
    <n v="274.07"/>
    <x v="0"/>
    <x v="35"/>
    <x v="2"/>
    <n v="1500"/>
    <x v="1"/>
    <n v="-274.07"/>
  </r>
  <r>
    <d v="2022-12-13T00:00:00"/>
    <x v="865"/>
    <x v="8"/>
    <n v="28.48"/>
    <x v="1"/>
    <x v="35"/>
    <x v="2"/>
    <n v="0"/>
    <x v="2"/>
    <n v="28.48"/>
  </r>
  <r>
    <d v="2022-12-15T00:00:00"/>
    <x v="866"/>
    <x v="2"/>
    <n v="1976.43"/>
    <x v="0"/>
    <x v="35"/>
    <x v="2"/>
    <n v="1500"/>
    <x v="0"/>
    <n v="-1976.43"/>
  </r>
  <r>
    <d v="2022-12-16T00:00:00"/>
    <x v="867"/>
    <x v="1"/>
    <n v="960.62"/>
    <x v="0"/>
    <x v="35"/>
    <x v="2"/>
    <n v="150"/>
    <x v="0"/>
    <n v="-960.62"/>
  </r>
  <r>
    <d v="2022-12-18T00:00:00"/>
    <x v="868"/>
    <x v="2"/>
    <n v="1464.22"/>
    <x v="0"/>
    <x v="35"/>
    <x v="2"/>
    <n v="1500"/>
    <x v="1"/>
    <n v="-1464.22"/>
  </r>
  <r>
    <d v="2022-12-22T00:00:00"/>
    <x v="869"/>
    <x v="5"/>
    <n v="3511"/>
    <x v="1"/>
    <x v="35"/>
    <x v="2"/>
    <n v="0"/>
    <x v="2"/>
    <n v="3511"/>
  </r>
  <r>
    <d v="2022-12-28T00:00:00"/>
    <x v="870"/>
    <x v="1"/>
    <n v="771.61"/>
    <x v="0"/>
    <x v="35"/>
    <x v="2"/>
    <n v="150"/>
    <x v="0"/>
    <n v="-771.61"/>
  </r>
  <r>
    <d v="2022-12-30T00:00:00"/>
    <x v="871"/>
    <x v="1"/>
    <n v="1286.74"/>
    <x v="0"/>
    <x v="35"/>
    <x v="2"/>
    <n v="150"/>
    <x v="0"/>
    <n v="-1286.74"/>
  </r>
  <r>
    <d v="2022-12-31T00:00:00"/>
    <x v="872"/>
    <x v="2"/>
    <n v="1065.71"/>
    <x v="0"/>
    <x v="35"/>
    <x v="2"/>
    <n v="1500"/>
    <x v="1"/>
    <n v="-1065.71"/>
  </r>
  <r>
    <d v="2023-01-03T00:00:00"/>
    <x v="873"/>
    <x v="3"/>
    <n v="4105"/>
    <x v="1"/>
    <x v="36"/>
    <x v="3"/>
    <n v="0"/>
    <x v="2"/>
    <n v="4105"/>
  </r>
  <r>
    <d v="2023-01-04T00:00:00"/>
    <x v="874"/>
    <x v="6"/>
    <n v="1259.8800000000001"/>
    <x v="0"/>
    <x v="36"/>
    <x v="3"/>
    <n v="200"/>
    <x v="0"/>
    <n v="-1259.8800000000001"/>
  </r>
  <r>
    <d v="2023-01-04T00:00:00"/>
    <x v="875"/>
    <x v="5"/>
    <n v="4124"/>
    <x v="1"/>
    <x v="36"/>
    <x v="3"/>
    <n v="0"/>
    <x v="2"/>
    <n v="4124"/>
  </r>
  <r>
    <d v="2023-01-06T00:00:00"/>
    <x v="876"/>
    <x v="2"/>
    <n v="1794.22"/>
    <x v="0"/>
    <x v="36"/>
    <x v="3"/>
    <n v="1500"/>
    <x v="0"/>
    <n v="-1794.22"/>
  </r>
  <r>
    <d v="2023-01-09T00:00:00"/>
    <x v="877"/>
    <x v="3"/>
    <n v="3645"/>
    <x v="1"/>
    <x v="36"/>
    <x v="3"/>
    <n v="0"/>
    <x v="2"/>
    <n v="3645"/>
  </r>
  <r>
    <d v="2023-01-10T00:00:00"/>
    <x v="878"/>
    <x v="4"/>
    <n v="635.86"/>
    <x v="0"/>
    <x v="36"/>
    <x v="3"/>
    <n v="300"/>
    <x v="0"/>
    <n v="-635.86"/>
  </r>
  <r>
    <d v="2023-01-11T00:00:00"/>
    <x v="879"/>
    <x v="5"/>
    <n v="1190"/>
    <x v="1"/>
    <x v="36"/>
    <x v="3"/>
    <n v="0"/>
    <x v="2"/>
    <n v="1190"/>
  </r>
  <r>
    <d v="2023-01-13T00:00:00"/>
    <x v="880"/>
    <x v="9"/>
    <n v="1560.15"/>
    <x v="0"/>
    <x v="36"/>
    <x v="3"/>
    <n v="200"/>
    <x v="0"/>
    <n v="-1560.15"/>
  </r>
  <r>
    <d v="2023-01-15T00:00:00"/>
    <x v="881"/>
    <x v="9"/>
    <n v="418.84"/>
    <x v="0"/>
    <x v="36"/>
    <x v="3"/>
    <n v="200"/>
    <x v="0"/>
    <n v="-418.84"/>
  </r>
  <r>
    <d v="2023-01-16T00:00:00"/>
    <x v="882"/>
    <x v="6"/>
    <n v="1498.21"/>
    <x v="0"/>
    <x v="36"/>
    <x v="3"/>
    <n v="200"/>
    <x v="0"/>
    <n v="-1498.21"/>
  </r>
  <r>
    <d v="2023-01-17T00:00:00"/>
    <x v="883"/>
    <x v="0"/>
    <n v="1569.77"/>
    <x v="0"/>
    <x v="36"/>
    <x v="3"/>
    <n v="500"/>
    <x v="0"/>
    <n v="-1569.77"/>
  </r>
  <r>
    <d v="2023-01-18T00:00:00"/>
    <x v="884"/>
    <x v="6"/>
    <n v="994.83"/>
    <x v="0"/>
    <x v="36"/>
    <x v="3"/>
    <n v="200"/>
    <x v="0"/>
    <n v="-994.83"/>
  </r>
  <r>
    <d v="2023-01-19T00:00:00"/>
    <x v="885"/>
    <x v="5"/>
    <n v="1081"/>
    <x v="1"/>
    <x v="36"/>
    <x v="3"/>
    <n v="0"/>
    <x v="2"/>
    <n v="1081"/>
  </r>
  <r>
    <d v="2023-01-19T00:00:00"/>
    <x v="886"/>
    <x v="0"/>
    <n v="1973.9"/>
    <x v="0"/>
    <x v="36"/>
    <x v="3"/>
    <n v="500"/>
    <x v="0"/>
    <n v="-1973.9"/>
  </r>
  <r>
    <d v="2023-01-19T00:00:00"/>
    <x v="887"/>
    <x v="1"/>
    <n v="779.81"/>
    <x v="0"/>
    <x v="36"/>
    <x v="3"/>
    <n v="150"/>
    <x v="0"/>
    <n v="-779.81"/>
  </r>
  <r>
    <d v="2023-01-19T00:00:00"/>
    <x v="888"/>
    <x v="4"/>
    <n v="737.17"/>
    <x v="0"/>
    <x v="36"/>
    <x v="3"/>
    <n v="300"/>
    <x v="0"/>
    <n v="-737.17"/>
  </r>
  <r>
    <d v="2023-01-19T00:00:00"/>
    <x v="889"/>
    <x v="8"/>
    <n v="1909.36"/>
    <x v="1"/>
    <x v="36"/>
    <x v="3"/>
    <n v="0"/>
    <x v="2"/>
    <n v="1909.36"/>
  </r>
  <r>
    <d v="2023-01-20T00:00:00"/>
    <x v="890"/>
    <x v="0"/>
    <n v="1178.8499999999999"/>
    <x v="0"/>
    <x v="36"/>
    <x v="3"/>
    <n v="500"/>
    <x v="0"/>
    <n v="-1178.8499999999999"/>
  </r>
  <r>
    <d v="2023-01-21T00:00:00"/>
    <x v="891"/>
    <x v="3"/>
    <n v="826"/>
    <x v="1"/>
    <x v="36"/>
    <x v="3"/>
    <n v="0"/>
    <x v="2"/>
    <n v="826"/>
  </r>
  <r>
    <d v="2023-01-21T00:00:00"/>
    <x v="892"/>
    <x v="4"/>
    <n v="1018.16"/>
    <x v="0"/>
    <x v="36"/>
    <x v="3"/>
    <n v="300"/>
    <x v="0"/>
    <n v="-1018.16"/>
  </r>
  <r>
    <d v="2023-01-22T00:00:00"/>
    <x v="893"/>
    <x v="4"/>
    <n v="852.91"/>
    <x v="0"/>
    <x v="36"/>
    <x v="3"/>
    <n v="300"/>
    <x v="0"/>
    <n v="-852.91"/>
  </r>
  <r>
    <d v="2023-01-23T00:00:00"/>
    <x v="894"/>
    <x v="1"/>
    <n v="562.16"/>
    <x v="0"/>
    <x v="36"/>
    <x v="3"/>
    <n v="150"/>
    <x v="0"/>
    <n v="-562.16"/>
  </r>
  <r>
    <d v="2023-01-23T00:00:00"/>
    <x v="895"/>
    <x v="6"/>
    <n v="1948.88"/>
    <x v="0"/>
    <x v="36"/>
    <x v="3"/>
    <n v="200"/>
    <x v="0"/>
    <n v="-1948.88"/>
  </r>
  <r>
    <d v="2023-01-23T00:00:00"/>
    <x v="896"/>
    <x v="5"/>
    <n v="3700"/>
    <x v="1"/>
    <x v="36"/>
    <x v="3"/>
    <n v="0"/>
    <x v="2"/>
    <n v="3700"/>
  </r>
  <r>
    <d v="2023-01-24T00:00:00"/>
    <x v="897"/>
    <x v="2"/>
    <n v="627.24"/>
    <x v="0"/>
    <x v="36"/>
    <x v="3"/>
    <n v="1500"/>
    <x v="1"/>
    <n v="-627.24"/>
  </r>
  <r>
    <d v="2023-01-24T00:00:00"/>
    <x v="898"/>
    <x v="6"/>
    <n v="125.23"/>
    <x v="0"/>
    <x v="36"/>
    <x v="3"/>
    <n v="200"/>
    <x v="1"/>
    <n v="-125.23"/>
  </r>
  <r>
    <d v="2023-01-24T00:00:00"/>
    <x v="899"/>
    <x v="5"/>
    <n v="1450"/>
    <x v="1"/>
    <x v="36"/>
    <x v="3"/>
    <n v="0"/>
    <x v="2"/>
    <n v="1450"/>
  </r>
  <r>
    <d v="2023-01-24T00:00:00"/>
    <x v="900"/>
    <x v="0"/>
    <n v="625.49"/>
    <x v="0"/>
    <x v="36"/>
    <x v="3"/>
    <n v="500"/>
    <x v="0"/>
    <n v="-625.49"/>
  </r>
  <r>
    <d v="2023-01-24T00:00:00"/>
    <x v="901"/>
    <x v="1"/>
    <n v="247.69"/>
    <x v="0"/>
    <x v="36"/>
    <x v="3"/>
    <n v="150"/>
    <x v="0"/>
    <n v="-247.69"/>
  </r>
  <r>
    <d v="2023-01-24T00:00:00"/>
    <x v="902"/>
    <x v="0"/>
    <n v="336.03"/>
    <x v="0"/>
    <x v="36"/>
    <x v="3"/>
    <n v="500"/>
    <x v="1"/>
    <n v="-336.03"/>
  </r>
  <r>
    <d v="2023-01-25T00:00:00"/>
    <x v="903"/>
    <x v="9"/>
    <n v="342.26"/>
    <x v="0"/>
    <x v="36"/>
    <x v="3"/>
    <n v="200"/>
    <x v="0"/>
    <n v="-342.26"/>
  </r>
  <r>
    <d v="2023-01-26T00:00:00"/>
    <x v="904"/>
    <x v="5"/>
    <n v="1467"/>
    <x v="1"/>
    <x v="36"/>
    <x v="3"/>
    <n v="0"/>
    <x v="2"/>
    <n v="1467"/>
  </r>
  <r>
    <d v="2023-01-27T00:00:00"/>
    <x v="905"/>
    <x v="0"/>
    <n v="676.67"/>
    <x v="0"/>
    <x v="36"/>
    <x v="3"/>
    <n v="500"/>
    <x v="0"/>
    <n v="-676.67"/>
  </r>
  <r>
    <d v="2023-01-27T00:00:00"/>
    <x v="906"/>
    <x v="2"/>
    <n v="533.27"/>
    <x v="0"/>
    <x v="36"/>
    <x v="3"/>
    <n v="1500"/>
    <x v="1"/>
    <n v="-533.27"/>
  </r>
  <r>
    <d v="2023-01-28T00:00:00"/>
    <x v="907"/>
    <x v="2"/>
    <n v="997.33"/>
    <x v="0"/>
    <x v="36"/>
    <x v="3"/>
    <n v="1500"/>
    <x v="1"/>
    <n v="-997.33"/>
  </r>
  <r>
    <d v="2023-01-29T00:00:00"/>
    <x v="908"/>
    <x v="0"/>
    <n v="1004.22"/>
    <x v="0"/>
    <x v="36"/>
    <x v="3"/>
    <n v="500"/>
    <x v="0"/>
    <n v="-1004.22"/>
  </r>
  <r>
    <d v="2023-01-29T00:00:00"/>
    <x v="909"/>
    <x v="7"/>
    <n v="323.05"/>
    <x v="0"/>
    <x v="36"/>
    <x v="3"/>
    <n v="150"/>
    <x v="0"/>
    <n v="-323.05"/>
  </r>
  <r>
    <d v="2023-01-30T00:00:00"/>
    <x v="910"/>
    <x v="2"/>
    <n v="464.52"/>
    <x v="0"/>
    <x v="36"/>
    <x v="3"/>
    <n v="1500"/>
    <x v="1"/>
    <n v="-464.52"/>
  </r>
  <r>
    <d v="2023-01-31T00:00:00"/>
    <x v="911"/>
    <x v="0"/>
    <n v="1718.79"/>
    <x v="0"/>
    <x v="36"/>
    <x v="3"/>
    <n v="500"/>
    <x v="0"/>
    <n v="-1718.79"/>
  </r>
  <r>
    <d v="2023-01-31T00:00:00"/>
    <x v="912"/>
    <x v="3"/>
    <n v="4364"/>
    <x v="1"/>
    <x v="36"/>
    <x v="3"/>
    <n v="0"/>
    <x v="2"/>
    <n v="4364"/>
  </r>
  <r>
    <d v="2023-02-01T00:00:00"/>
    <x v="913"/>
    <x v="1"/>
    <n v="366.13"/>
    <x v="0"/>
    <x v="37"/>
    <x v="3"/>
    <n v="150"/>
    <x v="0"/>
    <n v="-366.13"/>
  </r>
  <r>
    <d v="2023-02-02T00:00:00"/>
    <x v="914"/>
    <x v="0"/>
    <n v="1110.2"/>
    <x v="0"/>
    <x v="37"/>
    <x v="3"/>
    <n v="500"/>
    <x v="0"/>
    <n v="-1110.2"/>
  </r>
  <r>
    <d v="2023-02-03T00:00:00"/>
    <x v="915"/>
    <x v="4"/>
    <n v="456.79"/>
    <x v="0"/>
    <x v="37"/>
    <x v="3"/>
    <n v="300"/>
    <x v="0"/>
    <n v="-456.79"/>
  </r>
  <r>
    <d v="2023-02-06T00:00:00"/>
    <x v="916"/>
    <x v="7"/>
    <n v="549.79999999999995"/>
    <x v="0"/>
    <x v="37"/>
    <x v="3"/>
    <n v="150"/>
    <x v="0"/>
    <n v="-549.79999999999995"/>
  </r>
  <r>
    <d v="2023-02-07T00:00:00"/>
    <x v="917"/>
    <x v="5"/>
    <n v="1478"/>
    <x v="1"/>
    <x v="37"/>
    <x v="3"/>
    <n v="0"/>
    <x v="2"/>
    <n v="1478"/>
  </r>
  <r>
    <d v="2023-02-07T00:00:00"/>
    <x v="918"/>
    <x v="0"/>
    <n v="366.9"/>
    <x v="0"/>
    <x v="37"/>
    <x v="3"/>
    <n v="500"/>
    <x v="1"/>
    <n v="-366.9"/>
  </r>
  <r>
    <d v="2023-02-08T00:00:00"/>
    <x v="919"/>
    <x v="0"/>
    <n v="1908.62"/>
    <x v="0"/>
    <x v="37"/>
    <x v="3"/>
    <n v="500"/>
    <x v="0"/>
    <n v="-1908.62"/>
  </r>
  <r>
    <d v="2023-02-08T00:00:00"/>
    <x v="920"/>
    <x v="5"/>
    <n v="2812"/>
    <x v="1"/>
    <x v="37"/>
    <x v="3"/>
    <n v="0"/>
    <x v="2"/>
    <n v="2812"/>
  </r>
  <r>
    <d v="2023-02-09T00:00:00"/>
    <x v="921"/>
    <x v="9"/>
    <n v="661.33"/>
    <x v="0"/>
    <x v="37"/>
    <x v="3"/>
    <n v="200"/>
    <x v="0"/>
    <n v="-661.33"/>
  </r>
  <r>
    <d v="2023-02-12T00:00:00"/>
    <x v="922"/>
    <x v="0"/>
    <n v="744.15"/>
    <x v="0"/>
    <x v="37"/>
    <x v="3"/>
    <n v="500"/>
    <x v="0"/>
    <n v="-744.15"/>
  </r>
  <r>
    <d v="2023-02-13T00:00:00"/>
    <x v="923"/>
    <x v="9"/>
    <n v="1481.76"/>
    <x v="0"/>
    <x v="37"/>
    <x v="3"/>
    <n v="200"/>
    <x v="0"/>
    <n v="-1481.76"/>
  </r>
  <r>
    <d v="2023-02-15T00:00:00"/>
    <x v="924"/>
    <x v="7"/>
    <n v="1187.46"/>
    <x v="0"/>
    <x v="37"/>
    <x v="3"/>
    <n v="150"/>
    <x v="0"/>
    <n v="-1187.46"/>
  </r>
  <r>
    <d v="2023-02-16T00:00:00"/>
    <x v="925"/>
    <x v="6"/>
    <n v="1467.6"/>
    <x v="0"/>
    <x v="37"/>
    <x v="3"/>
    <n v="200"/>
    <x v="0"/>
    <n v="-1467.6"/>
  </r>
  <r>
    <d v="2023-02-18T00:00:00"/>
    <x v="926"/>
    <x v="6"/>
    <n v="309.63"/>
    <x v="0"/>
    <x v="37"/>
    <x v="3"/>
    <n v="200"/>
    <x v="0"/>
    <n v="-309.63"/>
  </r>
  <r>
    <d v="2023-02-20T00:00:00"/>
    <x v="927"/>
    <x v="0"/>
    <n v="473.67"/>
    <x v="0"/>
    <x v="37"/>
    <x v="3"/>
    <n v="500"/>
    <x v="1"/>
    <n v="-473.67"/>
  </r>
  <r>
    <d v="2023-02-20T00:00:00"/>
    <x v="928"/>
    <x v="0"/>
    <n v="1902.47"/>
    <x v="0"/>
    <x v="37"/>
    <x v="3"/>
    <n v="500"/>
    <x v="0"/>
    <n v="-1902.47"/>
  </r>
  <r>
    <d v="2023-02-22T00:00:00"/>
    <x v="929"/>
    <x v="5"/>
    <n v="3019"/>
    <x v="1"/>
    <x v="37"/>
    <x v="3"/>
    <n v="0"/>
    <x v="2"/>
    <n v="3019"/>
  </r>
  <r>
    <d v="2023-02-22T00:00:00"/>
    <x v="930"/>
    <x v="3"/>
    <n v="3939"/>
    <x v="1"/>
    <x v="37"/>
    <x v="3"/>
    <n v="0"/>
    <x v="2"/>
    <n v="3939"/>
  </r>
  <r>
    <d v="2023-02-24T00:00:00"/>
    <x v="931"/>
    <x v="0"/>
    <n v="1945.39"/>
    <x v="0"/>
    <x v="37"/>
    <x v="3"/>
    <n v="500"/>
    <x v="0"/>
    <n v="-1945.39"/>
  </r>
  <r>
    <d v="2023-02-26T00:00:00"/>
    <x v="932"/>
    <x v="5"/>
    <n v="1262"/>
    <x v="1"/>
    <x v="37"/>
    <x v="3"/>
    <n v="0"/>
    <x v="2"/>
    <n v="1262"/>
  </r>
  <r>
    <d v="2023-02-26T00:00:00"/>
    <x v="933"/>
    <x v="3"/>
    <n v="4757"/>
    <x v="1"/>
    <x v="37"/>
    <x v="3"/>
    <n v="0"/>
    <x v="2"/>
    <n v="4757"/>
  </r>
  <r>
    <d v="2023-02-26T00:00:00"/>
    <x v="934"/>
    <x v="7"/>
    <n v="922.33"/>
    <x v="0"/>
    <x v="37"/>
    <x v="3"/>
    <n v="150"/>
    <x v="0"/>
    <n v="-922.33"/>
  </r>
  <r>
    <d v="2023-02-28T00:00:00"/>
    <x v="935"/>
    <x v="2"/>
    <n v="1015.8"/>
    <x v="0"/>
    <x v="37"/>
    <x v="3"/>
    <n v="1500"/>
    <x v="1"/>
    <n v="-1015.8"/>
  </r>
  <r>
    <d v="2023-03-03T00:00:00"/>
    <x v="936"/>
    <x v="4"/>
    <n v="158.91"/>
    <x v="0"/>
    <x v="38"/>
    <x v="3"/>
    <n v="300"/>
    <x v="1"/>
    <n v="-158.91"/>
  </r>
  <r>
    <d v="2023-03-03T00:00:00"/>
    <x v="937"/>
    <x v="4"/>
    <n v="1328.26"/>
    <x v="0"/>
    <x v="38"/>
    <x v="3"/>
    <n v="300"/>
    <x v="0"/>
    <n v="-1328.26"/>
  </r>
  <r>
    <d v="2023-03-05T00:00:00"/>
    <x v="938"/>
    <x v="5"/>
    <n v="2638"/>
    <x v="1"/>
    <x v="38"/>
    <x v="3"/>
    <n v="0"/>
    <x v="2"/>
    <n v="2638"/>
  </r>
  <r>
    <d v="2023-03-05T00:00:00"/>
    <x v="939"/>
    <x v="4"/>
    <n v="1404.44"/>
    <x v="0"/>
    <x v="38"/>
    <x v="3"/>
    <n v="300"/>
    <x v="0"/>
    <n v="-1404.44"/>
  </r>
  <r>
    <d v="2023-03-05T00:00:00"/>
    <x v="940"/>
    <x v="7"/>
    <n v="910.99"/>
    <x v="0"/>
    <x v="38"/>
    <x v="3"/>
    <n v="150"/>
    <x v="0"/>
    <n v="-910.99"/>
  </r>
  <r>
    <d v="2023-03-07T00:00:00"/>
    <x v="941"/>
    <x v="6"/>
    <n v="280.86"/>
    <x v="0"/>
    <x v="38"/>
    <x v="3"/>
    <n v="200"/>
    <x v="0"/>
    <n v="-280.86"/>
  </r>
  <r>
    <d v="2023-03-08T00:00:00"/>
    <x v="942"/>
    <x v="2"/>
    <n v="319.27"/>
    <x v="0"/>
    <x v="38"/>
    <x v="3"/>
    <n v="1500"/>
    <x v="1"/>
    <n v="-319.27"/>
  </r>
  <r>
    <d v="2023-03-08T00:00:00"/>
    <x v="943"/>
    <x v="5"/>
    <n v="3072"/>
    <x v="1"/>
    <x v="38"/>
    <x v="3"/>
    <n v="0"/>
    <x v="2"/>
    <n v="3072"/>
  </r>
  <r>
    <d v="2023-03-08T00:00:00"/>
    <x v="944"/>
    <x v="7"/>
    <n v="1929.62"/>
    <x v="0"/>
    <x v="38"/>
    <x v="3"/>
    <n v="150"/>
    <x v="0"/>
    <n v="-1929.62"/>
  </r>
  <r>
    <d v="2023-03-08T00:00:00"/>
    <x v="945"/>
    <x v="9"/>
    <n v="932.06"/>
    <x v="0"/>
    <x v="38"/>
    <x v="3"/>
    <n v="200"/>
    <x v="0"/>
    <n v="-932.06"/>
  </r>
  <r>
    <d v="2023-03-10T00:00:00"/>
    <x v="946"/>
    <x v="2"/>
    <n v="323.64999999999998"/>
    <x v="0"/>
    <x v="38"/>
    <x v="3"/>
    <n v="1500"/>
    <x v="1"/>
    <n v="-323.64999999999998"/>
  </r>
  <r>
    <d v="2023-03-10T00:00:00"/>
    <x v="947"/>
    <x v="0"/>
    <n v="437.89"/>
    <x v="0"/>
    <x v="38"/>
    <x v="3"/>
    <n v="500"/>
    <x v="1"/>
    <n v="-437.89"/>
  </r>
  <r>
    <d v="2023-03-12T00:00:00"/>
    <x v="948"/>
    <x v="1"/>
    <n v="191.51"/>
    <x v="0"/>
    <x v="38"/>
    <x v="3"/>
    <n v="150"/>
    <x v="0"/>
    <n v="-191.51"/>
  </r>
  <r>
    <d v="2023-03-13T00:00:00"/>
    <x v="949"/>
    <x v="7"/>
    <n v="798.53"/>
    <x v="0"/>
    <x v="38"/>
    <x v="3"/>
    <n v="150"/>
    <x v="0"/>
    <n v="-798.53"/>
  </r>
  <r>
    <d v="2023-03-13T00:00:00"/>
    <x v="950"/>
    <x v="5"/>
    <n v="2631"/>
    <x v="1"/>
    <x v="38"/>
    <x v="3"/>
    <n v="0"/>
    <x v="2"/>
    <n v="2631"/>
  </r>
  <r>
    <d v="2023-03-13T00:00:00"/>
    <x v="951"/>
    <x v="1"/>
    <n v="71.849999999999994"/>
    <x v="0"/>
    <x v="38"/>
    <x v="3"/>
    <n v="150"/>
    <x v="1"/>
    <n v="-71.849999999999994"/>
  </r>
  <r>
    <d v="2023-03-15T00:00:00"/>
    <x v="952"/>
    <x v="8"/>
    <n v="1116.3499999999999"/>
    <x v="1"/>
    <x v="38"/>
    <x v="3"/>
    <n v="0"/>
    <x v="2"/>
    <n v="1116.3499999999999"/>
  </r>
  <r>
    <d v="2023-03-15T00:00:00"/>
    <x v="953"/>
    <x v="2"/>
    <n v="929.47"/>
    <x v="0"/>
    <x v="38"/>
    <x v="3"/>
    <n v="1500"/>
    <x v="1"/>
    <n v="-929.47"/>
  </r>
  <r>
    <d v="2023-03-16T00:00:00"/>
    <x v="954"/>
    <x v="1"/>
    <n v="251.69"/>
    <x v="0"/>
    <x v="38"/>
    <x v="3"/>
    <n v="150"/>
    <x v="0"/>
    <n v="-251.69"/>
  </r>
  <r>
    <d v="2023-03-16T00:00:00"/>
    <x v="955"/>
    <x v="3"/>
    <n v="1570"/>
    <x v="1"/>
    <x v="38"/>
    <x v="3"/>
    <n v="0"/>
    <x v="2"/>
    <n v="1570"/>
  </r>
  <r>
    <d v="2023-03-18T00:00:00"/>
    <x v="956"/>
    <x v="5"/>
    <n v="3549"/>
    <x v="1"/>
    <x v="38"/>
    <x v="3"/>
    <n v="0"/>
    <x v="2"/>
    <n v="3549"/>
  </r>
  <r>
    <d v="2023-03-18T00:00:00"/>
    <x v="957"/>
    <x v="2"/>
    <n v="1168.82"/>
    <x v="0"/>
    <x v="38"/>
    <x v="3"/>
    <n v="1500"/>
    <x v="1"/>
    <n v="-1168.82"/>
  </r>
  <r>
    <d v="2023-03-21T00:00:00"/>
    <x v="958"/>
    <x v="2"/>
    <n v="53.38"/>
    <x v="0"/>
    <x v="38"/>
    <x v="3"/>
    <n v="1500"/>
    <x v="1"/>
    <n v="-53.38"/>
  </r>
  <r>
    <d v="2023-03-22T00:00:00"/>
    <x v="959"/>
    <x v="5"/>
    <n v="1555"/>
    <x v="1"/>
    <x v="38"/>
    <x v="3"/>
    <n v="0"/>
    <x v="2"/>
    <n v="1555"/>
  </r>
  <r>
    <d v="2023-03-23T00:00:00"/>
    <x v="960"/>
    <x v="5"/>
    <n v="1503"/>
    <x v="1"/>
    <x v="38"/>
    <x v="3"/>
    <n v="0"/>
    <x v="2"/>
    <n v="1503"/>
  </r>
  <r>
    <d v="2023-03-23T00:00:00"/>
    <x v="961"/>
    <x v="5"/>
    <n v="914"/>
    <x v="1"/>
    <x v="38"/>
    <x v="3"/>
    <n v="0"/>
    <x v="2"/>
    <n v="914"/>
  </r>
  <r>
    <d v="2023-03-23T00:00:00"/>
    <x v="962"/>
    <x v="5"/>
    <n v="3735"/>
    <x v="1"/>
    <x v="38"/>
    <x v="3"/>
    <n v="0"/>
    <x v="2"/>
    <n v="3735"/>
  </r>
  <r>
    <d v="2023-03-24T00:00:00"/>
    <x v="963"/>
    <x v="4"/>
    <n v="1369.59"/>
    <x v="0"/>
    <x v="38"/>
    <x v="3"/>
    <n v="300"/>
    <x v="0"/>
    <n v="-1369.59"/>
  </r>
  <r>
    <d v="2023-03-27T00:00:00"/>
    <x v="964"/>
    <x v="3"/>
    <n v="2033"/>
    <x v="1"/>
    <x v="38"/>
    <x v="3"/>
    <n v="0"/>
    <x v="2"/>
    <n v="2033"/>
  </r>
  <r>
    <d v="2023-03-29T00:00:00"/>
    <x v="965"/>
    <x v="8"/>
    <n v="1768.01"/>
    <x v="1"/>
    <x v="38"/>
    <x v="3"/>
    <n v="0"/>
    <x v="2"/>
    <n v="1768.01"/>
  </r>
  <r>
    <d v="2023-03-30T00:00:00"/>
    <x v="966"/>
    <x v="3"/>
    <n v="2917"/>
    <x v="1"/>
    <x v="38"/>
    <x v="3"/>
    <n v="0"/>
    <x v="2"/>
    <n v="2917"/>
  </r>
  <r>
    <d v="2023-03-31T00:00:00"/>
    <x v="967"/>
    <x v="8"/>
    <n v="131.35"/>
    <x v="1"/>
    <x v="38"/>
    <x v="3"/>
    <n v="0"/>
    <x v="2"/>
    <n v="131.35"/>
  </r>
  <r>
    <d v="2023-03-31T00:00:00"/>
    <x v="968"/>
    <x v="1"/>
    <n v="844.28"/>
    <x v="0"/>
    <x v="38"/>
    <x v="3"/>
    <n v="150"/>
    <x v="0"/>
    <n v="-844.28"/>
  </r>
  <r>
    <d v="2023-04-01T00:00:00"/>
    <x v="969"/>
    <x v="6"/>
    <n v="1265.2"/>
    <x v="0"/>
    <x v="39"/>
    <x v="3"/>
    <n v="200"/>
    <x v="0"/>
    <n v="-1265.2"/>
  </r>
  <r>
    <d v="2023-04-01T00:00:00"/>
    <x v="970"/>
    <x v="0"/>
    <n v="1978.91"/>
    <x v="0"/>
    <x v="39"/>
    <x v="3"/>
    <n v="500"/>
    <x v="0"/>
    <n v="-1978.91"/>
  </r>
  <r>
    <d v="2023-04-04T00:00:00"/>
    <x v="971"/>
    <x v="7"/>
    <n v="964.57"/>
    <x v="0"/>
    <x v="39"/>
    <x v="3"/>
    <n v="150"/>
    <x v="0"/>
    <n v="-964.57"/>
  </r>
  <r>
    <d v="2023-04-07T00:00:00"/>
    <x v="972"/>
    <x v="7"/>
    <n v="1826.23"/>
    <x v="0"/>
    <x v="39"/>
    <x v="3"/>
    <n v="150"/>
    <x v="0"/>
    <n v="-1826.23"/>
  </r>
  <r>
    <d v="2023-04-08T00:00:00"/>
    <x v="973"/>
    <x v="4"/>
    <n v="548.16999999999996"/>
    <x v="0"/>
    <x v="39"/>
    <x v="3"/>
    <n v="300"/>
    <x v="0"/>
    <n v="-548.16999999999996"/>
  </r>
  <r>
    <d v="2023-04-09T00:00:00"/>
    <x v="974"/>
    <x v="3"/>
    <n v="740"/>
    <x v="1"/>
    <x v="39"/>
    <x v="3"/>
    <n v="0"/>
    <x v="2"/>
    <n v="740"/>
  </r>
  <r>
    <d v="2023-04-10T00:00:00"/>
    <x v="975"/>
    <x v="9"/>
    <n v="126.6"/>
    <x v="0"/>
    <x v="39"/>
    <x v="3"/>
    <n v="200"/>
    <x v="1"/>
    <n v="-126.6"/>
  </r>
  <r>
    <d v="2023-04-10T00:00:00"/>
    <x v="976"/>
    <x v="7"/>
    <n v="1536.02"/>
    <x v="0"/>
    <x v="39"/>
    <x v="3"/>
    <n v="150"/>
    <x v="0"/>
    <n v="-1536.02"/>
  </r>
  <r>
    <d v="2023-04-13T00:00:00"/>
    <x v="977"/>
    <x v="1"/>
    <n v="209.27"/>
    <x v="0"/>
    <x v="39"/>
    <x v="3"/>
    <n v="150"/>
    <x v="0"/>
    <n v="-209.27"/>
  </r>
  <r>
    <d v="2023-04-15T00:00:00"/>
    <x v="978"/>
    <x v="9"/>
    <n v="1072.04"/>
    <x v="0"/>
    <x v="39"/>
    <x v="3"/>
    <n v="200"/>
    <x v="0"/>
    <n v="-1072.04"/>
  </r>
  <r>
    <d v="2023-04-16T00:00:00"/>
    <x v="979"/>
    <x v="0"/>
    <n v="1530.46"/>
    <x v="0"/>
    <x v="39"/>
    <x v="3"/>
    <n v="500"/>
    <x v="0"/>
    <n v="-1530.46"/>
  </r>
  <r>
    <d v="2023-04-20T00:00:00"/>
    <x v="980"/>
    <x v="4"/>
    <n v="716.06"/>
    <x v="0"/>
    <x v="39"/>
    <x v="3"/>
    <n v="300"/>
    <x v="0"/>
    <n v="-716.06"/>
  </r>
  <r>
    <d v="2023-04-20T00:00:00"/>
    <x v="981"/>
    <x v="1"/>
    <n v="360.44"/>
    <x v="0"/>
    <x v="39"/>
    <x v="3"/>
    <n v="150"/>
    <x v="0"/>
    <n v="-360.44"/>
  </r>
  <r>
    <d v="2023-04-21T00:00:00"/>
    <x v="982"/>
    <x v="7"/>
    <n v="1828.82"/>
    <x v="0"/>
    <x v="39"/>
    <x v="3"/>
    <n v="150"/>
    <x v="0"/>
    <n v="-1828.82"/>
  </r>
  <r>
    <d v="2023-04-22T00:00:00"/>
    <x v="983"/>
    <x v="5"/>
    <n v="1664"/>
    <x v="1"/>
    <x v="39"/>
    <x v="3"/>
    <n v="0"/>
    <x v="2"/>
    <n v="1664"/>
  </r>
  <r>
    <d v="2023-04-22T00:00:00"/>
    <x v="984"/>
    <x v="6"/>
    <n v="1675.03"/>
    <x v="0"/>
    <x v="39"/>
    <x v="3"/>
    <n v="200"/>
    <x v="0"/>
    <n v="-1675.03"/>
  </r>
  <r>
    <d v="2023-04-23T00:00:00"/>
    <x v="985"/>
    <x v="8"/>
    <n v="1088.83"/>
    <x v="1"/>
    <x v="39"/>
    <x v="3"/>
    <n v="0"/>
    <x v="2"/>
    <n v="1088.83"/>
  </r>
  <r>
    <d v="2023-04-24T00:00:00"/>
    <x v="986"/>
    <x v="3"/>
    <n v="1239"/>
    <x v="1"/>
    <x v="39"/>
    <x v="3"/>
    <n v="0"/>
    <x v="2"/>
    <n v="1239"/>
  </r>
  <r>
    <d v="2023-04-25T00:00:00"/>
    <x v="987"/>
    <x v="3"/>
    <n v="663"/>
    <x v="1"/>
    <x v="39"/>
    <x v="3"/>
    <n v="0"/>
    <x v="2"/>
    <n v="663"/>
  </r>
  <r>
    <d v="2023-05-02T00:00:00"/>
    <x v="988"/>
    <x v="0"/>
    <n v="670.15"/>
    <x v="0"/>
    <x v="40"/>
    <x v="3"/>
    <n v="500"/>
    <x v="0"/>
    <n v="-670.15"/>
  </r>
  <r>
    <d v="2023-05-02T00:00:00"/>
    <x v="989"/>
    <x v="1"/>
    <n v="688.11"/>
    <x v="0"/>
    <x v="40"/>
    <x v="3"/>
    <n v="150"/>
    <x v="0"/>
    <n v="-688.11"/>
  </r>
  <r>
    <d v="2023-05-03T00:00:00"/>
    <x v="990"/>
    <x v="5"/>
    <n v="987"/>
    <x v="1"/>
    <x v="40"/>
    <x v="3"/>
    <n v="0"/>
    <x v="2"/>
    <n v="987"/>
  </r>
  <r>
    <d v="2023-05-05T00:00:00"/>
    <x v="991"/>
    <x v="3"/>
    <n v="1408"/>
    <x v="1"/>
    <x v="40"/>
    <x v="3"/>
    <n v="0"/>
    <x v="2"/>
    <n v="1408"/>
  </r>
  <r>
    <d v="2023-05-05T00:00:00"/>
    <x v="992"/>
    <x v="7"/>
    <n v="1921.51"/>
    <x v="0"/>
    <x v="40"/>
    <x v="3"/>
    <n v="150"/>
    <x v="0"/>
    <n v="-1921.51"/>
  </r>
  <r>
    <d v="2023-05-05T00:00:00"/>
    <x v="993"/>
    <x v="4"/>
    <n v="1176.17"/>
    <x v="0"/>
    <x v="40"/>
    <x v="3"/>
    <n v="300"/>
    <x v="0"/>
    <n v="-1176.17"/>
  </r>
  <r>
    <d v="2023-05-07T00:00:00"/>
    <x v="994"/>
    <x v="7"/>
    <n v="281.54000000000002"/>
    <x v="0"/>
    <x v="40"/>
    <x v="3"/>
    <n v="150"/>
    <x v="0"/>
    <n v="-281.54000000000002"/>
  </r>
  <r>
    <d v="2023-05-12T00:00:00"/>
    <x v="995"/>
    <x v="5"/>
    <n v="4491"/>
    <x v="1"/>
    <x v="40"/>
    <x v="3"/>
    <n v="0"/>
    <x v="2"/>
    <n v="4491"/>
  </r>
  <r>
    <d v="2023-05-14T00:00:00"/>
    <x v="996"/>
    <x v="1"/>
    <n v="1417.29"/>
    <x v="0"/>
    <x v="40"/>
    <x v="3"/>
    <n v="150"/>
    <x v="0"/>
    <n v="-1417.29"/>
  </r>
  <r>
    <d v="2023-05-14T00:00:00"/>
    <x v="997"/>
    <x v="7"/>
    <n v="454.24"/>
    <x v="0"/>
    <x v="40"/>
    <x v="3"/>
    <n v="150"/>
    <x v="0"/>
    <n v="-454.24"/>
  </r>
  <r>
    <d v="2023-05-14T00:00:00"/>
    <x v="998"/>
    <x v="1"/>
    <n v="762.98"/>
    <x v="0"/>
    <x v="40"/>
    <x v="3"/>
    <n v="150"/>
    <x v="0"/>
    <n v="-762.98"/>
  </r>
  <r>
    <d v="2023-05-15T00:00:00"/>
    <x v="999"/>
    <x v="9"/>
    <n v="263.42"/>
    <x v="0"/>
    <x v="40"/>
    <x v="3"/>
    <n v="200"/>
    <x v="0"/>
    <n v="-263.42"/>
  </r>
  <r>
    <d v="2023-05-15T00:00:00"/>
    <x v="1000"/>
    <x v="4"/>
    <n v="1703.01"/>
    <x v="0"/>
    <x v="40"/>
    <x v="3"/>
    <n v="300"/>
    <x v="0"/>
    <n v="-1703.01"/>
  </r>
  <r>
    <d v="2023-05-16T00:00:00"/>
    <x v="1001"/>
    <x v="0"/>
    <n v="372.34"/>
    <x v="0"/>
    <x v="40"/>
    <x v="3"/>
    <n v="500"/>
    <x v="1"/>
    <n v="-372.34"/>
  </r>
  <r>
    <d v="2023-05-17T00:00:00"/>
    <x v="1002"/>
    <x v="6"/>
    <n v="1282.9000000000001"/>
    <x v="0"/>
    <x v="40"/>
    <x v="3"/>
    <n v="200"/>
    <x v="0"/>
    <n v="-1282.9000000000001"/>
  </r>
  <r>
    <d v="2023-05-18T00:00:00"/>
    <x v="1003"/>
    <x v="5"/>
    <n v="1652"/>
    <x v="1"/>
    <x v="40"/>
    <x v="3"/>
    <n v="0"/>
    <x v="2"/>
    <n v="1652"/>
  </r>
  <r>
    <d v="2023-05-19T00:00:00"/>
    <x v="1004"/>
    <x v="2"/>
    <n v="483.61"/>
    <x v="0"/>
    <x v="40"/>
    <x v="3"/>
    <n v="1500"/>
    <x v="1"/>
    <n v="-483.61"/>
  </r>
  <r>
    <d v="2023-05-20T00:00:00"/>
    <x v="1005"/>
    <x v="1"/>
    <n v="1276.01"/>
    <x v="0"/>
    <x v="40"/>
    <x v="3"/>
    <n v="150"/>
    <x v="0"/>
    <n v="-1276.01"/>
  </r>
  <r>
    <d v="2023-05-20T00:00:00"/>
    <x v="1006"/>
    <x v="7"/>
    <n v="898.79"/>
    <x v="0"/>
    <x v="40"/>
    <x v="3"/>
    <n v="150"/>
    <x v="0"/>
    <n v="-898.79"/>
  </r>
  <r>
    <d v="2023-05-20T00:00:00"/>
    <x v="1007"/>
    <x v="6"/>
    <n v="1389.42"/>
    <x v="0"/>
    <x v="40"/>
    <x v="3"/>
    <n v="200"/>
    <x v="0"/>
    <n v="-1389.42"/>
  </r>
  <r>
    <d v="2023-05-22T00:00:00"/>
    <x v="1008"/>
    <x v="2"/>
    <n v="1443.62"/>
    <x v="0"/>
    <x v="40"/>
    <x v="3"/>
    <n v="1500"/>
    <x v="1"/>
    <n v="-1443.62"/>
  </r>
  <r>
    <d v="2023-05-22T00:00:00"/>
    <x v="1009"/>
    <x v="5"/>
    <n v="3937"/>
    <x v="1"/>
    <x v="40"/>
    <x v="3"/>
    <n v="0"/>
    <x v="2"/>
    <n v="3937"/>
  </r>
  <r>
    <d v="2023-05-22T00:00:00"/>
    <x v="1010"/>
    <x v="4"/>
    <n v="991.23"/>
    <x v="0"/>
    <x v="40"/>
    <x v="3"/>
    <n v="300"/>
    <x v="0"/>
    <n v="-991.23"/>
  </r>
  <r>
    <d v="2023-05-25T00:00:00"/>
    <x v="1011"/>
    <x v="4"/>
    <n v="211.84"/>
    <x v="0"/>
    <x v="40"/>
    <x v="3"/>
    <n v="300"/>
    <x v="1"/>
    <n v="-211.84"/>
  </r>
  <r>
    <d v="2023-05-28T00:00:00"/>
    <x v="1012"/>
    <x v="6"/>
    <n v="333.69"/>
    <x v="0"/>
    <x v="40"/>
    <x v="3"/>
    <n v="200"/>
    <x v="0"/>
    <n v="-333.69"/>
  </r>
  <r>
    <d v="2023-05-29T00:00:00"/>
    <x v="1013"/>
    <x v="3"/>
    <n v="2915"/>
    <x v="1"/>
    <x v="40"/>
    <x v="3"/>
    <n v="0"/>
    <x v="2"/>
    <n v="2915"/>
  </r>
  <r>
    <d v="2023-05-29T00:00:00"/>
    <x v="1014"/>
    <x v="5"/>
    <n v="1357"/>
    <x v="1"/>
    <x v="40"/>
    <x v="3"/>
    <n v="0"/>
    <x v="2"/>
    <n v="1357"/>
  </r>
  <r>
    <d v="2023-05-30T00:00:00"/>
    <x v="1015"/>
    <x v="3"/>
    <n v="3575"/>
    <x v="1"/>
    <x v="40"/>
    <x v="3"/>
    <n v="0"/>
    <x v="2"/>
    <n v="3575"/>
  </r>
  <r>
    <d v="2023-06-02T00:00:00"/>
    <x v="1016"/>
    <x v="3"/>
    <n v="4981"/>
    <x v="1"/>
    <x v="41"/>
    <x v="3"/>
    <n v="0"/>
    <x v="2"/>
    <n v="4981"/>
  </r>
  <r>
    <d v="2023-06-03T00:00:00"/>
    <x v="1017"/>
    <x v="2"/>
    <n v="682.52"/>
    <x v="0"/>
    <x v="41"/>
    <x v="3"/>
    <n v="1500"/>
    <x v="1"/>
    <n v="-682.52"/>
  </r>
  <r>
    <d v="2023-06-04T00:00:00"/>
    <x v="1018"/>
    <x v="8"/>
    <n v="1411.96"/>
    <x v="1"/>
    <x v="41"/>
    <x v="3"/>
    <n v="0"/>
    <x v="2"/>
    <n v="1411.96"/>
  </r>
  <r>
    <d v="2023-06-05T00:00:00"/>
    <x v="1019"/>
    <x v="1"/>
    <n v="1218.56"/>
    <x v="0"/>
    <x v="41"/>
    <x v="3"/>
    <n v="150"/>
    <x v="0"/>
    <n v="-1218.56"/>
  </r>
  <r>
    <d v="2023-06-08T00:00:00"/>
    <x v="1020"/>
    <x v="0"/>
    <n v="211.5"/>
    <x v="0"/>
    <x v="41"/>
    <x v="3"/>
    <n v="500"/>
    <x v="1"/>
    <n v="-211.5"/>
  </r>
  <r>
    <d v="2023-06-08T00:00:00"/>
    <x v="1021"/>
    <x v="6"/>
    <n v="824.47"/>
    <x v="0"/>
    <x v="41"/>
    <x v="3"/>
    <n v="200"/>
    <x v="0"/>
    <n v="-824.47"/>
  </r>
  <r>
    <d v="2023-06-09T00:00:00"/>
    <x v="1022"/>
    <x v="9"/>
    <n v="1324.59"/>
    <x v="0"/>
    <x v="41"/>
    <x v="3"/>
    <n v="200"/>
    <x v="0"/>
    <n v="-1324.59"/>
  </r>
  <r>
    <d v="2023-06-09T00:00:00"/>
    <x v="1023"/>
    <x v="2"/>
    <n v="108.77"/>
    <x v="0"/>
    <x v="41"/>
    <x v="3"/>
    <n v="1500"/>
    <x v="1"/>
    <n v="-108.77"/>
  </r>
  <r>
    <d v="2023-06-10T00:00:00"/>
    <x v="1024"/>
    <x v="8"/>
    <n v="315.64"/>
    <x v="1"/>
    <x v="41"/>
    <x v="3"/>
    <n v="0"/>
    <x v="2"/>
    <n v="315.64"/>
  </r>
  <r>
    <d v="2023-06-10T00:00:00"/>
    <x v="1025"/>
    <x v="4"/>
    <n v="184.38"/>
    <x v="0"/>
    <x v="41"/>
    <x v="3"/>
    <n v="300"/>
    <x v="1"/>
    <n v="-184.38"/>
  </r>
  <r>
    <d v="2023-06-13T00:00:00"/>
    <x v="1026"/>
    <x v="8"/>
    <n v="407.35"/>
    <x v="1"/>
    <x v="41"/>
    <x v="3"/>
    <n v="0"/>
    <x v="2"/>
    <n v="407.35"/>
  </r>
  <r>
    <d v="2023-06-15T00:00:00"/>
    <x v="1027"/>
    <x v="3"/>
    <n v="2890"/>
    <x v="1"/>
    <x v="41"/>
    <x v="3"/>
    <n v="0"/>
    <x v="2"/>
    <n v="2890"/>
  </r>
  <r>
    <d v="2023-06-16T00:00:00"/>
    <x v="1028"/>
    <x v="8"/>
    <n v="1689.1"/>
    <x v="1"/>
    <x v="41"/>
    <x v="3"/>
    <n v="0"/>
    <x v="2"/>
    <n v="1689.1"/>
  </r>
  <r>
    <d v="2023-06-16T00:00:00"/>
    <x v="1029"/>
    <x v="4"/>
    <n v="947.18"/>
    <x v="0"/>
    <x v="41"/>
    <x v="3"/>
    <n v="300"/>
    <x v="0"/>
    <n v="-947.18"/>
  </r>
  <r>
    <d v="2023-06-17T00:00:00"/>
    <x v="1030"/>
    <x v="9"/>
    <n v="191.36"/>
    <x v="0"/>
    <x v="41"/>
    <x v="3"/>
    <n v="200"/>
    <x v="1"/>
    <n v="-191.36"/>
  </r>
  <r>
    <d v="2023-06-17T00:00:00"/>
    <x v="1031"/>
    <x v="1"/>
    <n v="748.33"/>
    <x v="0"/>
    <x v="41"/>
    <x v="3"/>
    <n v="150"/>
    <x v="0"/>
    <n v="-748.33"/>
  </r>
  <r>
    <d v="2023-06-19T00:00:00"/>
    <x v="1032"/>
    <x v="1"/>
    <n v="897.09"/>
    <x v="0"/>
    <x v="41"/>
    <x v="3"/>
    <n v="150"/>
    <x v="0"/>
    <n v="-897.09"/>
  </r>
  <r>
    <d v="2023-06-21T00:00:00"/>
    <x v="1033"/>
    <x v="8"/>
    <n v="534.16999999999996"/>
    <x v="1"/>
    <x v="41"/>
    <x v="3"/>
    <n v="0"/>
    <x v="2"/>
    <n v="534.16999999999996"/>
  </r>
  <r>
    <d v="2023-06-22T00:00:00"/>
    <x v="1034"/>
    <x v="0"/>
    <n v="310.75"/>
    <x v="0"/>
    <x v="41"/>
    <x v="3"/>
    <n v="500"/>
    <x v="1"/>
    <n v="-310.75"/>
  </r>
  <r>
    <d v="2023-06-22T00:00:00"/>
    <x v="1035"/>
    <x v="2"/>
    <n v="180.56"/>
    <x v="0"/>
    <x v="41"/>
    <x v="3"/>
    <n v="1500"/>
    <x v="1"/>
    <n v="-180.56"/>
  </r>
  <r>
    <d v="2023-06-23T00:00:00"/>
    <x v="1036"/>
    <x v="4"/>
    <n v="1941.7"/>
    <x v="0"/>
    <x v="41"/>
    <x v="3"/>
    <n v="300"/>
    <x v="0"/>
    <n v="-1941.7"/>
  </r>
  <r>
    <d v="2023-06-25T00:00:00"/>
    <x v="1037"/>
    <x v="0"/>
    <n v="1683.19"/>
    <x v="0"/>
    <x v="41"/>
    <x v="3"/>
    <n v="500"/>
    <x v="0"/>
    <n v="-1683.19"/>
  </r>
  <r>
    <d v="2023-06-25T00:00:00"/>
    <x v="1038"/>
    <x v="4"/>
    <n v="1931.6"/>
    <x v="0"/>
    <x v="41"/>
    <x v="3"/>
    <n v="300"/>
    <x v="0"/>
    <n v="-1931.6"/>
  </r>
  <r>
    <d v="2023-06-25T00:00:00"/>
    <x v="1039"/>
    <x v="8"/>
    <n v="1149.7"/>
    <x v="1"/>
    <x v="41"/>
    <x v="3"/>
    <n v="0"/>
    <x v="2"/>
    <n v="1149.7"/>
  </r>
  <r>
    <d v="2023-06-26T00:00:00"/>
    <x v="1040"/>
    <x v="9"/>
    <n v="167.12"/>
    <x v="0"/>
    <x v="41"/>
    <x v="3"/>
    <n v="200"/>
    <x v="1"/>
    <n v="-167.12"/>
  </r>
  <r>
    <d v="2023-06-30T00:00:00"/>
    <x v="1041"/>
    <x v="0"/>
    <n v="1009.18"/>
    <x v="0"/>
    <x v="41"/>
    <x v="3"/>
    <n v="500"/>
    <x v="0"/>
    <n v="-1009.18"/>
  </r>
  <r>
    <d v="2023-07-01T00:00:00"/>
    <x v="1042"/>
    <x v="1"/>
    <n v="249.36"/>
    <x v="0"/>
    <x v="42"/>
    <x v="3"/>
    <n v="150"/>
    <x v="0"/>
    <n v="-249.36"/>
  </r>
  <r>
    <d v="2023-07-02T00:00:00"/>
    <x v="1043"/>
    <x v="1"/>
    <n v="1898.63"/>
    <x v="0"/>
    <x v="42"/>
    <x v="3"/>
    <n v="150"/>
    <x v="0"/>
    <n v="-1898.63"/>
  </r>
  <r>
    <d v="2023-07-05T00:00:00"/>
    <x v="1044"/>
    <x v="3"/>
    <n v="2078"/>
    <x v="1"/>
    <x v="42"/>
    <x v="3"/>
    <n v="0"/>
    <x v="2"/>
    <n v="2078"/>
  </r>
  <r>
    <d v="2023-07-05T00:00:00"/>
    <x v="1045"/>
    <x v="5"/>
    <n v="1141"/>
    <x v="1"/>
    <x v="42"/>
    <x v="3"/>
    <n v="0"/>
    <x v="2"/>
    <n v="1141"/>
  </r>
  <r>
    <d v="2023-07-06T00:00:00"/>
    <x v="1046"/>
    <x v="4"/>
    <n v="411.82"/>
    <x v="0"/>
    <x v="42"/>
    <x v="3"/>
    <n v="300"/>
    <x v="0"/>
    <n v="-411.82"/>
  </r>
  <r>
    <d v="2023-07-07T00:00:00"/>
    <x v="1047"/>
    <x v="1"/>
    <n v="1669.88"/>
    <x v="0"/>
    <x v="42"/>
    <x v="3"/>
    <n v="150"/>
    <x v="0"/>
    <n v="-1669.88"/>
  </r>
  <r>
    <d v="2023-07-07T00:00:00"/>
    <x v="1048"/>
    <x v="2"/>
    <n v="183.18"/>
    <x v="0"/>
    <x v="42"/>
    <x v="3"/>
    <n v="1500"/>
    <x v="1"/>
    <n v="-183.18"/>
  </r>
  <r>
    <d v="2023-07-10T00:00:00"/>
    <x v="1049"/>
    <x v="7"/>
    <n v="1714.68"/>
    <x v="0"/>
    <x v="42"/>
    <x v="3"/>
    <n v="150"/>
    <x v="0"/>
    <n v="-1714.68"/>
  </r>
  <r>
    <d v="2023-07-10T00:00:00"/>
    <x v="1050"/>
    <x v="0"/>
    <n v="1575.24"/>
    <x v="0"/>
    <x v="42"/>
    <x v="3"/>
    <n v="500"/>
    <x v="0"/>
    <n v="-1575.24"/>
  </r>
  <r>
    <d v="2023-07-10T00:00:00"/>
    <x v="1051"/>
    <x v="4"/>
    <n v="233.91"/>
    <x v="0"/>
    <x v="42"/>
    <x v="3"/>
    <n v="300"/>
    <x v="1"/>
    <n v="-233.91"/>
  </r>
  <r>
    <d v="2023-07-10T00:00:00"/>
    <x v="1052"/>
    <x v="3"/>
    <n v="1365"/>
    <x v="1"/>
    <x v="42"/>
    <x v="3"/>
    <n v="0"/>
    <x v="2"/>
    <n v="1365"/>
  </r>
  <r>
    <d v="2023-07-11T00:00:00"/>
    <x v="1053"/>
    <x v="2"/>
    <n v="1573.63"/>
    <x v="0"/>
    <x v="42"/>
    <x v="3"/>
    <n v="1500"/>
    <x v="0"/>
    <n v="-1573.63"/>
  </r>
  <r>
    <d v="2023-07-13T00:00:00"/>
    <x v="1054"/>
    <x v="7"/>
    <n v="1757.01"/>
    <x v="0"/>
    <x v="42"/>
    <x v="3"/>
    <n v="150"/>
    <x v="0"/>
    <n v="-1757.01"/>
  </r>
  <r>
    <d v="2023-07-15T00:00:00"/>
    <x v="1055"/>
    <x v="8"/>
    <n v="1148.33"/>
    <x v="1"/>
    <x v="42"/>
    <x v="3"/>
    <n v="0"/>
    <x v="2"/>
    <n v="1148.33"/>
  </r>
  <r>
    <d v="2023-07-15T00:00:00"/>
    <x v="1056"/>
    <x v="1"/>
    <n v="558.07000000000005"/>
    <x v="0"/>
    <x v="42"/>
    <x v="3"/>
    <n v="150"/>
    <x v="0"/>
    <n v="-558.07000000000005"/>
  </r>
  <r>
    <d v="2023-07-15T00:00:00"/>
    <x v="1057"/>
    <x v="5"/>
    <n v="817"/>
    <x v="1"/>
    <x v="42"/>
    <x v="3"/>
    <n v="0"/>
    <x v="2"/>
    <n v="817"/>
  </r>
  <r>
    <d v="2023-07-15T00:00:00"/>
    <x v="1058"/>
    <x v="7"/>
    <n v="1384.12"/>
    <x v="0"/>
    <x v="42"/>
    <x v="3"/>
    <n v="150"/>
    <x v="0"/>
    <n v="-1384.12"/>
  </r>
  <r>
    <d v="2023-07-15T00:00:00"/>
    <x v="1059"/>
    <x v="5"/>
    <n v="2700"/>
    <x v="1"/>
    <x v="42"/>
    <x v="3"/>
    <n v="0"/>
    <x v="2"/>
    <n v="2700"/>
  </r>
  <r>
    <d v="2023-07-16T00:00:00"/>
    <x v="1060"/>
    <x v="0"/>
    <n v="682.35"/>
    <x v="0"/>
    <x v="42"/>
    <x v="3"/>
    <n v="500"/>
    <x v="0"/>
    <n v="-682.35"/>
  </r>
  <r>
    <d v="2023-07-17T00:00:00"/>
    <x v="1061"/>
    <x v="9"/>
    <n v="567.89"/>
    <x v="0"/>
    <x v="42"/>
    <x v="3"/>
    <n v="200"/>
    <x v="0"/>
    <n v="-567.89"/>
  </r>
  <r>
    <d v="2023-07-18T00:00:00"/>
    <x v="1062"/>
    <x v="2"/>
    <n v="1945.27"/>
    <x v="0"/>
    <x v="42"/>
    <x v="3"/>
    <n v="1500"/>
    <x v="0"/>
    <n v="-1945.27"/>
  </r>
  <r>
    <d v="2023-07-19T00:00:00"/>
    <x v="1063"/>
    <x v="9"/>
    <n v="1948.7"/>
    <x v="0"/>
    <x v="42"/>
    <x v="3"/>
    <n v="200"/>
    <x v="0"/>
    <n v="-1948.7"/>
  </r>
  <r>
    <d v="2023-07-19T00:00:00"/>
    <x v="1064"/>
    <x v="7"/>
    <n v="546.15"/>
    <x v="0"/>
    <x v="42"/>
    <x v="3"/>
    <n v="150"/>
    <x v="0"/>
    <n v="-546.15"/>
  </r>
  <r>
    <d v="2023-07-20T00:00:00"/>
    <x v="1065"/>
    <x v="2"/>
    <n v="383.99"/>
    <x v="0"/>
    <x v="42"/>
    <x v="3"/>
    <n v="1500"/>
    <x v="1"/>
    <n v="-383.99"/>
  </r>
  <r>
    <d v="2023-07-21T00:00:00"/>
    <x v="1066"/>
    <x v="4"/>
    <n v="1484.48"/>
    <x v="0"/>
    <x v="42"/>
    <x v="3"/>
    <n v="300"/>
    <x v="0"/>
    <n v="-1484.48"/>
  </r>
  <r>
    <d v="2023-07-23T00:00:00"/>
    <x v="1067"/>
    <x v="7"/>
    <n v="1643.82"/>
    <x v="0"/>
    <x v="42"/>
    <x v="3"/>
    <n v="150"/>
    <x v="0"/>
    <n v="-1643.82"/>
  </r>
  <r>
    <d v="2023-07-25T00:00:00"/>
    <x v="1068"/>
    <x v="1"/>
    <n v="140.58000000000001"/>
    <x v="0"/>
    <x v="42"/>
    <x v="3"/>
    <n v="150"/>
    <x v="1"/>
    <n v="-140.58000000000001"/>
  </r>
  <r>
    <d v="2023-07-26T00:00:00"/>
    <x v="1069"/>
    <x v="4"/>
    <n v="279.94"/>
    <x v="0"/>
    <x v="42"/>
    <x v="3"/>
    <n v="300"/>
    <x v="1"/>
    <n v="-279.94"/>
  </r>
  <r>
    <d v="2023-07-27T00:00:00"/>
    <x v="1070"/>
    <x v="0"/>
    <n v="355.74"/>
    <x v="0"/>
    <x v="42"/>
    <x v="3"/>
    <n v="500"/>
    <x v="1"/>
    <n v="-355.74"/>
  </r>
  <r>
    <d v="2023-07-27T00:00:00"/>
    <x v="1071"/>
    <x v="6"/>
    <n v="1675.58"/>
    <x v="0"/>
    <x v="42"/>
    <x v="3"/>
    <n v="200"/>
    <x v="0"/>
    <n v="-1675.58"/>
  </r>
  <r>
    <d v="2023-07-30T00:00:00"/>
    <x v="1072"/>
    <x v="8"/>
    <n v="110.61"/>
    <x v="1"/>
    <x v="42"/>
    <x v="3"/>
    <n v="0"/>
    <x v="2"/>
    <n v="110.61"/>
  </r>
  <r>
    <d v="2023-08-01T00:00:00"/>
    <x v="1073"/>
    <x v="6"/>
    <n v="555.22"/>
    <x v="0"/>
    <x v="43"/>
    <x v="3"/>
    <n v="200"/>
    <x v="0"/>
    <n v="-555.22"/>
  </r>
  <r>
    <d v="2023-08-04T00:00:00"/>
    <x v="1074"/>
    <x v="4"/>
    <n v="1274.47"/>
    <x v="0"/>
    <x v="43"/>
    <x v="3"/>
    <n v="300"/>
    <x v="0"/>
    <n v="-1274.47"/>
  </r>
  <r>
    <d v="2023-08-05T00:00:00"/>
    <x v="1075"/>
    <x v="3"/>
    <n v="2481"/>
    <x v="1"/>
    <x v="43"/>
    <x v="3"/>
    <n v="0"/>
    <x v="2"/>
    <n v="2481"/>
  </r>
  <r>
    <d v="2023-08-07T00:00:00"/>
    <x v="1076"/>
    <x v="8"/>
    <n v="363.39"/>
    <x v="1"/>
    <x v="43"/>
    <x v="3"/>
    <n v="0"/>
    <x v="2"/>
    <n v="363.39"/>
  </r>
  <r>
    <d v="2023-08-07T00:00:00"/>
    <x v="1077"/>
    <x v="7"/>
    <n v="695.06"/>
    <x v="0"/>
    <x v="43"/>
    <x v="3"/>
    <n v="150"/>
    <x v="0"/>
    <n v="-695.06"/>
  </r>
  <r>
    <d v="2023-08-09T00:00:00"/>
    <x v="1078"/>
    <x v="9"/>
    <n v="1500.43"/>
    <x v="0"/>
    <x v="43"/>
    <x v="3"/>
    <n v="200"/>
    <x v="0"/>
    <n v="-1500.43"/>
  </r>
  <r>
    <d v="2023-08-09T00:00:00"/>
    <x v="1079"/>
    <x v="9"/>
    <n v="64.63"/>
    <x v="0"/>
    <x v="43"/>
    <x v="3"/>
    <n v="200"/>
    <x v="1"/>
    <n v="-64.63"/>
  </r>
  <r>
    <d v="2023-08-10T00:00:00"/>
    <x v="1080"/>
    <x v="3"/>
    <n v="2313"/>
    <x v="1"/>
    <x v="43"/>
    <x v="3"/>
    <n v="0"/>
    <x v="2"/>
    <n v="2313"/>
  </r>
  <r>
    <d v="2023-08-10T00:00:00"/>
    <x v="1081"/>
    <x v="6"/>
    <n v="545.48"/>
    <x v="0"/>
    <x v="43"/>
    <x v="3"/>
    <n v="200"/>
    <x v="0"/>
    <n v="-545.48"/>
  </r>
  <r>
    <d v="2023-08-11T00:00:00"/>
    <x v="1082"/>
    <x v="0"/>
    <n v="1730.61"/>
    <x v="0"/>
    <x v="43"/>
    <x v="3"/>
    <n v="500"/>
    <x v="0"/>
    <n v="-1730.61"/>
  </r>
  <r>
    <d v="2023-08-16T00:00:00"/>
    <x v="1083"/>
    <x v="0"/>
    <n v="953.45"/>
    <x v="0"/>
    <x v="43"/>
    <x v="3"/>
    <n v="500"/>
    <x v="0"/>
    <n v="-953.45"/>
  </r>
  <r>
    <d v="2023-08-17T00:00:00"/>
    <x v="1084"/>
    <x v="3"/>
    <n v="569"/>
    <x v="1"/>
    <x v="43"/>
    <x v="3"/>
    <n v="0"/>
    <x v="2"/>
    <n v="569"/>
  </r>
  <r>
    <d v="2023-08-17T00:00:00"/>
    <x v="1085"/>
    <x v="9"/>
    <n v="1428.35"/>
    <x v="0"/>
    <x v="43"/>
    <x v="3"/>
    <n v="200"/>
    <x v="0"/>
    <n v="-1428.35"/>
  </r>
  <r>
    <d v="2023-08-21T00:00:00"/>
    <x v="1086"/>
    <x v="9"/>
    <n v="853.38"/>
    <x v="0"/>
    <x v="43"/>
    <x v="3"/>
    <n v="200"/>
    <x v="0"/>
    <n v="-853.38"/>
  </r>
  <r>
    <d v="2023-08-22T00:00:00"/>
    <x v="1087"/>
    <x v="7"/>
    <n v="923.41"/>
    <x v="0"/>
    <x v="43"/>
    <x v="3"/>
    <n v="150"/>
    <x v="0"/>
    <n v="-923.41"/>
  </r>
  <r>
    <d v="2023-08-23T00:00:00"/>
    <x v="1088"/>
    <x v="9"/>
    <n v="1357.62"/>
    <x v="0"/>
    <x v="43"/>
    <x v="3"/>
    <n v="200"/>
    <x v="0"/>
    <n v="-1357.62"/>
  </r>
  <r>
    <d v="2023-08-25T00:00:00"/>
    <x v="1089"/>
    <x v="4"/>
    <n v="1173.1300000000001"/>
    <x v="0"/>
    <x v="43"/>
    <x v="3"/>
    <n v="300"/>
    <x v="0"/>
    <n v="-1173.1300000000001"/>
  </r>
  <r>
    <d v="2023-08-27T00:00:00"/>
    <x v="1090"/>
    <x v="5"/>
    <n v="2815"/>
    <x v="1"/>
    <x v="43"/>
    <x v="3"/>
    <n v="0"/>
    <x v="2"/>
    <n v="2815"/>
  </r>
  <r>
    <d v="2023-08-30T00:00:00"/>
    <x v="1091"/>
    <x v="2"/>
    <n v="968.66"/>
    <x v="0"/>
    <x v="43"/>
    <x v="3"/>
    <n v="1500"/>
    <x v="1"/>
    <n v="-968.66"/>
  </r>
  <r>
    <d v="2023-08-30T00:00:00"/>
    <x v="1092"/>
    <x v="9"/>
    <n v="1284.78"/>
    <x v="0"/>
    <x v="43"/>
    <x v="3"/>
    <n v="200"/>
    <x v="0"/>
    <n v="-1284.78"/>
  </r>
  <r>
    <d v="2023-08-30T00:00:00"/>
    <x v="1093"/>
    <x v="9"/>
    <n v="1315.68"/>
    <x v="0"/>
    <x v="43"/>
    <x v="3"/>
    <n v="200"/>
    <x v="0"/>
    <n v="-1315.68"/>
  </r>
  <r>
    <d v="2023-08-30T00:00:00"/>
    <x v="1094"/>
    <x v="9"/>
    <n v="384.84"/>
    <x v="0"/>
    <x v="43"/>
    <x v="3"/>
    <n v="200"/>
    <x v="0"/>
    <n v="-384.84"/>
  </r>
  <r>
    <d v="2023-09-01T00:00:00"/>
    <x v="1095"/>
    <x v="6"/>
    <n v="1800.38"/>
    <x v="0"/>
    <x v="44"/>
    <x v="3"/>
    <n v="200"/>
    <x v="0"/>
    <n v="-1800.38"/>
  </r>
  <r>
    <d v="2023-09-01T00:00:00"/>
    <x v="1096"/>
    <x v="4"/>
    <n v="1324.46"/>
    <x v="0"/>
    <x v="44"/>
    <x v="3"/>
    <n v="300"/>
    <x v="0"/>
    <n v="-1324.46"/>
  </r>
  <r>
    <d v="2023-09-03T00:00:00"/>
    <x v="1097"/>
    <x v="0"/>
    <n v="1314.25"/>
    <x v="0"/>
    <x v="44"/>
    <x v="3"/>
    <n v="500"/>
    <x v="0"/>
    <n v="-1314.25"/>
  </r>
  <r>
    <d v="2023-09-04T00:00:00"/>
    <x v="1098"/>
    <x v="9"/>
    <n v="1814.75"/>
    <x v="0"/>
    <x v="44"/>
    <x v="3"/>
    <n v="200"/>
    <x v="0"/>
    <n v="-1814.75"/>
  </r>
  <r>
    <d v="2023-09-04T00:00:00"/>
    <x v="1099"/>
    <x v="0"/>
    <n v="1170.22"/>
    <x v="0"/>
    <x v="44"/>
    <x v="3"/>
    <n v="500"/>
    <x v="0"/>
    <n v="-1170.22"/>
  </r>
  <r>
    <d v="2023-09-04T00:00:00"/>
    <x v="1100"/>
    <x v="6"/>
    <n v="692.9"/>
    <x v="0"/>
    <x v="44"/>
    <x v="3"/>
    <n v="200"/>
    <x v="0"/>
    <n v="-692.9"/>
  </r>
  <r>
    <d v="2023-09-07T00:00:00"/>
    <x v="1101"/>
    <x v="8"/>
    <n v="1813.99"/>
    <x v="1"/>
    <x v="44"/>
    <x v="3"/>
    <n v="0"/>
    <x v="2"/>
    <n v="1813.99"/>
  </r>
  <r>
    <d v="2023-09-10T00:00:00"/>
    <x v="1102"/>
    <x v="9"/>
    <n v="1692.38"/>
    <x v="0"/>
    <x v="44"/>
    <x v="3"/>
    <n v="200"/>
    <x v="0"/>
    <n v="-1692.38"/>
  </r>
  <r>
    <d v="2023-09-11T00:00:00"/>
    <x v="1103"/>
    <x v="1"/>
    <n v="594.63"/>
    <x v="0"/>
    <x v="44"/>
    <x v="3"/>
    <n v="150"/>
    <x v="0"/>
    <n v="-594.63"/>
  </r>
  <r>
    <d v="2023-09-11T00:00:00"/>
    <x v="1104"/>
    <x v="9"/>
    <n v="1453.12"/>
    <x v="0"/>
    <x v="44"/>
    <x v="3"/>
    <n v="200"/>
    <x v="0"/>
    <n v="-1453.12"/>
  </r>
  <r>
    <d v="2023-09-12T00:00:00"/>
    <x v="1105"/>
    <x v="1"/>
    <n v="1894.38"/>
    <x v="0"/>
    <x v="44"/>
    <x v="3"/>
    <n v="150"/>
    <x v="0"/>
    <n v="-1894.38"/>
  </r>
  <r>
    <d v="2023-09-12T00:00:00"/>
    <x v="1106"/>
    <x v="2"/>
    <n v="452.28"/>
    <x v="0"/>
    <x v="44"/>
    <x v="3"/>
    <n v="1500"/>
    <x v="1"/>
    <n v="-452.28"/>
  </r>
  <r>
    <d v="2023-09-13T00:00:00"/>
    <x v="1107"/>
    <x v="9"/>
    <n v="846.74"/>
    <x v="0"/>
    <x v="44"/>
    <x v="3"/>
    <n v="200"/>
    <x v="0"/>
    <n v="-846.74"/>
  </r>
  <r>
    <d v="2023-09-14T00:00:00"/>
    <x v="1108"/>
    <x v="7"/>
    <n v="528.51"/>
    <x v="0"/>
    <x v="44"/>
    <x v="3"/>
    <n v="150"/>
    <x v="0"/>
    <n v="-528.51"/>
  </r>
  <r>
    <d v="2023-09-14T00:00:00"/>
    <x v="1109"/>
    <x v="2"/>
    <n v="946.37"/>
    <x v="0"/>
    <x v="44"/>
    <x v="3"/>
    <n v="1500"/>
    <x v="1"/>
    <n v="-946.37"/>
  </r>
  <r>
    <d v="2023-09-14T00:00:00"/>
    <x v="1110"/>
    <x v="2"/>
    <n v="949.72"/>
    <x v="0"/>
    <x v="44"/>
    <x v="3"/>
    <n v="1500"/>
    <x v="1"/>
    <n v="-949.72"/>
  </r>
  <r>
    <d v="2023-09-15T00:00:00"/>
    <x v="1111"/>
    <x v="3"/>
    <n v="3626"/>
    <x v="1"/>
    <x v="44"/>
    <x v="3"/>
    <n v="0"/>
    <x v="2"/>
    <n v="3626"/>
  </r>
  <r>
    <d v="2023-09-15T00:00:00"/>
    <x v="1112"/>
    <x v="4"/>
    <n v="117.58"/>
    <x v="0"/>
    <x v="44"/>
    <x v="3"/>
    <n v="300"/>
    <x v="1"/>
    <n v="-117.58"/>
  </r>
  <r>
    <d v="2023-09-16T00:00:00"/>
    <x v="1113"/>
    <x v="1"/>
    <n v="1984.77"/>
    <x v="0"/>
    <x v="44"/>
    <x v="3"/>
    <n v="150"/>
    <x v="0"/>
    <n v="-1984.77"/>
  </r>
  <r>
    <d v="2023-09-16T00:00:00"/>
    <x v="1114"/>
    <x v="8"/>
    <n v="295.02"/>
    <x v="1"/>
    <x v="44"/>
    <x v="3"/>
    <n v="0"/>
    <x v="2"/>
    <n v="295.02"/>
  </r>
  <r>
    <d v="2023-09-21T00:00:00"/>
    <x v="1115"/>
    <x v="1"/>
    <n v="1560.09"/>
    <x v="0"/>
    <x v="44"/>
    <x v="3"/>
    <n v="150"/>
    <x v="0"/>
    <n v="-1560.09"/>
  </r>
  <r>
    <d v="2023-09-21T00:00:00"/>
    <x v="1116"/>
    <x v="1"/>
    <n v="633.69000000000005"/>
    <x v="0"/>
    <x v="44"/>
    <x v="3"/>
    <n v="150"/>
    <x v="0"/>
    <n v="-633.69000000000005"/>
  </r>
  <r>
    <d v="2023-09-23T00:00:00"/>
    <x v="1117"/>
    <x v="5"/>
    <n v="2740"/>
    <x v="1"/>
    <x v="44"/>
    <x v="3"/>
    <n v="0"/>
    <x v="2"/>
    <n v="2740"/>
  </r>
  <r>
    <d v="2023-09-24T00:00:00"/>
    <x v="1118"/>
    <x v="1"/>
    <n v="1156.8"/>
    <x v="0"/>
    <x v="44"/>
    <x v="3"/>
    <n v="150"/>
    <x v="0"/>
    <n v="-1156.8"/>
  </r>
  <r>
    <d v="2023-09-28T00:00:00"/>
    <x v="1119"/>
    <x v="3"/>
    <n v="1560"/>
    <x v="1"/>
    <x v="44"/>
    <x v="3"/>
    <n v="0"/>
    <x v="2"/>
    <n v="1560"/>
  </r>
  <r>
    <d v="2023-09-29T00:00:00"/>
    <x v="1120"/>
    <x v="4"/>
    <n v="812.75"/>
    <x v="0"/>
    <x v="44"/>
    <x v="3"/>
    <n v="300"/>
    <x v="0"/>
    <n v="-812.75"/>
  </r>
  <r>
    <d v="2023-10-03T00:00:00"/>
    <x v="1121"/>
    <x v="4"/>
    <n v="19.29"/>
    <x v="0"/>
    <x v="45"/>
    <x v="3"/>
    <n v="300"/>
    <x v="1"/>
    <n v="-19.29"/>
  </r>
  <r>
    <d v="2023-10-04T00:00:00"/>
    <x v="1122"/>
    <x v="7"/>
    <n v="1900.64"/>
    <x v="0"/>
    <x v="45"/>
    <x v="3"/>
    <n v="150"/>
    <x v="0"/>
    <n v="-1900.64"/>
  </r>
  <r>
    <d v="2023-10-04T00:00:00"/>
    <x v="1123"/>
    <x v="6"/>
    <n v="45.65"/>
    <x v="0"/>
    <x v="45"/>
    <x v="3"/>
    <n v="200"/>
    <x v="1"/>
    <n v="-45.65"/>
  </r>
  <r>
    <d v="2023-10-05T00:00:00"/>
    <x v="1124"/>
    <x v="3"/>
    <n v="2353"/>
    <x v="1"/>
    <x v="45"/>
    <x v="3"/>
    <n v="0"/>
    <x v="2"/>
    <n v="2353"/>
  </r>
  <r>
    <d v="2023-10-06T00:00:00"/>
    <x v="1125"/>
    <x v="7"/>
    <n v="631.05999999999995"/>
    <x v="0"/>
    <x v="45"/>
    <x v="3"/>
    <n v="150"/>
    <x v="0"/>
    <n v="-631.05999999999995"/>
  </r>
  <r>
    <d v="2023-10-08T00:00:00"/>
    <x v="1126"/>
    <x v="5"/>
    <n v="1868"/>
    <x v="1"/>
    <x v="45"/>
    <x v="3"/>
    <n v="0"/>
    <x v="2"/>
    <n v="1868"/>
  </r>
  <r>
    <d v="2023-10-08T00:00:00"/>
    <x v="1127"/>
    <x v="3"/>
    <n v="2942"/>
    <x v="1"/>
    <x v="45"/>
    <x v="3"/>
    <n v="0"/>
    <x v="2"/>
    <n v="2942"/>
  </r>
  <r>
    <d v="2023-10-08T00:00:00"/>
    <x v="1128"/>
    <x v="8"/>
    <n v="1458.39"/>
    <x v="1"/>
    <x v="45"/>
    <x v="3"/>
    <n v="0"/>
    <x v="2"/>
    <n v="1458.39"/>
  </r>
  <r>
    <d v="2023-10-09T00:00:00"/>
    <x v="1129"/>
    <x v="7"/>
    <n v="872.99"/>
    <x v="0"/>
    <x v="45"/>
    <x v="3"/>
    <n v="150"/>
    <x v="0"/>
    <n v="-872.99"/>
  </r>
  <r>
    <d v="2023-10-09T00:00:00"/>
    <x v="1130"/>
    <x v="1"/>
    <n v="692.04"/>
    <x v="0"/>
    <x v="45"/>
    <x v="3"/>
    <n v="150"/>
    <x v="0"/>
    <n v="-692.04"/>
  </r>
  <r>
    <d v="2023-10-11T00:00:00"/>
    <x v="1131"/>
    <x v="7"/>
    <n v="1502.73"/>
    <x v="0"/>
    <x v="45"/>
    <x v="3"/>
    <n v="150"/>
    <x v="0"/>
    <n v="-1502.73"/>
  </r>
  <r>
    <d v="2023-10-13T00:00:00"/>
    <x v="1132"/>
    <x v="5"/>
    <n v="656"/>
    <x v="1"/>
    <x v="45"/>
    <x v="3"/>
    <n v="0"/>
    <x v="2"/>
    <n v="656"/>
  </r>
  <r>
    <d v="2023-10-14T00:00:00"/>
    <x v="1133"/>
    <x v="1"/>
    <n v="430.27"/>
    <x v="0"/>
    <x v="45"/>
    <x v="3"/>
    <n v="150"/>
    <x v="0"/>
    <n v="-430.27"/>
  </r>
  <r>
    <d v="2023-10-14T00:00:00"/>
    <x v="1134"/>
    <x v="3"/>
    <n v="1508"/>
    <x v="1"/>
    <x v="45"/>
    <x v="3"/>
    <n v="0"/>
    <x v="2"/>
    <n v="1508"/>
  </r>
  <r>
    <d v="2023-10-15T00:00:00"/>
    <x v="1135"/>
    <x v="0"/>
    <n v="756.63"/>
    <x v="0"/>
    <x v="45"/>
    <x v="3"/>
    <n v="500"/>
    <x v="0"/>
    <n v="-756.63"/>
  </r>
  <r>
    <d v="2023-10-15T00:00:00"/>
    <x v="1136"/>
    <x v="0"/>
    <n v="1191.9100000000001"/>
    <x v="0"/>
    <x v="45"/>
    <x v="3"/>
    <n v="500"/>
    <x v="0"/>
    <n v="-1191.9100000000001"/>
  </r>
  <r>
    <d v="2023-10-16T00:00:00"/>
    <x v="1137"/>
    <x v="3"/>
    <n v="661"/>
    <x v="1"/>
    <x v="45"/>
    <x v="3"/>
    <n v="0"/>
    <x v="2"/>
    <n v="661"/>
  </r>
  <r>
    <d v="2023-10-17T00:00:00"/>
    <x v="1138"/>
    <x v="3"/>
    <n v="3914"/>
    <x v="1"/>
    <x v="45"/>
    <x v="3"/>
    <n v="0"/>
    <x v="2"/>
    <n v="3914"/>
  </r>
  <r>
    <d v="2023-10-17T00:00:00"/>
    <x v="1139"/>
    <x v="2"/>
    <n v="1099.0899999999999"/>
    <x v="0"/>
    <x v="45"/>
    <x v="3"/>
    <n v="1500"/>
    <x v="1"/>
    <n v="-1099.0899999999999"/>
  </r>
  <r>
    <d v="2023-10-27T00:00:00"/>
    <x v="1140"/>
    <x v="1"/>
    <n v="418.93"/>
    <x v="0"/>
    <x v="45"/>
    <x v="3"/>
    <n v="150"/>
    <x v="0"/>
    <n v="-418.93"/>
  </r>
  <r>
    <d v="2023-10-27T00:00:00"/>
    <x v="1141"/>
    <x v="0"/>
    <n v="609.22"/>
    <x v="0"/>
    <x v="45"/>
    <x v="3"/>
    <n v="500"/>
    <x v="0"/>
    <n v="-609.22"/>
  </r>
  <r>
    <d v="2023-10-29T00:00:00"/>
    <x v="1142"/>
    <x v="9"/>
    <n v="1249.3699999999999"/>
    <x v="0"/>
    <x v="45"/>
    <x v="3"/>
    <n v="200"/>
    <x v="0"/>
    <n v="-1249.3699999999999"/>
  </r>
  <r>
    <d v="2023-10-30T00:00:00"/>
    <x v="1143"/>
    <x v="4"/>
    <n v="1663"/>
    <x v="0"/>
    <x v="45"/>
    <x v="3"/>
    <n v="300"/>
    <x v="0"/>
    <n v="-1663"/>
  </r>
  <r>
    <d v="2023-10-30T00:00:00"/>
    <x v="1144"/>
    <x v="3"/>
    <n v="2815"/>
    <x v="1"/>
    <x v="45"/>
    <x v="3"/>
    <n v="0"/>
    <x v="2"/>
    <n v="2815"/>
  </r>
  <r>
    <d v="2023-11-04T00:00:00"/>
    <x v="1145"/>
    <x v="3"/>
    <n v="4577"/>
    <x v="1"/>
    <x v="46"/>
    <x v="3"/>
    <n v="0"/>
    <x v="2"/>
    <n v="4577"/>
  </r>
  <r>
    <d v="2023-11-05T00:00:00"/>
    <x v="1146"/>
    <x v="3"/>
    <n v="2654"/>
    <x v="1"/>
    <x v="46"/>
    <x v="3"/>
    <n v="0"/>
    <x v="2"/>
    <n v="2654"/>
  </r>
  <r>
    <d v="2023-11-08T00:00:00"/>
    <x v="1147"/>
    <x v="6"/>
    <n v="722.26"/>
    <x v="0"/>
    <x v="46"/>
    <x v="3"/>
    <n v="200"/>
    <x v="0"/>
    <n v="-722.26"/>
  </r>
  <r>
    <d v="2023-11-08T00:00:00"/>
    <x v="1148"/>
    <x v="1"/>
    <n v="88.42"/>
    <x v="0"/>
    <x v="46"/>
    <x v="3"/>
    <n v="150"/>
    <x v="1"/>
    <n v="-88.42"/>
  </r>
  <r>
    <d v="2023-11-08T00:00:00"/>
    <x v="1149"/>
    <x v="6"/>
    <n v="1379.53"/>
    <x v="0"/>
    <x v="46"/>
    <x v="3"/>
    <n v="200"/>
    <x v="0"/>
    <n v="-1379.53"/>
  </r>
  <r>
    <d v="2023-11-09T00:00:00"/>
    <x v="1150"/>
    <x v="6"/>
    <n v="15.45"/>
    <x v="0"/>
    <x v="46"/>
    <x v="3"/>
    <n v="200"/>
    <x v="1"/>
    <n v="-15.45"/>
  </r>
  <r>
    <d v="2023-11-09T00:00:00"/>
    <x v="1151"/>
    <x v="2"/>
    <n v="1672.11"/>
    <x v="0"/>
    <x v="46"/>
    <x v="3"/>
    <n v="1500"/>
    <x v="0"/>
    <n v="-1672.11"/>
  </r>
  <r>
    <d v="2023-11-11T00:00:00"/>
    <x v="1152"/>
    <x v="1"/>
    <n v="1899.4"/>
    <x v="0"/>
    <x v="46"/>
    <x v="3"/>
    <n v="150"/>
    <x v="0"/>
    <n v="-1899.4"/>
  </r>
  <r>
    <d v="2023-11-11T00:00:00"/>
    <x v="1153"/>
    <x v="2"/>
    <n v="1449.89"/>
    <x v="0"/>
    <x v="46"/>
    <x v="3"/>
    <n v="1500"/>
    <x v="1"/>
    <n v="-1449.89"/>
  </r>
  <r>
    <d v="2023-11-13T00:00:00"/>
    <x v="1154"/>
    <x v="5"/>
    <n v="2393"/>
    <x v="1"/>
    <x v="46"/>
    <x v="3"/>
    <n v="0"/>
    <x v="2"/>
    <n v="2393"/>
  </r>
  <r>
    <d v="2023-11-14T00:00:00"/>
    <x v="1155"/>
    <x v="9"/>
    <n v="535.61"/>
    <x v="0"/>
    <x v="46"/>
    <x v="3"/>
    <n v="200"/>
    <x v="0"/>
    <n v="-535.61"/>
  </r>
  <r>
    <d v="2023-11-14T00:00:00"/>
    <x v="1156"/>
    <x v="3"/>
    <n v="823"/>
    <x v="1"/>
    <x v="46"/>
    <x v="3"/>
    <n v="0"/>
    <x v="2"/>
    <n v="823"/>
  </r>
  <r>
    <d v="2023-11-15T00:00:00"/>
    <x v="1157"/>
    <x v="7"/>
    <n v="1605.18"/>
    <x v="0"/>
    <x v="46"/>
    <x v="3"/>
    <n v="150"/>
    <x v="0"/>
    <n v="-1605.18"/>
  </r>
  <r>
    <d v="2023-11-17T00:00:00"/>
    <x v="1158"/>
    <x v="2"/>
    <n v="199.05"/>
    <x v="0"/>
    <x v="46"/>
    <x v="3"/>
    <n v="1500"/>
    <x v="1"/>
    <n v="-199.05"/>
  </r>
  <r>
    <d v="2023-11-18T00:00:00"/>
    <x v="1159"/>
    <x v="0"/>
    <n v="29.25"/>
    <x v="0"/>
    <x v="46"/>
    <x v="3"/>
    <n v="500"/>
    <x v="1"/>
    <n v="-29.25"/>
  </r>
  <r>
    <d v="2023-11-21T00:00:00"/>
    <x v="1160"/>
    <x v="3"/>
    <n v="3192"/>
    <x v="1"/>
    <x v="46"/>
    <x v="3"/>
    <n v="0"/>
    <x v="2"/>
    <n v="3192"/>
  </r>
  <r>
    <d v="2023-11-21T00:00:00"/>
    <x v="1161"/>
    <x v="8"/>
    <n v="1910.63"/>
    <x v="1"/>
    <x v="46"/>
    <x v="3"/>
    <n v="0"/>
    <x v="2"/>
    <n v="1910.63"/>
  </r>
  <r>
    <d v="2023-11-22T00:00:00"/>
    <x v="1162"/>
    <x v="2"/>
    <n v="751.52"/>
    <x v="0"/>
    <x v="46"/>
    <x v="3"/>
    <n v="1500"/>
    <x v="1"/>
    <n v="-751.52"/>
  </r>
  <r>
    <d v="2023-11-23T00:00:00"/>
    <x v="1163"/>
    <x v="2"/>
    <n v="807.55"/>
    <x v="0"/>
    <x v="46"/>
    <x v="3"/>
    <n v="1500"/>
    <x v="1"/>
    <n v="-807.55"/>
  </r>
  <r>
    <d v="2023-11-23T00:00:00"/>
    <x v="1164"/>
    <x v="9"/>
    <n v="1673.06"/>
    <x v="0"/>
    <x v="46"/>
    <x v="3"/>
    <n v="200"/>
    <x v="0"/>
    <n v="-1673.06"/>
  </r>
  <r>
    <d v="2023-11-26T00:00:00"/>
    <x v="1165"/>
    <x v="8"/>
    <n v="1601.8"/>
    <x v="1"/>
    <x v="46"/>
    <x v="3"/>
    <n v="0"/>
    <x v="2"/>
    <n v="1601.8"/>
  </r>
  <r>
    <d v="2023-11-26T00:00:00"/>
    <x v="1166"/>
    <x v="1"/>
    <n v="234.98"/>
    <x v="0"/>
    <x v="46"/>
    <x v="3"/>
    <n v="150"/>
    <x v="0"/>
    <n v="-234.98"/>
  </r>
  <r>
    <d v="2023-11-26T00:00:00"/>
    <x v="1167"/>
    <x v="0"/>
    <n v="1963.32"/>
    <x v="0"/>
    <x v="46"/>
    <x v="3"/>
    <n v="500"/>
    <x v="0"/>
    <n v="-1963.32"/>
  </r>
  <r>
    <d v="2023-11-26T00:00:00"/>
    <x v="1168"/>
    <x v="2"/>
    <n v="837.9"/>
    <x v="0"/>
    <x v="46"/>
    <x v="3"/>
    <n v="1500"/>
    <x v="1"/>
    <n v="-837.9"/>
  </r>
  <r>
    <d v="2023-11-27T00:00:00"/>
    <x v="1169"/>
    <x v="8"/>
    <n v="370.71"/>
    <x v="1"/>
    <x v="46"/>
    <x v="3"/>
    <n v="0"/>
    <x v="2"/>
    <n v="370.71"/>
  </r>
  <r>
    <d v="2023-11-27T00:00:00"/>
    <x v="1170"/>
    <x v="7"/>
    <n v="1226.5999999999999"/>
    <x v="0"/>
    <x v="46"/>
    <x v="3"/>
    <n v="150"/>
    <x v="0"/>
    <n v="-1226.5999999999999"/>
  </r>
  <r>
    <d v="2023-11-28T00:00:00"/>
    <x v="1171"/>
    <x v="1"/>
    <n v="971.33"/>
    <x v="0"/>
    <x v="46"/>
    <x v="3"/>
    <n v="150"/>
    <x v="0"/>
    <n v="-971.33"/>
  </r>
  <r>
    <d v="2023-11-28T00:00:00"/>
    <x v="1172"/>
    <x v="4"/>
    <n v="886.97"/>
    <x v="0"/>
    <x v="46"/>
    <x v="3"/>
    <n v="300"/>
    <x v="0"/>
    <n v="-886.97"/>
  </r>
  <r>
    <d v="2023-11-29T00:00:00"/>
    <x v="1173"/>
    <x v="5"/>
    <n v="601"/>
    <x v="1"/>
    <x v="46"/>
    <x v="3"/>
    <n v="0"/>
    <x v="2"/>
    <n v="601"/>
  </r>
  <r>
    <d v="2023-12-05T00:00:00"/>
    <x v="1174"/>
    <x v="6"/>
    <n v="1956.01"/>
    <x v="0"/>
    <x v="47"/>
    <x v="3"/>
    <n v="200"/>
    <x v="0"/>
    <n v="-1956.01"/>
  </r>
  <r>
    <d v="2023-12-05T00:00:00"/>
    <x v="1175"/>
    <x v="7"/>
    <n v="1043.01"/>
    <x v="0"/>
    <x v="47"/>
    <x v="3"/>
    <n v="150"/>
    <x v="0"/>
    <n v="-1043.01"/>
  </r>
  <r>
    <d v="2023-12-06T00:00:00"/>
    <x v="1176"/>
    <x v="2"/>
    <n v="871.37"/>
    <x v="0"/>
    <x v="47"/>
    <x v="3"/>
    <n v="1500"/>
    <x v="1"/>
    <n v="-871.37"/>
  </r>
  <r>
    <d v="2023-12-08T00:00:00"/>
    <x v="1177"/>
    <x v="8"/>
    <n v="698.04"/>
    <x v="1"/>
    <x v="47"/>
    <x v="3"/>
    <n v="0"/>
    <x v="2"/>
    <n v="698.04"/>
  </r>
  <r>
    <d v="2023-12-09T00:00:00"/>
    <x v="1178"/>
    <x v="4"/>
    <n v="305.82"/>
    <x v="0"/>
    <x v="47"/>
    <x v="3"/>
    <n v="300"/>
    <x v="0"/>
    <n v="-305.82"/>
  </r>
  <r>
    <d v="2023-12-09T00:00:00"/>
    <x v="1179"/>
    <x v="0"/>
    <n v="33.17"/>
    <x v="0"/>
    <x v="47"/>
    <x v="3"/>
    <n v="500"/>
    <x v="1"/>
    <n v="-33.17"/>
  </r>
  <r>
    <d v="2023-12-10T00:00:00"/>
    <x v="1180"/>
    <x v="8"/>
    <n v="1705.22"/>
    <x v="1"/>
    <x v="47"/>
    <x v="3"/>
    <n v="0"/>
    <x v="2"/>
    <n v="1705.22"/>
  </r>
  <r>
    <d v="2023-12-11T00:00:00"/>
    <x v="1181"/>
    <x v="2"/>
    <n v="1505.35"/>
    <x v="0"/>
    <x v="47"/>
    <x v="3"/>
    <n v="1500"/>
    <x v="0"/>
    <n v="-1505.35"/>
  </r>
  <r>
    <d v="2023-12-13T00:00:00"/>
    <x v="1182"/>
    <x v="7"/>
    <n v="1940.59"/>
    <x v="0"/>
    <x v="47"/>
    <x v="3"/>
    <n v="150"/>
    <x v="0"/>
    <n v="-1940.59"/>
  </r>
  <r>
    <d v="2023-12-14T00:00:00"/>
    <x v="1183"/>
    <x v="3"/>
    <n v="3601"/>
    <x v="1"/>
    <x v="47"/>
    <x v="3"/>
    <n v="0"/>
    <x v="2"/>
    <n v="3601"/>
  </r>
  <r>
    <d v="2023-12-14T00:00:00"/>
    <x v="1184"/>
    <x v="6"/>
    <n v="166.87"/>
    <x v="0"/>
    <x v="47"/>
    <x v="3"/>
    <n v="200"/>
    <x v="1"/>
    <n v="-166.87"/>
  </r>
  <r>
    <d v="2023-12-18T00:00:00"/>
    <x v="1185"/>
    <x v="8"/>
    <n v="185.16"/>
    <x v="1"/>
    <x v="47"/>
    <x v="3"/>
    <n v="0"/>
    <x v="2"/>
    <n v="185.16"/>
  </r>
  <r>
    <d v="2023-12-20T00:00:00"/>
    <x v="1186"/>
    <x v="7"/>
    <n v="246.23"/>
    <x v="0"/>
    <x v="47"/>
    <x v="3"/>
    <n v="150"/>
    <x v="0"/>
    <n v="-246.23"/>
  </r>
  <r>
    <d v="2023-12-21T00:00:00"/>
    <x v="1187"/>
    <x v="0"/>
    <n v="214.26"/>
    <x v="0"/>
    <x v="47"/>
    <x v="3"/>
    <n v="500"/>
    <x v="1"/>
    <n v="-214.26"/>
  </r>
  <r>
    <d v="2023-12-22T00:00:00"/>
    <x v="1188"/>
    <x v="0"/>
    <n v="1653.56"/>
    <x v="0"/>
    <x v="47"/>
    <x v="3"/>
    <n v="500"/>
    <x v="0"/>
    <n v="-1653.56"/>
  </r>
  <r>
    <d v="2023-12-23T00:00:00"/>
    <x v="1189"/>
    <x v="9"/>
    <n v="1781.32"/>
    <x v="0"/>
    <x v="47"/>
    <x v="3"/>
    <n v="200"/>
    <x v="0"/>
    <n v="-1781.32"/>
  </r>
  <r>
    <d v="2023-12-25T00:00:00"/>
    <x v="1190"/>
    <x v="8"/>
    <n v="1901.21"/>
    <x v="1"/>
    <x v="47"/>
    <x v="3"/>
    <n v="0"/>
    <x v="2"/>
    <n v="1901.21"/>
  </r>
  <r>
    <d v="2023-12-26T00:00:00"/>
    <x v="1191"/>
    <x v="0"/>
    <n v="1635.01"/>
    <x v="0"/>
    <x v="47"/>
    <x v="3"/>
    <n v="500"/>
    <x v="0"/>
    <n v="-1635.01"/>
  </r>
  <r>
    <d v="2023-12-27T00:00:00"/>
    <x v="1192"/>
    <x v="7"/>
    <n v="1124.7"/>
    <x v="0"/>
    <x v="47"/>
    <x v="3"/>
    <n v="150"/>
    <x v="0"/>
    <n v="-1124.7"/>
  </r>
  <r>
    <d v="2023-12-29T00:00:00"/>
    <x v="1193"/>
    <x v="8"/>
    <n v="1436.15"/>
    <x v="1"/>
    <x v="47"/>
    <x v="3"/>
    <n v="0"/>
    <x v="2"/>
    <n v="1436.15"/>
  </r>
  <r>
    <d v="2023-12-29T00:00:00"/>
    <x v="1194"/>
    <x v="8"/>
    <n v="236.91"/>
    <x v="1"/>
    <x v="47"/>
    <x v="3"/>
    <n v="0"/>
    <x v="2"/>
    <n v="236.91"/>
  </r>
  <r>
    <d v="2023-12-29T00:00:00"/>
    <x v="1195"/>
    <x v="6"/>
    <n v="14.37"/>
    <x v="0"/>
    <x v="47"/>
    <x v="3"/>
    <n v="200"/>
    <x v="1"/>
    <n v="-14.37"/>
  </r>
  <r>
    <d v="2024-01-02T00:00:00"/>
    <x v="1196"/>
    <x v="9"/>
    <n v="1099.9000000000001"/>
    <x v="0"/>
    <x v="48"/>
    <x v="4"/>
    <n v="200"/>
    <x v="0"/>
    <n v="-1099.9000000000001"/>
  </r>
  <r>
    <d v="2024-01-02T00:00:00"/>
    <x v="1197"/>
    <x v="2"/>
    <n v="101.1"/>
    <x v="0"/>
    <x v="48"/>
    <x v="4"/>
    <n v="1500"/>
    <x v="1"/>
    <n v="-101.1"/>
  </r>
  <r>
    <d v="2024-01-04T00:00:00"/>
    <x v="1198"/>
    <x v="3"/>
    <n v="3852"/>
    <x v="1"/>
    <x v="48"/>
    <x v="4"/>
    <n v="0"/>
    <x v="2"/>
    <n v="3852"/>
  </r>
  <r>
    <d v="2024-01-04T00:00:00"/>
    <x v="1199"/>
    <x v="3"/>
    <n v="2036"/>
    <x v="1"/>
    <x v="48"/>
    <x v="4"/>
    <n v="0"/>
    <x v="2"/>
    <n v="2036"/>
  </r>
  <r>
    <d v="2024-01-07T00:00:00"/>
    <x v="1200"/>
    <x v="5"/>
    <n v="2266"/>
    <x v="1"/>
    <x v="48"/>
    <x v="4"/>
    <n v="0"/>
    <x v="2"/>
    <n v="2266"/>
  </r>
  <r>
    <d v="2024-01-09T00:00:00"/>
    <x v="1201"/>
    <x v="6"/>
    <n v="1436.41"/>
    <x v="0"/>
    <x v="48"/>
    <x v="4"/>
    <n v="200"/>
    <x v="0"/>
    <n v="-1436.41"/>
  </r>
  <r>
    <d v="2024-01-09T00:00:00"/>
    <x v="1202"/>
    <x v="5"/>
    <n v="880"/>
    <x v="1"/>
    <x v="48"/>
    <x v="4"/>
    <n v="0"/>
    <x v="2"/>
    <n v="880"/>
  </r>
  <r>
    <d v="2024-01-10T00:00:00"/>
    <x v="1203"/>
    <x v="2"/>
    <n v="1546.57"/>
    <x v="0"/>
    <x v="48"/>
    <x v="4"/>
    <n v="1500"/>
    <x v="0"/>
    <n v="-1546.57"/>
  </r>
  <r>
    <d v="2024-01-11T00:00:00"/>
    <x v="1204"/>
    <x v="1"/>
    <n v="1928.07"/>
    <x v="0"/>
    <x v="48"/>
    <x v="4"/>
    <n v="150"/>
    <x v="0"/>
    <n v="-1928.07"/>
  </r>
  <r>
    <d v="2024-01-11T00:00:00"/>
    <x v="1205"/>
    <x v="3"/>
    <n v="4045"/>
    <x v="1"/>
    <x v="48"/>
    <x v="4"/>
    <n v="0"/>
    <x v="2"/>
    <n v="4045"/>
  </r>
  <r>
    <d v="2024-01-11T00:00:00"/>
    <x v="1206"/>
    <x v="8"/>
    <n v="1849.5"/>
    <x v="1"/>
    <x v="48"/>
    <x v="4"/>
    <n v="0"/>
    <x v="2"/>
    <n v="1849.5"/>
  </r>
  <r>
    <d v="2024-01-12T00:00:00"/>
    <x v="1207"/>
    <x v="1"/>
    <n v="1386.72"/>
    <x v="0"/>
    <x v="48"/>
    <x v="4"/>
    <n v="150"/>
    <x v="0"/>
    <n v="-1386.72"/>
  </r>
  <r>
    <d v="2024-01-13T00:00:00"/>
    <x v="1208"/>
    <x v="3"/>
    <n v="1348"/>
    <x v="1"/>
    <x v="48"/>
    <x v="4"/>
    <n v="0"/>
    <x v="2"/>
    <n v="1348"/>
  </r>
  <r>
    <d v="2024-01-14T00:00:00"/>
    <x v="1209"/>
    <x v="7"/>
    <n v="1013.18"/>
    <x v="0"/>
    <x v="48"/>
    <x v="4"/>
    <n v="150"/>
    <x v="0"/>
    <n v="-1013.18"/>
  </r>
  <r>
    <d v="2024-01-15T00:00:00"/>
    <x v="1210"/>
    <x v="6"/>
    <n v="554.46"/>
    <x v="0"/>
    <x v="48"/>
    <x v="4"/>
    <n v="200"/>
    <x v="0"/>
    <n v="-554.46"/>
  </r>
  <r>
    <d v="2024-01-16T00:00:00"/>
    <x v="1211"/>
    <x v="9"/>
    <n v="911.16"/>
    <x v="0"/>
    <x v="48"/>
    <x v="4"/>
    <n v="200"/>
    <x v="0"/>
    <n v="-911.16"/>
  </r>
  <r>
    <d v="2024-01-16T00:00:00"/>
    <x v="1212"/>
    <x v="5"/>
    <n v="4696"/>
    <x v="1"/>
    <x v="48"/>
    <x v="4"/>
    <n v="0"/>
    <x v="2"/>
    <n v="4696"/>
  </r>
  <r>
    <d v="2024-01-16T00:00:00"/>
    <x v="1213"/>
    <x v="7"/>
    <n v="1426.63"/>
    <x v="0"/>
    <x v="48"/>
    <x v="4"/>
    <n v="150"/>
    <x v="0"/>
    <n v="-1426.63"/>
  </r>
  <r>
    <d v="2024-01-17T00:00:00"/>
    <x v="1214"/>
    <x v="6"/>
    <n v="409.77"/>
    <x v="0"/>
    <x v="48"/>
    <x v="4"/>
    <n v="200"/>
    <x v="0"/>
    <n v="-409.77"/>
  </r>
  <r>
    <d v="2024-01-19T00:00:00"/>
    <x v="1215"/>
    <x v="9"/>
    <n v="1376.36"/>
    <x v="0"/>
    <x v="48"/>
    <x v="4"/>
    <n v="200"/>
    <x v="0"/>
    <n v="-1376.36"/>
  </r>
  <r>
    <d v="2024-01-19T00:00:00"/>
    <x v="1216"/>
    <x v="1"/>
    <n v="1962.86"/>
    <x v="0"/>
    <x v="48"/>
    <x v="4"/>
    <n v="150"/>
    <x v="0"/>
    <n v="-1962.86"/>
  </r>
  <r>
    <d v="2024-01-19T00:00:00"/>
    <x v="1217"/>
    <x v="1"/>
    <n v="1012.75"/>
    <x v="0"/>
    <x v="48"/>
    <x v="4"/>
    <n v="150"/>
    <x v="0"/>
    <n v="-1012.75"/>
  </r>
  <r>
    <d v="2024-01-19T00:00:00"/>
    <x v="1218"/>
    <x v="7"/>
    <n v="1423.6"/>
    <x v="0"/>
    <x v="48"/>
    <x v="4"/>
    <n v="150"/>
    <x v="0"/>
    <n v="-1423.6"/>
  </r>
  <r>
    <d v="2024-01-20T00:00:00"/>
    <x v="1219"/>
    <x v="8"/>
    <n v="1169.78"/>
    <x v="1"/>
    <x v="48"/>
    <x v="4"/>
    <n v="0"/>
    <x v="2"/>
    <n v="1169.78"/>
  </r>
  <r>
    <d v="2024-01-22T00:00:00"/>
    <x v="1220"/>
    <x v="4"/>
    <n v="1351.74"/>
    <x v="0"/>
    <x v="48"/>
    <x v="4"/>
    <n v="300"/>
    <x v="0"/>
    <n v="-1351.74"/>
  </r>
  <r>
    <d v="2024-01-23T00:00:00"/>
    <x v="1221"/>
    <x v="9"/>
    <n v="1756.18"/>
    <x v="0"/>
    <x v="48"/>
    <x v="4"/>
    <n v="200"/>
    <x v="0"/>
    <n v="-1756.18"/>
  </r>
  <r>
    <d v="2024-01-24T00:00:00"/>
    <x v="1222"/>
    <x v="0"/>
    <n v="1050.23"/>
    <x v="0"/>
    <x v="48"/>
    <x v="4"/>
    <n v="500"/>
    <x v="0"/>
    <n v="-1050.23"/>
  </r>
  <r>
    <d v="2024-01-25T00:00:00"/>
    <x v="1223"/>
    <x v="3"/>
    <n v="934"/>
    <x v="1"/>
    <x v="48"/>
    <x v="4"/>
    <n v="0"/>
    <x v="2"/>
    <n v="934"/>
  </r>
  <r>
    <d v="2024-01-26T00:00:00"/>
    <x v="1224"/>
    <x v="6"/>
    <n v="541.29"/>
    <x v="0"/>
    <x v="48"/>
    <x v="4"/>
    <n v="200"/>
    <x v="0"/>
    <n v="-541.29"/>
  </r>
  <r>
    <d v="2024-01-26T00:00:00"/>
    <x v="1225"/>
    <x v="9"/>
    <n v="1369.95"/>
    <x v="0"/>
    <x v="48"/>
    <x v="4"/>
    <n v="200"/>
    <x v="0"/>
    <n v="-1369.95"/>
  </r>
  <r>
    <d v="2024-01-26T00:00:00"/>
    <x v="1226"/>
    <x v="3"/>
    <n v="2917"/>
    <x v="1"/>
    <x v="48"/>
    <x v="4"/>
    <n v="0"/>
    <x v="2"/>
    <n v="2917"/>
  </r>
  <r>
    <d v="2024-01-27T00:00:00"/>
    <x v="1227"/>
    <x v="0"/>
    <n v="723.78"/>
    <x v="0"/>
    <x v="48"/>
    <x v="4"/>
    <n v="500"/>
    <x v="0"/>
    <n v="-723.78"/>
  </r>
  <r>
    <d v="2024-01-28T00:00:00"/>
    <x v="1228"/>
    <x v="6"/>
    <n v="1487.4"/>
    <x v="0"/>
    <x v="48"/>
    <x v="4"/>
    <n v="200"/>
    <x v="0"/>
    <n v="-1487.4"/>
  </r>
  <r>
    <d v="2024-01-30T00:00:00"/>
    <x v="1229"/>
    <x v="6"/>
    <n v="1026.74"/>
    <x v="0"/>
    <x v="48"/>
    <x v="4"/>
    <n v="200"/>
    <x v="0"/>
    <n v="-1026.74"/>
  </r>
  <r>
    <d v="2024-02-01T00:00:00"/>
    <x v="1230"/>
    <x v="9"/>
    <n v="1388.94"/>
    <x v="0"/>
    <x v="49"/>
    <x v="4"/>
    <n v="200"/>
    <x v="0"/>
    <n v="-1388.94"/>
  </r>
  <r>
    <d v="2024-02-06T00:00:00"/>
    <x v="1231"/>
    <x v="5"/>
    <n v="3674"/>
    <x v="1"/>
    <x v="49"/>
    <x v="4"/>
    <n v="0"/>
    <x v="2"/>
    <n v="3674"/>
  </r>
  <r>
    <d v="2024-02-07T00:00:00"/>
    <x v="1232"/>
    <x v="7"/>
    <n v="1932.01"/>
    <x v="0"/>
    <x v="49"/>
    <x v="4"/>
    <n v="150"/>
    <x v="0"/>
    <n v="-1932.01"/>
  </r>
  <r>
    <d v="2024-02-07T00:00:00"/>
    <x v="1233"/>
    <x v="5"/>
    <n v="2163"/>
    <x v="1"/>
    <x v="49"/>
    <x v="4"/>
    <n v="0"/>
    <x v="2"/>
    <n v="2163"/>
  </r>
  <r>
    <d v="2024-02-10T00:00:00"/>
    <x v="1234"/>
    <x v="8"/>
    <n v="1661.67"/>
    <x v="1"/>
    <x v="49"/>
    <x v="4"/>
    <n v="0"/>
    <x v="2"/>
    <n v="1661.67"/>
  </r>
  <r>
    <d v="2024-02-10T00:00:00"/>
    <x v="1235"/>
    <x v="7"/>
    <n v="1512.66"/>
    <x v="0"/>
    <x v="49"/>
    <x v="4"/>
    <n v="150"/>
    <x v="0"/>
    <n v="-1512.66"/>
  </r>
  <r>
    <d v="2024-02-10T00:00:00"/>
    <x v="1236"/>
    <x v="6"/>
    <n v="1554.53"/>
    <x v="0"/>
    <x v="49"/>
    <x v="4"/>
    <n v="200"/>
    <x v="0"/>
    <n v="-1554.53"/>
  </r>
  <r>
    <d v="2024-02-14T00:00:00"/>
    <x v="1237"/>
    <x v="9"/>
    <n v="903.14"/>
    <x v="0"/>
    <x v="49"/>
    <x v="4"/>
    <n v="200"/>
    <x v="0"/>
    <n v="-903.14"/>
  </r>
  <r>
    <d v="2024-02-14T00:00:00"/>
    <x v="1238"/>
    <x v="2"/>
    <n v="382.08"/>
    <x v="0"/>
    <x v="49"/>
    <x v="4"/>
    <n v="1500"/>
    <x v="1"/>
    <n v="-382.08"/>
  </r>
  <r>
    <d v="2024-02-15T00:00:00"/>
    <x v="1239"/>
    <x v="3"/>
    <n v="3590"/>
    <x v="1"/>
    <x v="49"/>
    <x v="4"/>
    <n v="0"/>
    <x v="2"/>
    <n v="3590"/>
  </r>
  <r>
    <d v="2024-02-16T00:00:00"/>
    <x v="1240"/>
    <x v="5"/>
    <n v="2664"/>
    <x v="1"/>
    <x v="49"/>
    <x v="4"/>
    <n v="0"/>
    <x v="2"/>
    <n v="2664"/>
  </r>
  <r>
    <d v="2024-02-17T00:00:00"/>
    <x v="1241"/>
    <x v="5"/>
    <n v="546"/>
    <x v="1"/>
    <x v="49"/>
    <x v="4"/>
    <n v="0"/>
    <x v="2"/>
    <n v="546"/>
  </r>
  <r>
    <d v="2024-02-19T00:00:00"/>
    <x v="1242"/>
    <x v="1"/>
    <n v="89.48"/>
    <x v="0"/>
    <x v="49"/>
    <x v="4"/>
    <n v="150"/>
    <x v="1"/>
    <n v="-89.48"/>
  </r>
  <r>
    <d v="2024-02-21T00:00:00"/>
    <x v="1243"/>
    <x v="0"/>
    <n v="1549.59"/>
    <x v="0"/>
    <x v="49"/>
    <x v="4"/>
    <n v="500"/>
    <x v="0"/>
    <n v="-1549.59"/>
  </r>
  <r>
    <d v="2024-02-21T00:00:00"/>
    <x v="1244"/>
    <x v="9"/>
    <n v="986.2"/>
    <x v="0"/>
    <x v="49"/>
    <x v="4"/>
    <n v="200"/>
    <x v="0"/>
    <n v="-986.2"/>
  </r>
  <r>
    <d v="2024-02-21T00:00:00"/>
    <x v="1245"/>
    <x v="7"/>
    <n v="155.03"/>
    <x v="0"/>
    <x v="49"/>
    <x v="4"/>
    <n v="150"/>
    <x v="0"/>
    <n v="-155.03"/>
  </r>
  <r>
    <d v="2024-02-22T00:00:00"/>
    <x v="1246"/>
    <x v="6"/>
    <n v="1914.41"/>
    <x v="0"/>
    <x v="49"/>
    <x v="4"/>
    <n v="200"/>
    <x v="0"/>
    <n v="-1914.41"/>
  </r>
  <r>
    <d v="2024-02-23T00:00:00"/>
    <x v="1247"/>
    <x v="1"/>
    <n v="837.7"/>
    <x v="0"/>
    <x v="49"/>
    <x v="4"/>
    <n v="150"/>
    <x v="0"/>
    <n v="-837.7"/>
  </r>
  <r>
    <d v="2024-02-23T00:00:00"/>
    <x v="1248"/>
    <x v="2"/>
    <n v="705.31"/>
    <x v="0"/>
    <x v="49"/>
    <x v="4"/>
    <n v="1500"/>
    <x v="1"/>
    <n v="-705.31"/>
  </r>
  <r>
    <d v="2024-02-24T00:00:00"/>
    <x v="1249"/>
    <x v="7"/>
    <n v="668.82"/>
    <x v="0"/>
    <x v="49"/>
    <x v="4"/>
    <n v="150"/>
    <x v="0"/>
    <n v="-668.82"/>
  </r>
  <r>
    <d v="2024-02-24T00:00:00"/>
    <x v="1250"/>
    <x v="8"/>
    <n v="1993.3"/>
    <x v="1"/>
    <x v="49"/>
    <x v="4"/>
    <n v="0"/>
    <x v="2"/>
    <n v="1993.3"/>
  </r>
  <r>
    <d v="2024-02-25T00:00:00"/>
    <x v="1251"/>
    <x v="0"/>
    <n v="238.3"/>
    <x v="0"/>
    <x v="49"/>
    <x v="4"/>
    <n v="500"/>
    <x v="1"/>
    <n v="-238.3"/>
  </r>
  <r>
    <d v="2024-02-27T00:00:00"/>
    <x v="1252"/>
    <x v="6"/>
    <n v="1809.95"/>
    <x v="0"/>
    <x v="49"/>
    <x v="4"/>
    <n v="200"/>
    <x v="0"/>
    <n v="-1809.95"/>
  </r>
  <r>
    <d v="2024-02-27T00:00:00"/>
    <x v="1253"/>
    <x v="6"/>
    <n v="1918.2"/>
    <x v="0"/>
    <x v="49"/>
    <x v="4"/>
    <n v="200"/>
    <x v="0"/>
    <n v="-1918.2"/>
  </r>
  <r>
    <d v="2024-02-27T00:00:00"/>
    <x v="1254"/>
    <x v="7"/>
    <n v="768.93"/>
    <x v="0"/>
    <x v="49"/>
    <x v="4"/>
    <n v="150"/>
    <x v="0"/>
    <n v="-768.93"/>
  </r>
  <r>
    <d v="2024-02-28T00:00:00"/>
    <x v="1255"/>
    <x v="2"/>
    <n v="777.89"/>
    <x v="0"/>
    <x v="49"/>
    <x v="4"/>
    <n v="1500"/>
    <x v="1"/>
    <n v="-777.89"/>
  </r>
  <r>
    <d v="2024-02-29T00:00:00"/>
    <x v="1256"/>
    <x v="9"/>
    <n v="59.16"/>
    <x v="0"/>
    <x v="49"/>
    <x v="4"/>
    <n v="200"/>
    <x v="1"/>
    <n v="-59.16"/>
  </r>
  <r>
    <d v="2024-03-02T00:00:00"/>
    <x v="1257"/>
    <x v="7"/>
    <n v="1033.48"/>
    <x v="0"/>
    <x v="50"/>
    <x v="4"/>
    <n v="150"/>
    <x v="0"/>
    <n v="-1033.48"/>
  </r>
  <r>
    <d v="2024-03-03T00:00:00"/>
    <x v="1258"/>
    <x v="8"/>
    <n v="97.26"/>
    <x v="1"/>
    <x v="50"/>
    <x v="4"/>
    <n v="0"/>
    <x v="2"/>
    <n v="97.26"/>
  </r>
  <r>
    <d v="2024-03-05T00:00:00"/>
    <x v="1259"/>
    <x v="6"/>
    <n v="647.41999999999996"/>
    <x v="0"/>
    <x v="50"/>
    <x v="4"/>
    <n v="200"/>
    <x v="0"/>
    <n v="-647.41999999999996"/>
  </r>
  <r>
    <d v="2024-03-05T00:00:00"/>
    <x v="1260"/>
    <x v="3"/>
    <n v="1871"/>
    <x v="1"/>
    <x v="50"/>
    <x v="4"/>
    <n v="0"/>
    <x v="2"/>
    <n v="1871"/>
  </r>
  <r>
    <d v="2024-03-06T00:00:00"/>
    <x v="1261"/>
    <x v="0"/>
    <n v="1257.5999999999999"/>
    <x v="0"/>
    <x v="50"/>
    <x v="4"/>
    <n v="500"/>
    <x v="0"/>
    <n v="-1257.5999999999999"/>
  </r>
  <r>
    <d v="2024-03-06T00:00:00"/>
    <x v="1262"/>
    <x v="6"/>
    <n v="1731.25"/>
    <x v="0"/>
    <x v="50"/>
    <x v="4"/>
    <n v="200"/>
    <x v="0"/>
    <n v="-1731.25"/>
  </r>
  <r>
    <d v="2024-03-06T00:00:00"/>
    <x v="1263"/>
    <x v="2"/>
    <n v="419.1"/>
    <x v="0"/>
    <x v="50"/>
    <x v="4"/>
    <n v="1500"/>
    <x v="1"/>
    <n v="-419.1"/>
  </r>
  <r>
    <d v="2024-03-07T00:00:00"/>
    <x v="1264"/>
    <x v="4"/>
    <n v="1296.6600000000001"/>
    <x v="0"/>
    <x v="50"/>
    <x v="4"/>
    <n v="300"/>
    <x v="0"/>
    <n v="-1296.6600000000001"/>
  </r>
  <r>
    <d v="2024-03-07T00:00:00"/>
    <x v="1265"/>
    <x v="1"/>
    <n v="57.27"/>
    <x v="0"/>
    <x v="50"/>
    <x v="4"/>
    <n v="150"/>
    <x v="1"/>
    <n v="-57.27"/>
  </r>
  <r>
    <d v="2024-03-08T00:00:00"/>
    <x v="1266"/>
    <x v="0"/>
    <n v="184.17"/>
    <x v="0"/>
    <x v="50"/>
    <x v="4"/>
    <n v="500"/>
    <x v="1"/>
    <n v="-184.17"/>
  </r>
  <r>
    <d v="2024-03-11T00:00:00"/>
    <x v="1267"/>
    <x v="5"/>
    <n v="1077"/>
    <x v="1"/>
    <x v="50"/>
    <x v="4"/>
    <n v="0"/>
    <x v="2"/>
    <n v="1077"/>
  </r>
  <r>
    <d v="2024-03-13T00:00:00"/>
    <x v="1268"/>
    <x v="6"/>
    <n v="1822.86"/>
    <x v="0"/>
    <x v="50"/>
    <x v="4"/>
    <n v="200"/>
    <x v="0"/>
    <n v="-1822.86"/>
  </r>
  <r>
    <d v="2024-03-15T00:00:00"/>
    <x v="1269"/>
    <x v="8"/>
    <n v="1264.1300000000001"/>
    <x v="1"/>
    <x v="50"/>
    <x v="4"/>
    <n v="0"/>
    <x v="2"/>
    <n v="1264.1300000000001"/>
  </r>
  <r>
    <d v="2024-03-16T00:00:00"/>
    <x v="1270"/>
    <x v="0"/>
    <n v="785.11"/>
    <x v="0"/>
    <x v="50"/>
    <x v="4"/>
    <n v="500"/>
    <x v="0"/>
    <n v="-785.11"/>
  </r>
  <r>
    <d v="2024-03-18T00:00:00"/>
    <x v="1271"/>
    <x v="3"/>
    <n v="1018"/>
    <x v="1"/>
    <x v="50"/>
    <x v="4"/>
    <n v="0"/>
    <x v="2"/>
    <n v="1018"/>
  </r>
  <r>
    <d v="2024-03-26T00:00:00"/>
    <x v="1272"/>
    <x v="0"/>
    <n v="1404.76"/>
    <x v="0"/>
    <x v="50"/>
    <x v="4"/>
    <n v="500"/>
    <x v="0"/>
    <n v="-1404.76"/>
  </r>
  <r>
    <d v="2024-03-27T00:00:00"/>
    <x v="1273"/>
    <x v="3"/>
    <n v="2874"/>
    <x v="1"/>
    <x v="50"/>
    <x v="4"/>
    <n v="0"/>
    <x v="2"/>
    <n v="2874"/>
  </r>
  <r>
    <d v="2024-03-28T00:00:00"/>
    <x v="1274"/>
    <x v="9"/>
    <n v="1217.07"/>
    <x v="0"/>
    <x v="50"/>
    <x v="4"/>
    <n v="200"/>
    <x v="0"/>
    <n v="-1217.07"/>
  </r>
  <r>
    <d v="2024-03-29T00:00:00"/>
    <x v="1275"/>
    <x v="8"/>
    <n v="769.01"/>
    <x v="1"/>
    <x v="50"/>
    <x v="4"/>
    <n v="0"/>
    <x v="2"/>
    <n v="769.01"/>
  </r>
  <r>
    <d v="2024-03-30T00:00:00"/>
    <x v="1276"/>
    <x v="0"/>
    <n v="953.24"/>
    <x v="0"/>
    <x v="50"/>
    <x v="4"/>
    <n v="500"/>
    <x v="0"/>
    <n v="-953.24"/>
  </r>
  <r>
    <d v="2024-03-30T00:00:00"/>
    <x v="1277"/>
    <x v="1"/>
    <n v="1496.04"/>
    <x v="0"/>
    <x v="50"/>
    <x v="4"/>
    <n v="150"/>
    <x v="0"/>
    <n v="-1496.04"/>
  </r>
  <r>
    <d v="2024-04-03T00:00:00"/>
    <x v="1278"/>
    <x v="9"/>
    <n v="1920.67"/>
    <x v="0"/>
    <x v="51"/>
    <x v="4"/>
    <n v="200"/>
    <x v="0"/>
    <n v="-1920.67"/>
  </r>
  <r>
    <d v="2024-04-04T00:00:00"/>
    <x v="1279"/>
    <x v="5"/>
    <n v="591"/>
    <x v="1"/>
    <x v="51"/>
    <x v="4"/>
    <n v="0"/>
    <x v="2"/>
    <n v="591"/>
  </r>
  <r>
    <d v="2024-04-06T00:00:00"/>
    <x v="1280"/>
    <x v="1"/>
    <n v="255.24"/>
    <x v="0"/>
    <x v="51"/>
    <x v="4"/>
    <n v="150"/>
    <x v="0"/>
    <n v="-255.24"/>
  </r>
  <r>
    <d v="2024-04-07T00:00:00"/>
    <x v="1281"/>
    <x v="5"/>
    <n v="4900"/>
    <x v="1"/>
    <x v="51"/>
    <x v="4"/>
    <n v="0"/>
    <x v="2"/>
    <n v="4900"/>
  </r>
  <r>
    <d v="2024-04-08T00:00:00"/>
    <x v="1282"/>
    <x v="2"/>
    <n v="616.34"/>
    <x v="0"/>
    <x v="51"/>
    <x v="4"/>
    <n v="1500"/>
    <x v="1"/>
    <n v="-616.34"/>
  </r>
  <r>
    <d v="2024-04-09T00:00:00"/>
    <x v="1283"/>
    <x v="7"/>
    <n v="431.36"/>
    <x v="0"/>
    <x v="51"/>
    <x v="4"/>
    <n v="150"/>
    <x v="0"/>
    <n v="-431.36"/>
  </r>
  <r>
    <d v="2024-04-09T00:00:00"/>
    <x v="1284"/>
    <x v="1"/>
    <n v="330.3"/>
    <x v="0"/>
    <x v="51"/>
    <x v="4"/>
    <n v="150"/>
    <x v="0"/>
    <n v="-330.3"/>
  </r>
  <r>
    <d v="2024-04-10T00:00:00"/>
    <x v="1285"/>
    <x v="9"/>
    <n v="396.71"/>
    <x v="0"/>
    <x v="51"/>
    <x v="4"/>
    <n v="200"/>
    <x v="0"/>
    <n v="-396.71"/>
  </r>
  <r>
    <d v="2024-04-10T00:00:00"/>
    <x v="1286"/>
    <x v="3"/>
    <n v="4996"/>
    <x v="1"/>
    <x v="51"/>
    <x v="4"/>
    <n v="0"/>
    <x v="2"/>
    <n v="4996"/>
  </r>
  <r>
    <d v="2024-04-11T00:00:00"/>
    <x v="1287"/>
    <x v="2"/>
    <n v="588.4"/>
    <x v="0"/>
    <x v="51"/>
    <x v="4"/>
    <n v="1500"/>
    <x v="1"/>
    <n v="-588.4"/>
  </r>
  <r>
    <d v="2024-04-13T00:00:00"/>
    <x v="1288"/>
    <x v="3"/>
    <n v="2117"/>
    <x v="1"/>
    <x v="51"/>
    <x v="4"/>
    <n v="0"/>
    <x v="2"/>
    <n v="2117"/>
  </r>
  <r>
    <d v="2024-04-16T00:00:00"/>
    <x v="1289"/>
    <x v="8"/>
    <n v="1903.56"/>
    <x v="1"/>
    <x v="51"/>
    <x v="4"/>
    <n v="0"/>
    <x v="2"/>
    <n v="1903.56"/>
  </r>
  <r>
    <d v="2024-04-17T00:00:00"/>
    <x v="1290"/>
    <x v="6"/>
    <n v="209.09"/>
    <x v="0"/>
    <x v="51"/>
    <x v="4"/>
    <n v="200"/>
    <x v="0"/>
    <n v="-209.09"/>
  </r>
  <r>
    <d v="2024-04-17T00:00:00"/>
    <x v="1291"/>
    <x v="6"/>
    <n v="642.39"/>
    <x v="0"/>
    <x v="51"/>
    <x v="4"/>
    <n v="200"/>
    <x v="0"/>
    <n v="-642.39"/>
  </r>
  <r>
    <d v="2024-04-17T00:00:00"/>
    <x v="1292"/>
    <x v="9"/>
    <n v="1389.98"/>
    <x v="0"/>
    <x v="51"/>
    <x v="4"/>
    <n v="200"/>
    <x v="0"/>
    <n v="-1389.98"/>
  </r>
  <r>
    <d v="2024-04-18T00:00:00"/>
    <x v="1293"/>
    <x v="5"/>
    <n v="3091"/>
    <x v="1"/>
    <x v="51"/>
    <x v="4"/>
    <n v="0"/>
    <x v="2"/>
    <n v="3091"/>
  </r>
  <r>
    <d v="2024-04-20T00:00:00"/>
    <x v="1294"/>
    <x v="1"/>
    <n v="19.62"/>
    <x v="0"/>
    <x v="51"/>
    <x v="4"/>
    <n v="150"/>
    <x v="1"/>
    <n v="-19.62"/>
  </r>
  <r>
    <d v="2024-04-21T00:00:00"/>
    <x v="1295"/>
    <x v="6"/>
    <n v="1427.28"/>
    <x v="0"/>
    <x v="51"/>
    <x v="4"/>
    <n v="200"/>
    <x v="0"/>
    <n v="-1427.28"/>
  </r>
  <r>
    <d v="2024-04-22T00:00:00"/>
    <x v="1296"/>
    <x v="9"/>
    <n v="1681.82"/>
    <x v="0"/>
    <x v="51"/>
    <x v="4"/>
    <n v="200"/>
    <x v="0"/>
    <n v="-1681.82"/>
  </r>
  <r>
    <d v="2024-04-23T00:00:00"/>
    <x v="1297"/>
    <x v="5"/>
    <n v="4431"/>
    <x v="1"/>
    <x v="51"/>
    <x v="4"/>
    <n v="0"/>
    <x v="2"/>
    <n v="4431"/>
  </r>
  <r>
    <d v="2024-04-25T00:00:00"/>
    <x v="1298"/>
    <x v="7"/>
    <n v="1551.79"/>
    <x v="0"/>
    <x v="51"/>
    <x v="4"/>
    <n v="150"/>
    <x v="0"/>
    <n v="-1551.79"/>
  </r>
  <r>
    <d v="2024-04-26T00:00:00"/>
    <x v="1299"/>
    <x v="2"/>
    <n v="359.78"/>
    <x v="0"/>
    <x v="51"/>
    <x v="4"/>
    <n v="1500"/>
    <x v="1"/>
    <n v="-359.78"/>
  </r>
  <r>
    <d v="2024-04-26T00:00:00"/>
    <x v="1300"/>
    <x v="9"/>
    <n v="1718.84"/>
    <x v="0"/>
    <x v="51"/>
    <x v="4"/>
    <n v="200"/>
    <x v="0"/>
    <n v="-1718.84"/>
  </r>
  <r>
    <d v="2024-04-30T00:00:00"/>
    <x v="1301"/>
    <x v="3"/>
    <n v="2656"/>
    <x v="1"/>
    <x v="51"/>
    <x v="4"/>
    <n v="0"/>
    <x v="2"/>
    <n v="2656"/>
  </r>
  <r>
    <d v="2024-05-02T00:00:00"/>
    <x v="1302"/>
    <x v="2"/>
    <n v="1457.58"/>
    <x v="0"/>
    <x v="52"/>
    <x v="4"/>
    <n v="1500"/>
    <x v="1"/>
    <n v="-1457.58"/>
  </r>
  <r>
    <d v="2024-05-03T00:00:00"/>
    <x v="1303"/>
    <x v="0"/>
    <n v="1627.16"/>
    <x v="0"/>
    <x v="52"/>
    <x v="4"/>
    <n v="500"/>
    <x v="0"/>
    <n v="-1627.16"/>
  </r>
  <r>
    <d v="2024-05-04T00:00:00"/>
    <x v="1304"/>
    <x v="6"/>
    <n v="1813.54"/>
    <x v="0"/>
    <x v="52"/>
    <x v="4"/>
    <n v="200"/>
    <x v="0"/>
    <n v="-1813.54"/>
  </r>
  <r>
    <d v="2024-05-04T00:00:00"/>
    <x v="1305"/>
    <x v="8"/>
    <n v="1311.28"/>
    <x v="1"/>
    <x v="52"/>
    <x v="4"/>
    <n v="0"/>
    <x v="2"/>
    <n v="1311.28"/>
  </r>
  <r>
    <d v="2024-05-05T00:00:00"/>
    <x v="1306"/>
    <x v="5"/>
    <n v="2329"/>
    <x v="1"/>
    <x v="52"/>
    <x v="4"/>
    <n v="0"/>
    <x v="2"/>
    <n v="2329"/>
  </r>
  <r>
    <d v="2024-05-05T00:00:00"/>
    <x v="1307"/>
    <x v="9"/>
    <n v="276.42"/>
    <x v="0"/>
    <x v="52"/>
    <x v="4"/>
    <n v="200"/>
    <x v="0"/>
    <n v="-276.42"/>
  </r>
  <r>
    <d v="2024-05-14T00:00:00"/>
    <x v="1308"/>
    <x v="2"/>
    <n v="799.6"/>
    <x v="0"/>
    <x v="52"/>
    <x v="4"/>
    <n v="1500"/>
    <x v="1"/>
    <n v="-799.6"/>
  </r>
  <r>
    <d v="2024-05-15T00:00:00"/>
    <x v="1309"/>
    <x v="6"/>
    <n v="1697.48"/>
    <x v="0"/>
    <x v="52"/>
    <x v="4"/>
    <n v="200"/>
    <x v="0"/>
    <n v="-1697.48"/>
  </r>
  <r>
    <d v="2024-05-17T00:00:00"/>
    <x v="1310"/>
    <x v="1"/>
    <n v="1516.84"/>
    <x v="0"/>
    <x v="52"/>
    <x v="4"/>
    <n v="150"/>
    <x v="0"/>
    <n v="-1516.84"/>
  </r>
  <r>
    <d v="2024-05-20T00:00:00"/>
    <x v="1311"/>
    <x v="3"/>
    <n v="1967"/>
    <x v="1"/>
    <x v="52"/>
    <x v="4"/>
    <n v="0"/>
    <x v="2"/>
    <n v="1967"/>
  </r>
  <r>
    <d v="2024-05-22T00:00:00"/>
    <x v="1312"/>
    <x v="1"/>
    <n v="1474.48"/>
    <x v="0"/>
    <x v="52"/>
    <x v="4"/>
    <n v="150"/>
    <x v="0"/>
    <n v="-1474.48"/>
  </r>
  <r>
    <d v="2024-05-23T00:00:00"/>
    <x v="1313"/>
    <x v="7"/>
    <n v="90.44"/>
    <x v="0"/>
    <x v="52"/>
    <x v="4"/>
    <n v="150"/>
    <x v="1"/>
    <n v="-90.44"/>
  </r>
  <r>
    <d v="2024-05-25T00:00:00"/>
    <x v="1314"/>
    <x v="6"/>
    <n v="135.09"/>
    <x v="0"/>
    <x v="52"/>
    <x v="4"/>
    <n v="200"/>
    <x v="1"/>
    <n v="-135.09"/>
  </r>
  <r>
    <d v="2024-05-26T00:00:00"/>
    <x v="1315"/>
    <x v="0"/>
    <n v="1340.49"/>
    <x v="0"/>
    <x v="52"/>
    <x v="4"/>
    <n v="500"/>
    <x v="0"/>
    <n v="-1340.49"/>
  </r>
  <r>
    <d v="2024-05-27T00:00:00"/>
    <x v="1316"/>
    <x v="7"/>
    <n v="782.31"/>
    <x v="0"/>
    <x v="52"/>
    <x v="4"/>
    <n v="150"/>
    <x v="0"/>
    <n v="-782.31"/>
  </r>
  <r>
    <d v="2024-05-27T00:00:00"/>
    <x v="1317"/>
    <x v="0"/>
    <n v="89.41"/>
    <x v="0"/>
    <x v="52"/>
    <x v="4"/>
    <n v="500"/>
    <x v="1"/>
    <n v="-89.41"/>
  </r>
  <r>
    <d v="2024-05-31T00:00:00"/>
    <x v="1318"/>
    <x v="2"/>
    <n v="1410.44"/>
    <x v="0"/>
    <x v="52"/>
    <x v="4"/>
    <n v="1500"/>
    <x v="1"/>
    <n v="-1410.44"/>
  </r>
  <r>
    <d v="2024-06-01T00:00:00"/>
    <x v="1319"/>
    <x v="9"/>
    <n v="1671.4"/>
    <x v="0"/>
    <x v="53"/>
    <x v="4"/>
    <n v="200"/>
    <x v="0"/>
    <n v="-1671.4"/>
  </r>
  <r>
    <d v="2024-06-02T00:00:00"/>
    <x v="1320"/>
    <x v="1"/>
    <n v="759.55"/>
    <x v="0"/>
    <x v="53"/>
    <x v="4"/>
    <n v="150"/>
    <x v="0"/>
    <n v="-759.55"/>
  </r>
  <r>
    <d v="2024-06-02T00:00:00"/>
    <x v="1321"/>
    <x v="2"/>
    <n v="1038.1600000000001"/>
    <x v="0"/>
    <x v="53"/>
    <x v="4"/>
    <n v="1500"/>
    <x v="1"/>
    <n v="-1038.1600000000001"/>
  </r>
  <r>
    <d v="2024-06-03T00:00:00"/>
    <x v="1322"/>
    <x v="6"/>
    <n v="1037.58"/>
    <x v="0"/>
    <x v="53"/>
    <x v="4"/>
    <n v="200"/>
    <x v="0"/>
    <n v="-1037.58"/>
  </r>
  <r>
    <d v="2024-06-04T00:00:00"/>
    <x v="1323"/>
    <x v="7"/>
    <n v="978.85"/>
    <x v="0"/>
    <x v="53"/>
    <x v="4"/>
    <n v="150"/>
    <x v="0"/>
    <n v="-978.85"/>
  </r>
  <r>
    <d v="2024-06-06T00:00:00"/>
    <x v="1324"/>
    <x v="0"/>
    <n v="1008.66"/>
    <x v="0"/>
    <x v="53"/>
    <x v="4"/>
    <n v="500"/>
    <x v="0"/>
    <n v="-1008.66"/>
  </r>
  <r>
    <d v="2024-06-07T00:00:00"/>
    <x v="1325"/>
    <x v="3"/>
    <n v="2384"/>
    <x v="1"/>
    <x v="53"/>
    <x v="4"/>
    <n v="0"/>
    <x v="2"/>
    <n v="2384"/>
  </r>
  <r>
    <d v="2024-06-09T00:00:00"/>
    <x v="1326"/>
    <x v="5"/>
    <n v="2232"/>
    <x v="1"/>
    <x v="53"/>
    <x v="4"/>
    <n v="0"/>
    <x v="2"/>
    <n v="2232"/>
  </r>
  <r>
    <d v="2024-06-10T00:00:00"/>
    <x v="1327"/>
    <x v="3"/>
    <n v="3467"/>
    <x v="1"/>
    <x v="53"/>
    <x v="4"/>
    <n v="0"/>
    <x v="2"/>
    <n v="3467"/>
  </r>
  <r>
    <d v="2024-06-12T00:00:00"/>
    <x v="1328"/>
    <x v="2"/>
    <n v="1325.61"/>
    <x v="0"/>
    <x v="53"/>
    <x v="4"/>
    <n v="1500"/>
    <x v="1"/>
    <n v="-1325.61"/>
  </r>
  <r>
    <d v="2024-06-13T00:00:00"/>
    <x v="1329"/>
    <x v="7"/>
    <n v="1443.31"/>
    <x v="0"/>
    <x v="53"/>
    <x v="4"/>
    <n v="150"/>
    <x v="0"/>
    <n v="-1443.31"/>
  </r>
  <r>
    <d v="2024-06-13T00:00:00"/>
    <x v="1330"/>
    <x v="8"/>
    <n v="963.25"/>
    <x v="1"/>
    <x v="53"/>
    <x v="4"/>
    <n v="0"/>
    <x v="2"/>
    <n v="963.25"/>
  </r>
  <r>
    <d v="2024-06-14T00:00:00"/>
    <x v="1331"/>
    <x v="4"/>
    <n v="54.67"/>
    <x v="0"/>
    <x v="53"/>
    <x v="4"/>
    <n v="300"/>
    <x v="1"/>
    <n v="-54.67"/>
  </r>
  <r>
    <d v="2024-06-15T00:00:00"/>
    <x v="1332"/>
    <x v="3"/>
    <n v="1603"/>
    <x v="1"/>
    <x v="53"/>
    <x v="4"/>
    <n v="0"/>
    <x v="2"/>
    <n v="1603"/>
  </r>
  <r>
    <d v="2024-06-16T00:00:00"/>
    <x v="1333"/>
    <x v="0"/>
    <n v="1782.69"/>
    <x v="0"/>
    <x v="53"/>
    <x v="4"/>
    <n v="500"/>
    <x v="0"/>
    <n v="-1782.69"/>
  </r>
  <r>
    <d v="2024-06-17T00:00:00"/>
    <x v="1334"/>
    <x v="3"/>
    <n v="2615"/>
    <x v="1"/>
    <x v="53"/>
    <x v="4"/>
    <n v="0"/>
    <x v="2"/>
    <n v="2615"/>
  </r>
  <r>
    <d v="2024-06-21T00:00:00"/>
    <x v="1335"/>
    <x v="4"/>
    <n v="1202.72"/>
    <x v="0"/>
    <x v="53"/>
    <x v="4"/>
    <n v="300"/>
    <x v="0"/>
    <n v="-1202.72"/>
  </r>
  <r>
    <d v="2024-06-21T00:00:00"/>
    <x v="1336"/>
    <x v="0"/>
    <n v="1758.23"/>
    <x v="0"/>
    <x v="53"/>
    <x v="4"/>
    <n v="500"/>
    <x v="0"/>
    <n v="-1758.23"/>
  </r>
  <r>
    <d v="2024-06-22T00:00:00"/>
    <x v="1337"/>
    <x v="9"/>
    <n v="1895.04"/>
    <x v="0"/>
    <x v="53"/>
    <x v="4"/>
    <n v="200"/>
    <x v="0"/>
    <n v="-1895.04"/>
  </r>
  <r>
    <d v="2024-06-23T00:00:00"/>
    <x v="1338"/>
    <x v="8"/>
    <n v="1735.93"/>
    <x v="1"/>
    <x v="53"/>
    <x v="4"/>
    <n v="0"/>
    <x v="2"/>
    <n v="1735.93"/>
  </r>
  <r>
    <d v="2024-06-23T00:00:00"/>
    <x v="1339"/>
    <x v="5"/>
    <n v="1669"/>
    <x v="1"/>
    <x v="53"/>
    <x v="4"/>
    <n v="0"/>
    <x v="2"/>
    <n v="1669"/>
  </r>
  <r>
    <d v="2024-06-23T00:00:00"/>
    <x v="1340"/>
    <x v="1"/>
    <n v="1250.19"/>
    <x v="0"/>
    <x v="53"/>
    <x v="4"/>
    <n v="150"/>
    <x v="0"/>
    <n v="-1250.19"/>
  </r>
  <r>
    <d v="2024-06-23T00:00:00"/>
    <x v="1341"/>
    <x v="1"/>
    <n v="1451.13"/>
    <x v="0"/>
    <x v="53"/>
    <x v="4"/>
    <n v="150"/>
    <x v="0"/>
    <n v="-1451.13"/>
  </r>
  <r>
    <d v="2024-06-23T00:00:00"/>
    <x v="1342"/>
    <x v="8"/>
    <n v="1197.0999999999999"/>
    <x v="1"/>
    <x v="53"/>
    <x v="4"/>
    <n v="0"/>
    <x v="2"/>
    <n v="1197.0999999999999"/>
  </r>
  <r>
    <d v="2024-07-01T00:00:00"/>
    <x v="1343"/>
    <x v="5"/>
    <n v="3657"/>
    <x v="1"/>
    <x v="54"/>
    <x v="4"/>
    <n v="0"/>
    <x v="2"/>
    <n v="3657"/>
  </r>
  <r>
    <d v="2024-07-05T00:00:00"/>
    <x v="1344"/>
    <x v="3"/>
    <n v="2157"/>
    <x v="1"/>
    <x v="54"/>
    <x v="4"/>
    <n v="0"/>
    <x v="2"/>
    <n v="2157"/>
  </r>
  <r>
    <d v="2024-07-06T00:00:00"/>
    <x v="1345"/>
    <x v="4"/>
    <n v="1654.76"/>
    <x v="0"/>
    <x v="54"/>
    <x v="4"/>
    <n v="300"/>
    <x v="0"/>
    <n v="-1654.76"/>
  </r>
  <r>
    <d v="2024-07-07T00:00:00"/>
    <x v="1346"/>
    <x v="1"/>
    <n v="956.98"/>
    <x v="0"/>
    <x v="54"/>
    <x v="4"/>
    <n v="150"/>
    <x v="0"/>
    <n v="-956.98"/>
  </r>
  <r>
    <d v="2024-07-07T00:00:00"/>
    <x v="1347"/>
    <x v="0"/>
    <n v="1756.73"/>
    <x v="0"/>
    <x v="54"/>
    <x v="4"/>
    <n v="500"/>
    <x v="0"/>
    <n v="-1756.73"/>
  </r>
  <r>
    <d v="2024-07-07T00:00:00"/>
    <x v="1348"/>
    <x v="2"/>
    <n v="195.45"/>
    <x v="0"/>
    <x v="54"/>
    <x v="4"/>
    <n v="1500"/>
    <x v="1"/>
    <n v="-195.45"/>
  </r>
  <r>
    <d v="2024-07-07T00:00:00"/>
    <x v="1349"/>
    <x v="0"/>
    <n v="1794.97"/>
    <x v="0"/>
    <x v="54"/>
    <x v="4"/>
    <n v="500"/>
    <x v="0"/>
    <n v="-1794.97"/>
  </r>
  <r>
    <d v="2024-07-13T00:00:00"/>
    <x v="1350"/>
    <x v="4"/>
    <n v="1048.8699999999999"/>
    <x v="0"/>
    <x v="54"/>
    <x v="4"/>
    <n v="300"/>
    <x v="0"/>
    <n v="-1048.8699999999999"/>
  </r>
  <r>
    <d v="2024-07-13T00:00:00"/>
    <x v="1351"/>
    <x v="0"/>
    <n v="1398.31"/>
    <x v="0"/>
    <x v="54"/>
    <x v="4"/>
    <n v="500"/>
    <x v="0"/>
    <n v="-1398.31"/>
  </r>
  <r>
    <d v="2024-07-16T00:00:00"/>
    <x v="1352"/>
    <x v="8"/>
    <n v="1581.22"/>
    <x v="1"/>
    <x v="54"/>
    <x v="4"/>
    <n v="0"/>
    <x v="2"/>
    <n v="1581.22"/>
  </r>
  <r>
    <d v="2024-07-20T00:00:00"/>
    <x v="1353"/>
    <x v="2"/>
    <n v="856.72"/>
    <x v="0"/>
    <x v="54"/>
    <x v="4"/>
    <n v="1500"/>
    <x v="1"/>
    <n v="-856.72"/>
  </r>
  <r>
    <d v="2024-07-21T00:00:00"/>
    <x v="1354"/>
    <x v="6"/>
    <n v="1821.07"/>
    <x v="0"/>
    <x v="54"/>
    <x v="4"/>
    <n v="200"/>
    <x v="0"/>
    <n v="-1821.07"/>
  </r>
  <r>
    <d v="2024-07-22T00:00:00"/>
    <x v="1355"/>
    <x v="5"/>
    <n v="2611"/>
    <x v="1"/>
    <x v="54"/>
    <x v="4"/>
    <n v="0"/>
    <x v="2"/>
    <n v="2611"/>
  </r>
  <r>
    <d v="2024-07-23T00:00:00"/>
    <x v="1356"/>
    <x v="3"/>
    <n v="4780"/>
    <x v="1"/>
    <x v="54"/>
    <x v="4"/>
    <n v="0"/>
    <x v="2"/>
    <n v="4780"/>
  </r>
  <r>
    <d v="2024-07-23T00:00:00"/>
    <x v="1357"/>
    <x v="3"/>
    <n v="3572"/>
    <x v="1"/>
    <x v="54"/>
    <x v="4"/>
    <n v="0"/>
    <x v="2"/>
    <n v="3572"/>
  </r>
  <r>
    <d v="2024-07-25T00:00:00"/>
    <x v="1358"/>
    <x v="7"/>
    <n v="823.6"/>
    <x v="0"/>
    <x v="54"/>
    <x v="4"/>
    <n v="150"/>
    <x v="0"/>
    <n v="-823.6"/>
  </r>
  <r>
    <d v="2024-07-26T00:00:00"/>
    <x v="1359"/>
    <x v="5"/>
    <n v="2577"/>
    <x v="1"/>
    <x v="54"/>
    <x v="4"/>
    <n v="0"/>
    <x v="2"/>
    <n v="2577"/>
  </r>
  <r>
    <d v="2024-07-26T00:00:00"/>
    <x v="1360"/>
    <x v="4"/>
    <n v="1133.69"/>
    <x v="0"/>
    <x v="54"/>
    <x v="4"/>
    <n v="300"/>
    <x v="0"/>
    <n v="-1133.69"/>
  </r>
  <r>
    <d v="2024-07-26T00:00:00"/>
    <x v="1361"/>
    <x v="4"/>
    <n v="1512.39"/>
    <x v="0"/>
    <x v="54"/>
    <x v="4"/>
    <n v="300"/>
    <x v="0"/>
    <n v="-1512.39"/>
  </r>
  <r>
    <d v="2024-07-26T00:00:00"/>
    <x v="1362"/>
    <x v="8"/>
    <n v="365.65"/>
    <x v="1"/>
    <x v="54"/>
    <x v="4"/>
    <n v="0"/>
    <x v="2"/>
    <n v="365.65"/>
  </r>
  <r>
    <d v="2024-07-27T00:00:00"/>
    <x v="1363"/>
    <x v="8"/>
    <n v="515.02"/>
    <x v="1"/>
    <x v="54"/>
    <x v="4"/>
    <n v="0"/>
    <x v="2"/>
    <n v="515.02"/>
  </r>
  <r>
    <d v="2024-07-27T00:00:00"/>
    <x v="1364"/>
    <x v="7"/>
    <n v="1550.65"/>
    <x v="0"/>
    <x v="54"/>
    <x v="4"/>
    <n v="150"/>
    <x v="0"/>
    <n v="-1550.65"/>
  </r>
  <r>
    <d v="2024-07-27T00:00:00"/>
    <x v="1365"/>
    <x v="1"/>
    <n v="1711.45"/>
    <x v="0"/>
    <x v="54"/>
    <x v="4"/>
    <n v="150"/>
    <x v="0"/>
    <n v="-1711.45"/>
  </r>
  <r>
    <d v="2024-07-28T00:00:00"/>
    <x v="1366"/>
    <x v="6"/>
    <n v="898.72"/>
    <x v="0"/>
    <x v="54"/>
    <x v="4"/>
    <n v="200"/>
    <x v="0"/>
    <n v="-898.72"/>
  </r>
  <r>
    <d v="2024-07-28T00:00:00"/>
    <x v="1367"/>
    <x v="1"/>
    <n v="209.55"/>
    <x v="0"/>
    <x v="54"/>
    <x v="4"/>
    <n v="150"/>
    <x v="0"/>
    <n v="-209.55"/>
  </r>
  <r>
    <d v="2024-07-29T00:00:00"/>
    <x v="1368"/>
    <x v="7"/>
    <n v="1603.7"/>
    <x v="0"/>
    <x v="54"/>
    <x v="4"/>
    <n v="150"/>
    <x v="0"/>
    <n v="-1603.7"/>
  </r>
  <r>
    <d v="2024-07-29T00:00:00"/>
    <x v="1369"/>
    <x v="0"/>
    <n v="329.87"/>
    <x v="0"/>
    <x v="54"/>
    <x v="4"/>
    <n v="500"/>
    <x v="1"/>
    <n v="-329.87"/>
  </r>
  <r>
    <d v="2024-07-29T00:00:00"/>
    <x v="1370"/>
    <x v="0"/>
    <n v="1610.7"/>
    <x v="0"/>
    <x v="54"/>
    <x v="4"/>
    <n v="500"/>
    <x v="0"/>
    <n v="-1610.7"/>
  </r>
  <r>
    <d v="2024-07-30T00:00:00"/>
    <x v="1371"/>
    <x v="8"/>
    <n v="1852.46"/>
    <x v="1"/>
    <x v="54"/>
    <x v="4"/>
    <n v="0"/>
    <x v="2"/>
    <n v="1852.46"/>
  </r>
  <r>
    <d v="2024-07-30T00:00:00"/>
    <x v="1372"/>
    <x v="2"/>
    <n v="533.54999999999995"/>
    <x v="0"/>
    <x v="54"/>
    <x v="4"/>
    <n v="1500"/>
    <x v="1"/>
    <n v="-533.54999999999995"/>
  </r>
  <r>
    <d v="2024-08-01T00:00:00"/>
    <x v="1373"/>
    <x v="0"/>
    <n v="1451.74"/>
    <x v="0"/>
    <x v="55"/>
    <x v="4"/>
    <n v="500"/>
    <x v="0"/>
    <n v="-1451.74"/>
  </r>
  <r>
    <d v="2024-08-02T00:00:00"/>
    <x v="1374"/>
    <x v="4"/>
    <n v="1231.79"/>
    <x v="0"/>
    <x v="55"/>
    <x v="4"/>
    <n v="300"/>
    <x v="0"/>
    <n v="-1231.79"/>
  </r>
  <r>
    <d v="2024-08-02T00:00:00"/>
    <x v="1375"/>
    <x v="0"/>
    <n v="1891.97"/>
    <x v="0"/>
    <x v="55"/>
    <x v="4"/>
    <n v="500"/>
    <x v="0"/>
    <n v="-1891.97"/>
  </r>
  <r>
    <d v="2024-08-03T00:00:00"/>
    <x v="1376"/>
    <x v="8"/>
    <n v="883.55"/>
    <x v="1"/>
    <x v="55"/>
    <x v="4"/>
    <n v="0"/>
    <x v="2"/>
    <n v="883.55"/>
  </r>
  <r>
    <d v="2024-08-03T00:00:00"/>
    <x v="1377"/>
    <x v="9"/>
    <n v="397.55"/>
    <x v="0"/>
    <x v="55"/>
    <x v="4"/>
    <n v="200"/>
    <x v="0"/>
    <n v="-397.55"/>
  </r>
  <r>
    <d v="2024-08-08T00:00:00"/>
    <x v="1378"/>
    <x v="6"/>
    <n v="1234.23"/>
    <x v="0"/>
    <x v="55"/>
    <x v="4"/>
    <n v="200"/>
    <x v="0"/>
    <n v="-1234.23"/>
  </r>
  <r>
    <d v="2024-08-09T00:00:00"/>
    <x v="1379"/>
    <x v="7"/>
    <n v="486.12"/>
    <x v="0"/>
    <x v="55"/>
    <x v="4"/>
    <n v="150"/>
    <x v="0"/>
    <n v="-486.12"/>
  </r>
  <r>
    <d v="2024-08-11T00:00:00"/>
    <x v="1380"/>
    <x v="3"/>
    <n v="1211"/>
    <x v="1"/>
    <x v="55"/>
    <x v="4"/>
    <n v="0"/>
    <x v="2"/>
    <n v="1211"/>
  </r>
  <r>
    <d v="2024-08-14T00:00:00"/>
    <x v="1381"/>
    <x v="4"/>
    <n v="712.72"/>
    <x v="0"/>
    <x v="55"/>
    <x v="4"/>
    <n v="300"/>
    <x v="0"/>
    <n v="-712.72"/>
  </r>
  <r>
    <d v="2024-08-14T00:00:00"/>
    <x v="1382"/>
    <x v="6"/>
    <n v="1040.31"/>
    <x v="0"/>
    <x v="55"/>
    <x v="4"/>
    <n v="200"/>
    <x v="0"/>
    <n v="-1040.31"/>
  </r>
  <r>
    <d v="2024-08-14T00:00:00"/>
    <x v="1383"/>
    <x v="2"/>
    <n v="1839.16"/>
    <x v="0"/>
    <x v="55"/>
    <x v="4"/>
    <n v="1500"/>
    <x v="0"/>
    <n v="-1839.16"/>
  </r>
  <r>
    <d v="2024-08-15T00:00:00"/>
    <x v="1384"/>
    <x v="7"/>
    <n v="701.48"/>
    <x v="0"/>
    <x v="55"/>
    <x v="4"/>
    <n v="150"/>
    <x v="0"/>
    <n v="-701.48"/>
  </r>
  <r>
    <d v="2024-08-22T00:00:00"/>
    <x v="1385"/>
    <x v="6"/>
    <n v="1216.6600000000001"/>
    <x v="0"/>
    <x v="55"/>
    <x v="4"/>
    <n v="200"/>
    <x v="0"/>
    <n v="-1216.6600000000001"/>
  </r>
  <r>
    <d v="2024-08-23T00:00:00"/>
    <x v="1386"/>
    <x v="5"/>
    <n v="538"/>
    <x v="1"/>
    <x v="55"/>
    <x v="4"/>
    <n v="0"/>
    <x v="2"/>
    <n v="538"/>
  </r>
  <r>
    <d v="2024-08-25T00:00:00"/>
    <x v="1387"/>
    <x v="4"/>
    <n v="1017.41"/>
    <x v="0"/>
    <x v="55"/>
    <x v="4"/>
    <n v="300"/>
    <x v="0"/>
    <n v="-1017.41"/>
  </r>
  <r>
    <d v="2024-08-25T00:00:00"/>
    <x v="1388"/>
    <x v="9"/>
    <n v="686.53"/>
    <x v="0"/>
    <x v="55"/>
    <x v="4"/>
    <n v="200"/>
    <x v="0"/>
    <n v="-686.53"/>
  </r>
  <r>
    <d v="2024-08-25T00:00:00"/>
    <x v="1389"/>
    <x v="5"/>
    <n v="4906"/>
    <x v="1"/>
    <x v="55"/>
    <x v="4"/>
    <n v="0"/>
    <x v="2"/>
    <n v="4906"/>
  </r>
  <r>
    <d v="2024-08-27T00:00:00"/>
    <x v="1390"/>
    <x v="9"/>
    <n v="1391.44"/>
    <x v="0"/>
    <x v="55"/>
    <x v="4"/>
    <n v="200"/>
    <x v="0"/>
    <n v="-1391.44"/>
  </r>
  <r>
    <d v="2024-08-27T00:00:00"/>
    <x v="1391"/>
    <x v="8"/>
    <n v="1542.23"/>
    <x v="1"/>
    <x v="55"/>
    <x v="4"/>
    <n v="0"/>
    <x v="2"/>
    <n v="1542.23"/>
  </r>
  <r>
    <d v="2024-08-28T00:00:00"/>
    <x v="1392"/>
    <x v="8"/>
    <n v="1366.37"/>
    <x v="1"/>
    <x v="55"/>
    <x v="4"/>
    <n v="0"/>
    <x v="2"/>
    <n v="1366.37"/>
  </r>
  <r>
    <d v="2024-08-28T00:00:00"/>
    <x v="1393"/>
    <x v="0"/>
    <n v="969.12"/>
    <x v="0"/>
    <x v="55"/>
    <x v="4"/>
    <n v="500"/>
    <x v="0"/>
    <n v="-969.12"/>
  </r>
  <r>
    <d v="2024-08-28T00:00:00"/>
    <x v="1394"/>
    <x v="4"/>
    <n v="1270.99"/>
    <x v="0"/>
    <x v="55"/>
    <x v="4"/>
    <n v="300"/>
    <x v="0"/>
    <n v="-1270.99"/>
  </r>
  <r>
    <d v="2024-08-30T00:00:00"/>
    <x v="1395"/>
    <x v="6"/>
    <n v="1602.32"/>
    <x v="0"/>
    <x v="55"/>
    <x v="4"/>
    <n v="200"/>
    <x v="0"/>
    <n v="-1602.32"/>
  </r>
  <r>
    <d v="2024-09-01T00:00:00"/>
    <x v="1396"/>
    <x v="7"/>
    <n v="1037.8399999999999"/>
    <x v="0"/>
    <x v="56"/>
    <x v="4"/>
    <n v="150"/>
    <x v="0"/>
    <n v="-1037.8399999999999"/>
  </r>
  <r>
    <d v="2024-09-02T00:00:00"/>
    <x v="1397"/>
    <x v="5"/>
    <n v="2533"/>
    <x v="1"/>
    <x v="56"/>
    <x v="4"/>
    <n v="0"/>
    <x v="2"/>
    <n v="2533"/>
  </r>
  <r>
    <d v="2024-09-05T00:00:00"/>
    <x v="1398"/>
    <x v="4"/>
    <n v="1350.66"/>
    <x v="0"/>
    <x v="56"/>
    <x v="4"/>
    <n v="300"/>
    <x v="0"/>
    <n v="-1350.66"/>
  </r>
  <r>
    <d v="2024-09-05T00:00:00"/>
    <x v="1399"/>
    <x v="2"/>
    <n v="1113.56"/>
    <x v="0"/>
    <x v="56"/>
    <x v="4"/>
    <n v="1500"/>
    <x v="1"/>
    <n v="-1113.56"/>
  </r>
  <r>
    <d v="2024-09-05T00:00:00"/>
    <x v="1400"/>
    <x v="5"/>
    <n v="3396"/>
    <x v="1"/>
    <x v="56"/>
    <x v="4"/>
    <n v="0"/>
    <x v="2"/>
    <n v="3396"/>
  </r>
  <r>
    <d v="2024-09-05T00:00:00"/>
    <x v="1401"/>
    <x v="9"/>
    <n v="373.74"/>
    <x v="0"/>
    <x v="56"/>
    <x v="4"/>
    <n v="200"/>
    <x v="0"/>
    <n v="-373.74"/>
  </r>
  <r>
    <d v="2024-09-06T00:00:00"/>
    <x v="1402"/>
    <x v="6"/>
    <n v="1003.01"/>
    <x v="0"/>
    <x v="56"/>
    <x v="4"/>
    <n v="200"/>
    <x v="0"/>
    <n v="-1003.01"/>
  </r>
  <r>
    <d v="2024-09-07T00:00:00"/>
    <x v="1403"/>
    <x v="3"/>
    <n v="2674"/>
    <x v="1"/>
    <x v="56"/>
    <x v="4"/>
    <n v="0"/>
    <x v="2"/>
    <n v="2674"/>
  </r>
  <r>
    <d v="2024-09-08T00:00:00"/>
    <x v="1404"/>
    <x v="6"/>
    <n v="1671.53"/>
    <x v="0"/>
    <x v="56"/>
    <x v="4"/>
    <n v="200"/>
    <x v="0"/>
    <n v="-1671.53"/>
  </r>
  <r>
    <d v="2024-09-10T00:00:00"/>
    <x v="1405"/>
    <x v="7"/>
    <n v="320.43"/>
    <x v="0"/>
    <x v="56"/>
    <x v="4"/>
    <n v="150"/>
    <x v="0"/>
    <n v="-320.43"/>
  </r>
  <r>
    <d v="2024-09-13T00:00:00"/>
    <x v="1406"/>
    <x v="3"/>
    <n v="4535"/>
    <x v="1"/>
    <x v="56"/>
    <x v="4"/>
    <n v="0"/>
    <x v="2"/>
    <n v="4535"/>
  </r>
  <r>
    <d v="2024-09-15T00:00:00"/>
    <x v="1407"/>
    <x v="0"/>
    <n v="1697.54"/>
    <x v="0"/>
    <x v="56"/>
    <x v="4"/>
    <n v="500"/>
    <x v="0"/>
    <n v="-1697.54"/>
  </r>
  <r>
    <d v="2024-09-16T00:00:00"/>
    <x v="1408"/>
    <x v="7"/>
    <n v="989.76"/>
    <x v="0"/>
    <x v="56"/>
    <x v="4"/>
    <n v="150"/>
    <x v="0"/>
    <n v="-989.76"/>
  </r>
  <r>
    <d v="2024-09-17T00:00:00"/>
    <x v="1409"/>
    <x v="9"/>
    <n v="986.7"/>
    <x v="0"/>
    <x v="56"/>
    <x v="4"/>
    <n v="200"/>
    <x v="0"/>
    <n v="-986.7"/>
  </r>
  <r>
    <d v="2024-09-17T00:00:00"/>
    <x v="1410"/>
    <x v="9"/>
    <n v="801.78"/>
    <x v="0"/>
    <x v="56"/>
    <x v="4"/>
    <n v="200"/>
    <x v="0"/>
    <n v="-801.78"/>
  </r>
  <r>
    <d v="2024-09-17T00:00:00"/>
    <x v="1411"/>
    <x v="1"/>
    <n v="117.75"/>
    <x v="0"/>
    <x v="56"/>
    <x v="4"/>
    <n v="150"/>
    <x v="1"/>
    <n v="-117.75"/>
  </r>
  <r>
    <d v="2024-09-18T00:00:00"/>
    <x v="1412"/>
    <x v="8"/>
    <n v="1879.91"/>
    <x v="1"/>
    <x v="56"/>
    <x v="4"/>
    <n v="0"/>
    <x v="2"/>
    <n v="1879.91"/>
  </r>
  <r>
    <d v="2024-09-21T00:00:00"/>
    <x v="1413"/>
    <x v="5"/>
    <n v="3725"/>
    <x v="1"/>
    <x v="56"/>
    <x v="4"/>
    <n v="0"/>
    <x v="2"/>
    <n v="3725"/>
  </r>
  <r>
    <d v="2024-09-22T00:00:00"/>
    <x v="1414"/>
    <x v="1"/>
    <n v="919.82"/>
    <x v="0"/>
    <x v="56"/>
    <x v="4"/>
    <n v="150"/>
    <x v="0"/>
    <n v="-919.82"/>
  </r>
  <r>
    <d v="2024-09-23T00:00:00"/>
    <x v="1415"/>
    <x v="5"/>
    <n v="3085"/>
    <x v="1"/>
    <x v="56"/>
    <x v="4"/>
    <n v="0"/>
    <x v="2"/>
    <n v="3085"/>
  </r>
  <r>
    <d v="2024-09-24T00:00:00"/>
    <x v="1416"/>
    <x v="0"/>
    <n v="1351.47"/>
    <x v="0"/>
    <x v="56"/>
    <x v="4"/>
    <n v="500"/>
    <x v="0"/>
    <n v="-1351.47"/>
  </r>
  <r>
    <d v="2024-09-25T00:00:00"/>
    <x v="1417"/>
    <x v="2"/>
    <n v="657.62"/>
    <x v="0"/>
    <x v="56"/>
    <x v="4"/>
    <n v="1500"/>
    <x v="1"/>
    <n v="-657.62"/>
  </r>
  <r>
    <d v="2024-09-26T00:00:00"/>
    <x v="1418"/>
    <x v="9"/>
    <n v="382.43"/>
    <x v="0"/>
    <x v="56"/>
    <x v="4"/>
    <n v="200"/>
    <x v="0"/>
    <n v="-382.43"/>
  </r>
  <r>
    <d v="2024-09-26T00:00:00"/>
    <x v="1419"/>
    <x v="9"/>
    <n v="947.98"/>
    <x v="0"/>
    <x v="56"/>
    <x v="4"/>
    <n v="200"/>
    <x v="0"/>
    <n v="-947.98"/>
  </r>
  <r>
    <d v="2024-09-27T00:00:00"/>
    <x v="1420"/>
    <x v="7"/>
    <n v="375.99"/>
    <x v="0"/>
    <x v="56"/>
    <x v="4"/>
    <n v="150"/>
    <x v="0"/>
    <n v="-375.99"/>
  </r>
  <r>
    <d v="2024-09-27T00:00:00"/>
    <x v="1421"/>
    <x v="4"/>
    <n v="1404.42"/>
    <x v="0"/>
    <x v="56"/>
    <x v="4"/>
    <n v="300"/>
    <x v="0"/>
    <n v="-1404.42"/>
  </r>
  <r>
    <d v="2024-10-01T00:00:00"/>
    <x v="1422"/>
    <x v="4"/>
    <n v="566.46"/>
    <x v="0"/>
    <x v="57"/>
    <x v="4"/>
    <n v="300"/>
    <x v="0"/>
    <n v="-566.46"/>
  </r>
  <r>
    <d v="2024-10-01T00:00:00"/>
    <x v="1423"/>
    <x v="3"/>
    <n v="2372"/>
    <x v="1"/>
    <x v="57"/>
    <x v="4"/>
    <n v="0"/>
    <x v="2"/>
    <n v="2372"/>
  </r>
  <r>
    <d v="2024-10-02T00:00:00"/>
    <x v="1424"/>
    <x v="9"/>
    <n v="1610.13"/>
    <x v="0"/>
    <x v="57"/>
    <x v="4"/>
    <n v="200"/>
    <x v="0"/>
    <n v="-1610.13"/>
  </r>
  <r>
    <d v="2024-10-02T00:00:00"/>
    <x v="1425"/>
    <x v="4"/>
    <n v="400.17"/>
    <x v="0"/>
    <x v="57"/>
    <x v="4"/>
    <n v="300"/>
    <x v="0"/>
    <n v="-400.17"/>
  </r>
  <r>
    <d v="2024-10-03T00:00:00"/>
    <x v="1426"/>
    <x v="1"/>
    <n v="951.24"/>
    <x v="0"/>
    <x v="57"/>
    <x v="4"/>
    <n v="150"/>
    <x v="0"/>
    <n v="-951.24"/>
  </r>
  <r>
    <d v="2024-10-04T00:00:00"/>
    <x v="1427"/>
    <x v="5"/>
    <n v="4592"/>
    <x v="1"/>
    <x v="57"/>
    <x v="4"/>
    <n v="0"/>
    <x v="2"/>
    <n v="4592"/>
  </r>
  <r>
    <d v="2024-10-04T00:00:00"/>
    <x v="1428"/>
    <x v="5"/>
    <n v="4486"/>
    <x v="1"/>
    <x v="57"/>
    <x v="4"/>
    <n v="0"/>
    <x v="2"/>
    <n v="4486"/>
  </r>
  <r>
    <d v="2024-10-07T00:00:00"/>
    <x v="1429"/>
    <x v="0"/>
    <n v="802.82"/>
    <x v="0"/>
    <x v="57"/>
    <x v="4"/>
    <n v="500"/>
    <x v="0"/>
    <n v="-802.82"/>
  </r>
  <r>
    <d v="2024-10-08T00:00:00"/>
    <x v="1430"/>
    <x v="0"/>
    <n v="438.78"/>
    <x v="0"/>
    <x v="57"/>
    <x v="4"/>
    <n v="500"/>
    <x v="1"/>
    <n v="-438.78"/>
  </r>
  <r>
    <d v="2024-10-09T00:00:00"/>
    <x v="1431"/>
    <x v="2"/>
    <n v="905.21"/>
    <x v="0"/>
    <x v="57"/>
    <x v="4"/>
    <n v="1500"/>
    <x v="1"/>
    <n v="-905.21"/>
  </r>
  <r>
    <d v="2024-10-10T00:00:00"/>
    <x v="1432"/>
    <x v="7"/>
    <n v="727.01"/>
    <x v="0"/>
    <x v="57"/>
    <x v="4"/>
    <n v="150"/>
    <x v="0"/>
    <n v="-727.01"/>
  </r>
  <r>
    <d v="2024-10-10T00:00:00"/>
    <x v="1433"/>
    <x v="9"/>
    <n v="694.84"/>
    <x v="0"/>
    <x v="57"/>
    <x v="4"/>
    <n v="200"/>
    <x v="0"/>
    <n v="-694.84"/>
  </r>
  <r>
    <d v="2024-10-11T00:00:00"/>
    <x v="1434"/>
    <x v="7"/>
    <n v="1736.06"/>
    <x v="0"/>
    <x v="57"/>
    <x v="4"/>
    <n v="150"/>
    <x v="0"/>
    <n v="-1736.06"/>
  </r>
  <r>
    <d v="2024-10-12T00:00:00"/>
    <x v="1435"/>
    <x v="6"/>
    <n v="1157.94"/>
    <x v="0"/>
    <x v="57"/>
    <x v="4"/>
    <n v="200"/>
    <x v="0"/>
    <n v="-1157.94"/>
  </r>
  <r>
    <d v="2024-10-15T00:00:00"/>
    <x v="1436"/>
    <x v="1"/>
    <n v="1958.95"/>
    <x v="0"/>
    <x v="57"/>
    <x v="4"/>
    <n v="150"/>
    <x v="0"/>
    <n v="-1958.95"/>
  </r>
  <r>
    <d v="2024-10-17T00:00:00"/>
    <x v="1437"/>
    <x v="7"/>
    <n v="1349.65"/>
    <x v="0"/>
    <x v="57"/>
    <x v="4"/>
    <n v="150"/>
    <x v="0"/>
    <n v="-1349.65"/>
  </r>
  <r>
    <d v="2024-10-17T00:00:00"/>
    <x v="1438"/>
    <x v="8"/>
    <n v="1780.37"/>
    <x v="1"/>
    <x v="57"/>
    <x v="4"/>
    <n v="0"/>
    <x v="2"/>
    <n v="1780.37"/>
  </r>
  <r>
    <d v="2024-10-18T00:00:00"/>
    <x v="1439"/>
    <x v="9"/>
    <n v="932.87"/>
    <x v="0"/>
    <x v="57"/>
    <x v="4"/>
    <n v="200"/>
    <x v="0"/>
    <n v="-932.87"/>
  </r>
  <r>
    <d v="2024-10-19T00:00:00"/>
    <x v="1440"/>
    <x v="1"/>
    <n v="1284.76"/>
    <x v="0"/>
    <x v="57"/>
    <x v="4"/>
    <n v="150"/>
    <x v="0"/>
    <n v="-1284.76"/>
  </r>
  <r>
    <d v="2024-10-19T00:00:00"/>
    <x v="1441"/>
    <x v="4"/>
    <n v="1266.23"/>
    <x v="0"/>
    <x v="57"/>
    <x v="4"/>
    <n v="300"/>
    <x v="0"/>
    <n v="-1266.23"/>
  </r>
  <r>
    <d v="2024-10-21T00:00:00"/>
    <x v="1442"/>
    <x v="2"/>
    <n v="167.43"/>
    <x v="0"/>
    <x v="57"/>
    <x v="4"/>
    <n v="1500"/>
    <x v="1"/>
    <n v="-167.43"/>
  </r>
  <r>
    <d v="2024-10-21T00:00:00"/>
    <x v="1443"/>
    <x v="7"/>
    <n v="640.59"/>
    <x v="0"/>
    <x v="57"/>
    <x v="4"/>
    <n v="150"/>
    <x v="0"/>
    <n v="-640.59"/>
  </r>
  <r>
    <d v="2024-10-21T00:00:00"/>
    <x v="1444"/>
    <x v="9"/>
    <n v="1214.72"/>
    <x v="0"/>
    <x v="57"/>
    <x v="4"/>
    <n v="200"/>
    <x v="0"/>
    <n v="-1214.72"/>
  </r>
  <r>
    <d v="2024-10-23T00:00:00"/>
    <x v="1445"/>
    <x v="8"/>
    <n v="1564.14"/>
    <x v="1"/>
    <x v="57"/>
    <x v="4"/>
    <n v="0"/>
    <x v="2"/>
    <n v="1564.14"/>
  </r>
  <r>
    <d v="2024-10-24T00:00:00"/>
    <x v="1446"/>
    <x v="8"/>
    <n v="833.84"/>
    <x v="1"/>
    <x v="57"/>
    <x v="4"/>
    <n v="0"/>
    <x v="2"/>
    <n v="833.84"/>
  </r>
  <r>
    <d v="2024-10-28T00:00:00"/>
    <x v="1447"/>
    <x v="3"/>
    <n v="1524"/>
    <x v="1"/>
    <x v="57"/>
    <x v="4"/>
    <n v="0"/>
    <x v="2"/>
    <n v="1524"/>
  </r>
  <r>
    <d v="2024-11-01T00:00:00"/>
    <x v="1448"/>
    <x v="9"/>
    <n v="1881.47"/>
    <x v="0"/>
    <x v="58"/>
    <x v="4"/>
    <n v="200"/>
    <x v="0"/>
    <n v="-1881.47"/>
  </r>
  <r>
    <d v="2024-11-02T00:00:00"/>
    <x v="1449"/>
    <x v="2"/>
    <n v="429.04"/>
    <x v="0"/>
    <x v="58"/>
    <x v="4"/>
    <n v="1500"/>
    <x v="1"/>
    <n v="-429.04"/>
  </r>
  <r>
    <d v="2024-11-03T00:00:00"/>
    <x v="1450"/>
    <x v="2"/>
    <n v="136.94999999999999"/>
    <x v="0"/>
    <x v="58"/>
    <x v="4"/>
    <n v="1500"/>
    <x v="1"/>
    <n v="-136.94999999999999"/>
  </r>
  <r>
    <d v="2024-11-03T00:00:00"/>
    <x v="1451"/>
    <x v="0"/>
    <n v="62.47"/>
    <x v="0"/>
    <x v="58"/>
    <x v="4"/>
    <n v="500"/>
    <x v="1"/>
    <n v="-62.47"/>
  </r>
  <r>
    <d v="2024-11-11T00:00:00"/>
    <x v="1452"/>
    <x v="2"/>
    <n v="216.82"/>
    <x v="0"/>
    <x v="58"/>
    <x v="4"/>
    <n v="1500"/>
    <x v="1"/>
    <n v="-216.82"/>
  </r>
  <r>
    <d v="2024-11-11T00:00:00"/>
    <x v="1453"/>
    <x v="2"/>
    <n v="1313.12"/>
    <x v="0"/>
    <x v="58"/>
    <x v="4"/>
    <n v="1500"/>
    <x v="1"/>
    <n v="-1313.12"/>
  </r>
  <r>
    <d v="2024-11-12T00:00:00"/>
    <x v="1454"/>
    <x v="9"/>
    <n v="466.42"/>
    <x v="0"/>
    <x v="58"/>
    <x v="4"/>
    <n v="200"/>
    <x v="0"/>
    <n v="-466.42"/>
  </r>
  <r>
    <d v="2024-11-13T00:00:00"/>
    <x v="1455"/>
    <x v="8"/>
    <n v="1256.7"/>
    <x v="1"/>
    <x v="58"/>
    <x v="4"/>
    <n v="0"/>
    <x v="2"/>
    <n v="1256.7"/>
  </r>
  <r>
    <d v="2024-11-13T00:00:00"/>
    <x v="1456"/>
    <x v="3"/>
    <n v="734"/>
    <x v="1"/>
    <x v="58"/>
    <x v="4"/>
    <n v="0"/>
    <x v="2"/>
    <n v="734"/>
  </r>
  <r>
    <d v="2024-11-13T00:00:00"/>
    <x v="1457"/>
    <x v="5"/>
    <n v="3164"/>
    <x v="1"/>
    <x v="58"/>
    <x v="4"/>
    <n v="0"/>
    <x v="2"/>
    <n v="3164"/>
  </r>
  <r>
    <d v="2024-11-13T00:00:00"/>
    <x v="1458"/>
    <x v="8"/>
    <n v="1950.21"/>
    <x v="1"/>
    <x v="58"/>
    <x v="4"/>
    <n v="0"/>
    <x v="2"/>
    <n v="1950.21"/>
  </r>
  <r>
    <d v="2024-11-14T00:00:00"/>
    <x v="1459"/>
    <x v="9"/>
    <n v="1101.6099999999999"/>
    <x v="0"/>
    <x v="58"/>
    <x v="4"/>
    <n v="200"/>
    <x v="0"/>
    <n v="-1101.6099999999999"/>
  </r>
  <r>
    <d v="2024-11-14T00:00:00"/>
    <x v="1460"/>
    <x v="3"/>
    <n v="4240"/>
    <x v="1"/>
    <x v="58"/>
    <x v="4"/>
    <n v="0"/>
    <x v="2"/>
    <n v="4240"/>
  </r>
  <r>
    <d v="2024-11-16T00:00:00"/>
    <x v="1461"/>
    <x v="4"/>
    <n v="1051.69"/>
    <x v="0"/>
    <x v="58"/>
    <x v="4"/>
    <n v="300"/>
    <x v="0"/>
    <n v="-1051.69"/>
  </r>
  <r>
    <d v="2024-11-17T00:00:00"/>
    <x v="1462"/>
    <x v="9"/>
    <n v="1818.76"/>
    <x v="0"/>
    <x v="58"/>
    <x v="4"/>
    <n v="200"/>
    <x v="0"/>
    <n v="-1818.76"/>
  </r>
  <r>
    <d v="2024-11-17T00:00:00"/>
    <x v="1463"/>
    <x v="6"/>
    <n v="1611.37"/>
    <x v="0"/>
    <x v="58"/>
    <x v="4"/>
    <n v="200"/>
    <x v="0"/>
    <n v="-1611.37"/>
  </r>
  <r>
    <d v="2024-11-17T00:00:00"/>
    <x v="1464"/>
    <x v="7"/>
    <n v="830.29"/>
    <x v="0"/>
    <x v="58"/>
    <x v="4"/>
    <n v="150"/>
    <x v="0"/>
    <n v="-830.29"/>
  </r>
  <r>
    <d v="2024-11-17T00:00:00"/>
    <x v="1465"/>
    <x v="3"/>
    <n v="500"/>
    <x v="1"/>
    <x v="58"/>
    <x v="4"/>
    <n v="0"/>
    <x v="2"/>
    <n v="500"/>
  </r>
  <r>
    <d v="2024-11-18T00:00:00"/>
    <x v="1466"/>
    <x v="1"/>
    <n v="694.33"/>
    <x v="0"/>
    <x v="58"/>
    <x v="4"/>
    <n v="150"/>
    <x v="0"/>
    <n v="-694.33"/>
  </r>
  <r>
    <d v="2024-11-18T00:00:00"/>
    <x v="1467"/>
    <x v="0"/>
    <n v="1378.66"/>
    <x v="0"/>
    <x v="58"/>
    <x v="4"/>
    <n v="500"/>
    <x v="0"/>
    <n v="-1378.66"/>
  </r>
  <r>
    <d v="2024-11-19T00:00:00"/>
    <x v="1468"/>
    <x v="8"/>
    <n v="606.22"/>
    <x v="1"/>
    <x v="58"/>
    <x v="4"/>
    <n v="0"/>
    <x v="2"/>
    <n v="606.22"/>
  </r>
  <r>
    <d v="2024-11-20T00:00:00"/>
    <x v="1469"/>
    <x v="9"/>
    <n v="1198.04"/>
    <x v="0"/>
    <x v="58"/>
    <x v="4"/>
    <n v="200"/>
    <x v="0"/>
    <n v="-1198.04"/>
  </r>
  <r>
    <d v="2024-11-20T00:00:00"/>
    <x v="1470"/>
    <x v="7"/>
    <n v="385.26"/>
    <x v="0"/>
    <x v="58"/>
    <x v="4"/>
    <n v="150"/>
    <x v="0"/>
    <n v="-385.26"/>
  </r>
  <r>
    <d v="2024-11-22T00:00:00"/>
    <x v="1471"/>
    <x v="4"/>
    <n v="795.56"/>
    <x v="0"/>
    <x v="58"/>
    <x v="4"/>
    <n v="300"/>
    <x v="0"/>
    <n v="-795.56"/>
  </r>
  <r>
    <d v="2024-11-23T00:00:00"/>
    <x v="1472"/>
    <x v="5"/>
    <n v="3599"/>
    <x v="1"/>
    <x v="58"/>
    <x v="4"/>
    <n v="0"/>
    <x v="2"/>
    <n v="3599"/>
  </r>
  <r>
    <d v="2024-11-24T00:00:00"/>
    <x v="1473"/>
    <x v="2"/>
    <n v="850.26"/>
    <x v="0"/>
    <x v="58"/>
    <x v="4"/>
    <n v="1500"/>
    <x v="1"/>
    <n v="-850.26"/>
  </r>
  <r>
    <d v="2024-11-24T00:00:00"/>
    <x v="1474"/>
    <x v="9"/>
    <n v="576.51"/>
    <x v="0"/>
    <x v="58"/>
    <x v="4"/>
    <n v="200"/>
    <x v="0"/>
    <n v="-576.51"/>
  </r>
  <r>
    <d v="2024-11-24T00:00:00"/>
    <x v="1475"/>
    <x v="9"/>
    <n v="831.68"/>
    <x v="0"/>
    <x v="58"/>
    <x v="4"/>
    <n v="200"/>
    <x v="0"/>
    <n v="-831.68"/>
  </r>
  <r>
    <d v="2024-11-25T00:00:00"/>
    <x v="1476"/>
    <x v="1"/>
    <n v="281.88"/>
    <x v="0"/>
    <x v="58"/>
    <x v="4"/>
    <n v="150"/>
    <x v="0"/>
    <n v="-281.88"/>
  </r>
  <r>
    <d v="2024-11-25T00:00:00"/>
    <x v="1477"/>
    <x v="5"/>
    <n v="4209"/>
    <x v="1"/>
    <x v="58"/>
    <x v="4"/>
    <n v="0"/>
    <x v="2"/>
    <n v="4209"/>
  </r>
  <r>
    <d v="2024-11-25T00:00:00"/>
    <x v="1478"/>
    <x v="8"/>
    <n v="383.7"/>
    <x v="1"/>
    <x v="58"/>
    <x v="4"/>
    <n v="0"/>
    <x v="2"/>
    <n v="383.7"/>
  </r>
  <r>
    <d v="2024-11-26T00:00:00"/>
    <x v="1479"/>
    <x v="3"/>
    <n v="4882"/>
    <x v="1"/>
    <x v="58"/>
    <x v="4"/>
    <n v="0"/>
    <x v="2"/>
    <n v="4882"/>
  </r>
  <r>
    <d v="2024-11-29T00:00:00"/>
    <x v="1480"/>
    <x v="3"/>
    <n v="2811"/>
    <x v="1"/>
    <x v="58"/>
    <x v="4"/>
    <n v="0"/>
    <x v="2"/>
    <n v="2811"/>
  </r>
  <r>
    <d v="2024-11-30T00:00:00"/>
    <x v="1481"/>
    <x v="8"/>
    <n v="1456.94"/>
    <x v="1"/>
    <x v="58"/>
    <x v="4"/>
    <n v="0"/>
    <x v="2"/>
    <n v="1456.94"/>
  </r>
  <r>
    <d v="2024-12-02T00:00:00"/>
    <x v="1482"/>
    <x v="1"/>
    <n v="39.299999999999997"/>
    <x v="0"/>
    <x v="59"/>
    <x v="4"/>
    <n v="150"/>
    <x v="1"/>
    <n v="-39.299999999999997"/>
  </r>
  <r>
    <d v="2024-12-05T00:00:00"/>
    <x v="1483"/>
    <x v="4"/>
    <n v="630.04"/>
    <x v="0"/>
    <x v="59"/>
    <x v="4"/>
    <n v="300"/>
    <x v="0"/>
    <n v="-630.04"/>
  </r>
  <r>
    <d v="2024-12-06T00:00:00"/>
    <x v="1484"/>
    <x v="7"/>
    <n v="932.73"/>
    <x v="0"/>
    <x v="59"/>
    <x v="4"/>
    <n v="150"/>
    <x v="0"/>
    <n v="-932.73"/>
  </r>
  <r>
    <d v="2024-12-09T00:00:00"/>
    <x v="1485"/>
    <x v="7"/>
    <n v="169.64"/>
    <x v="0"/>
    <x v="59"/>
    <x v="4"/>
    <n v="150"/>
    <x v="0"/>
    <n v="-169.64"/>
  </r>
  <r>
    <d v="2024-12-11T00:00:00"/>
    <x v="1486"/>
    <x v="1"/>
    <n v="121.52"/>
    <x v="0"/>
    <x v="59"/>
    <x v="4"/>
    <n v="150"/>
    <x v="1"/>
    <n v="-121.52"/>
  </r>
  <r>
    <d v="2024-12-12T00:00:00"/>
    <x v="1487"/>
    <x v="2"/>
    <n v="1090.95"/>
    <x v="0"/>
    <x v="59"/>
    <x v="4"/>
    <n v="1500"/>
    <x v="1"/>
    <n v="-1090.95"/>
  </r>
  <r>
    <d v="2024-12-12T00:00:00"/>
    <x v="1488"/>
    <x v="5"/>
    <n v="3625"/>
    <x v="1"/>
    <x v="59"/>
    <x v="4"/>
    <n v="0"/>
    <x v="2"/>
    <n v="3625"/>
  </r>
  <r>
    <d v="2024-12-15T00:00:00"/>
    <x v="1489"/>
    <x v="2"/>
    <n v="1949.45"/>
    <x v="0"/>
    <x v="59"/>
    <x v="4"/>
    <n v="1500"/>
    <x v="0"/>
    <n v="-1949.45"/>
  </r>
  <r>
    <d v="2024-12-16T00:00:00"/>
    <x v="1490"/>
    <x v="4"/>
    <n v="1544.74"/>
    <x v="0"/>
    <x v="59"/>
    <x v="4"/>
    <n v="300"/>
    <x v="0"/>
    <n v="-1544.74"/>
  </r>
  <r>
    <d v="2024-12-19T00:00:00"/>
    <x v="1491"/>
    <x v="0"/>
    <n v="406.37"/>
    <x v="0"/>
    <x v="59"/>
    <x v="4"/>
    <n v="500"/>
    <x v="1"/>
    <n v="-406.37"/>
  </r>
  <r>
    <d v="2024-12-19T00:00:00"/>
    <x v="1492"/>
    <x v="2"/>
    <n v="1047.07"/>
    <x v="0"/>
    <x v="59"/>
    <x v="4"/>
    <n v="1500"/>
    <x v="1"/>
    <n v="-1047.07"/>
  </r>
  <r>
    <d v="2024-12-21T00:00:00"/>
    <x v="1493"/>
    <x v="8"/>
    <n v="784.35"/>
    <x v="1"/>
    <x v="59"/>
    <x v="4"/>
    <n v="0"/>
    <x v="2"/>
    <n v="784.35"/>
  </r>
  <r>
    <d v="2024-12-23T00:00:00"/>
    <x v="1494"/>
    <x v="7"/>
    <n v="325.64"/>
    <x v="0"/>
    <x v="59"/>
    <x v="4"/>
    <n v="150"/>
    <x v="0"/>
    <n v="-325.64"/>
  </r>
  <r>
    <d v="2024-12-28T00:00:00"/>
    <x v="1495"/>
    <x v="2"/>
    <n v="514.09"/>
    <x v="0"/>
    <x v="59"/>
    <x v="4"/>
    <n v="1500"/>
    <x v="1"/>
    <n v="-514.09"/>
  </r>
  <r>
    <d v="2024-12-28T00:00:00"/>
    <x v="1496"/>
    <x v="6"/>
    <n v="727.25"/>
    <x v="0"/>
    <x v="59"/>
    <x v="4"/>
    <n v="200"/>
    <x v="0"/>
    <n v="-727.25"/>
  </r>
  <r>
    <d v="2024-12-28T00:00:00"/>
    <x v="1497"/>
    <x v="3"/>
    <n v="1425"/>
    <x v="1"/>
    <x v="59"/>
    <x v="4"/>
    <n v="0"/>
    <x v="2"/>
    <n v="1425"/>
  </r>
  <r>
    <d v="2024-12-29T00:00:00"/>
    <x v="1498"/>
    <x v="4"/>
    <n v="655.78"/>
    <x v="0"/>
    <x v="59"/>
    <x v="4"/>
    <n v="300"/>
    <x v="0"/>
    <n v="-655.78"/>
  </r>
  <r>
    <d v="2024-12-29T00:00:00"/>
    <x v="1499"/>
    <x v="5"/>
    <n v="1480"/>
    <x v="1"/>
    <x v="59"/>
    <x v="4"/>
    <n v="0"/>
    <x v="2"/>
    <n v="14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450704-B02E-413C-BC44-AF10D8B4221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4:V7" firstHeaderRow="1" firstDataRow="1" firstDataCol="1" rowPageCount="1" colPageCount="1"/>
  <pivotFields count="10">
    <pivotField numFmtId="14" showAll="0"/>
    <pivotField showAll="0"/>
    <pivotField showAll="0"/>
    <pivotField dataField="1" numFmtId="164" showAll="0"/>
    <pivotField axis="axisPage" multipleItemSelectionAllowed="1" showAll="0">
      <items count="3">
        <item x="0"/>
        <item h="1" x="1"/>
        <item t="default"/>
      </items>
    </pivotField>
    <pivotField showAll="0"/>
    <pivotField showAll="0">
      <items count="6">
        <item h="1" x="0"/>
        <item h="1" x="1"/>
        <item h="1" x="2"/>
        <item h="1" x="3"/>
        <item x="4"/>
        <item t="default"/>
      </items>
    </pivotField>
    <pivotField showAll="0"/>
    <pivotField axis="axisRow" showAll="0">
      <items count="4">
        <item x="2"/>
        <item x="1"/>
        <item x="0"/>
        <item t="default"/>
      </items>
    </pivotField>
    <pivotField showAll="0"/>
  </pivotFields>
  <rowFields count="1">
    <field x="8"/>
  </rowFields>
  <rowItems count="3">
    <i>
      <x v="1"/>
    </i>
    <i>
      <x v="2"/>
    </i>
    <i t="grand">
      <x/>
    </i>
  </rowItems>
  <colItems count="1">
    <i/>
  </colItems>
  <pageFields count="1">
    <pageField fld="4" hier="-1"/>
  </pageFields>
  <dataFields count="1">
    <dataField name="Sum of Amount" fld="3" baseField="0" baseItem="0" numFmtId="164"/>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 chart="9"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347A0-8FF3-4F8F-8A37-33E89A86387F}"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J3:L16" firstHeaderRow="1" firstDataRow="2" firstDataCol="1"/>
  <pivotFields count="10">
    <pivotField numFmtId="14" showAll="0"/>
    <pivotField showAll="0"/>
    <pivotField showAll="0">
      <items count="11">
        <item x="6"/>
        <item x="0"/>
        <item x="7"/>
        <item x="3"/>
        <item x="5"/>
        <item x="2"/>
        <item x="8"/>
        <item x="4"/>
        <item x="9"/>
        <item x="1"/>
        <item t="default"/>
      </items>
    </pivotField>
    <pivotField dataField="1" numFmtId="164" showAll="0"/>
    <pivotField axis="axisCol" showAll="0">
      <items count="3">
        <item x="0"/>
        <item x="1"/>
        <item t="default"/>
      </items>
    </pivotField>
    <pivotField axis="axisRow"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6">
        <item h="1" x="0"/>
        <item h="1" x="1"/>
        <item h="1" x="2"/>
        <item h="1" x="3"/>
        <item x="4"/>
        <item t="default"/>
      </items>
    </pivotField>
    <pivotField showAll="0"/>
    <pivotField showAll="0"/>
    <pivotField showAll="0"/>
  </pivotFields>
  <rowFields count="1">
    <field x="5"/>
  </rowFields>
  <rowItems count="12">
    <i>
      <x v="48"/>
    </i>
    <i>
      <x v="49"/>
    </i>
    <i>
      <x v="50"/>
    </i>
    <i>
      <x v="51"/>
    </i>
    <i>
      <x v="52"/>
    </i>
    <i>
      <x v="53"/>
    </i>
    <i>
      <x v="54"/>
    </i>
    <i>
      <x v="55"/>
    </i>
    <i>
      <x v="56"/>
    </i>
    <i>
      <x v="57"/>
    </i>
    <i>
      <x v="58"/>
    </i>
    <i>
      <x v="59"/>
    </i>
  </rowItems>
  <colFields count="1">
    <field x="4"/>
  </colFields>
  <colItems count="2">
    <i>
      <x/>
    </i>
    <i>
      <x v="1"/>
    </i>
  </colItems>
  <dataFields count="1">
    <dataField name="Sum of Amount" fld="3" baseField="0" baseItem="0" numFmtId="164"/>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206EF2-2F79-4869-9F98-0A1936A8190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1" firstHeaderRow="1" firstDataRow="1" firstDataCol="1" rowPageCount="1" colPageCount="1"/>
  <pivotFields count="10">
    <pivotField numFmtId="14" showAll="0"/>
    <pivotField showAll="0"/>
    <pivotField axis="axisRow" showAll="0">
      <items count="11">
        <item x="6"/>
        <item x="0"/>
        <item x="7"/>
        <item x="3"/>
        <item x="5"/>
        <item x="2"/>
        <item x="8"/>
        <item x="4"/>
        <item x="9"/>
        <item x="1"/>
        <item t="default"/>
      </items>
    </pivotField>
    <pivotField dataField="1" numFmtId="164" showAll="0"/>
    <pivotField axis="axisPage" multipleItemSelectionAllowed="1" showAll="0">
      <items count="3">
        <item x="0"/>
        <item h="1" x="1"/>
        <item t="default"/>
      </items>
    </pivotField>
    <pivotField showAll="0"/>
    <pivotField showAll="0">
      <items count="6">
        <item h="1" x="0"/>
        <item h="1" x="1"/>
        <item h="1" x="2"/>
        <item h="1" x="3"/>
        <item x="4"/>
        <item t="default"/>
      </items>
    </pivotField>
    <pivotField showAll="0"/>
    <pivotField showAll="0"/>
    <pivotField showAll="0"/>
  </pivotFields>
  <rowFields count="1">
    <field x="2"/>
  </rowFields>
  <rowItems count="8">
    <i>
      <x/>
    </i>
    <i>
      <x v="1"/>
    </i>
    <i>
      <x v="2"/>
    </i>
    <i>
      <x v="5"/>
    </i>
    <i>
      <x v="7"/>
    </i>
    <i>
      <x v="8"/>
    </i>
    <i>
      <x v="9"/>
    </i>
    <i t="grand">
      <x/>
    </i>
  </rowItems>
  <colItems count="1">
    <i/>
  </colItems>
  <pageFields count="1">
    <pageField fld="4" hier="-1"/>
  </pageFields>
  <dataFields count="1">
    <dataField name="Sum of Amount" fld="3" showDataAs="percentOfCol" baseField="2" baseItem="0" numFmtId="10"/>
  </dataFields>
  <chartFormats count="16">
    <chartFormat chart="2"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 chart="4" format="13">
      <pivotArea type="data" outline="0" fieldPosition="0">
        <references count="2">
          <reference field="4294967294" count="1" selected="0">
            <x v="0"/>
          </reference>
          <reference field="2" count="1" selected="0">
            <x v="5"/>
          </reference>
        </references>
      </pivotArea>
    </chartFormat>
    <chartFormat chart="4" format="14">
      <pivotArea type="data" outline="0" fieldPosition="0">
        <references count="2">
          <reference field="4294967294" count="1" selected="0">
            <x v="0"/>
          </reference>
          <reference field="2" count="1" selected="0">
            <x v="7"/>
          </reference>
        </references>
      </pivotArea>
    </chartFormat>
    <chartFormat chart="4" format="15">
      <pivotArea type="data" outline="0" fieldPosition="0">
        <references count="2">
          <reference field="4294967294" count="1" selected="0">
            <x v="0"/>
          </reference>
          <reference field="2" count="1" selected="0">
            <x v="8"/>
          </reference>
        </references>
      </pivotArea>
    </chartFormat>
    <chartFormat chart="4" format="16">
      <pivotArea type="data" outline="0" fieldPosition="0">
        <references count="2">
          <reference field="4294967294" count="1" selected="0">
            <x v="0"/>
          </reference>
          <reference field="2" count="1" selected="0">
            <x v="9"/>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5"/>
          </reference>
        </references>
      </pivotArea>
    </chartFormat>
    <chartFormat chart="2" format="5">
      <pivotArea type="data" outline="0" fieldPosition="0">
        <references count="2">
          <reference field="4294967294" count="1" selected="0">
            <x v="0"/>
          </reference>
          <reference field="2" count="1" selected="0">
            <x v="7"/>
          </reference>
        </references>
      </pivotArea>
    </chartFormat>
    <chartFormat chart="2" format="6">
      <pivotArea type="data" outline="0" fieldPosition="0">
        <references count="2">
          <reference field="4294967294" count="1" selected="0">
            <x v="0"/>
          </reference>
          <reference field="2" count="1" selected="0">
            <x v="8"/>
          </reference>
        </references>
      </pivotArea>
    </chartFormat>
    <chartFormat chart="2" format="7">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BBB195-536F-4BDF-A193-374D9FEE022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11" firstHeaderRow="1" firstDataRow="1" firstDataCol="1" rowPageCount="1" colPageCount="1"/>
  <pivotFields count="10">
    <pivotField numFmtId="14" showAll="0"/>
    <pivotField showAll="0"/>
    <pivotField axis="axisRow" showAll="0">
      <items count="11">
        <item x="6"/>
        <item x="0"/>
        <item x="7"/>
        <item x="3"/>
        <item x="5"/>
        <item x="2"/>
        <item x="8"/>
        <item x="4"/>
        <item x="9"/>
        <item x="1"/>
        <item t="default"/>
      </items>
    </pivotField>
    <pivotField dataField="1" numFmtId="164" showAll="0"/>
    <pivotField axis="axisPage" multipleItemSelectionAllowed="1" showAll="0">
      <items count="3">
        <item x="0"/>
        <item h="1" x="1"/>
        <item t="default"/>
      </items>
    </pivotField>
    <pivotField showAll="0"/>
    <pivotField showAll="0">
      <items count="6">
        <item h="1" x="0"/>
        <item h="1" x="1"/>
        <item h="1" x="2"/>
        <item h="1" x="3"/>
        <item x="4"/>
        <item t="default"/>
      </items>
    </pivotField>
    <pivotField showAll="0"/>
    <pivotField showAll="0"/>
    <pivotField showAll="0"/>
  </pivotFields>
  <rowFields count="1">
    <field x="2"/>
  </rowFields>
  <rowItems count="8">
    <i>
      <x/>
    </i>
    <i>
      <x v="1"/>
    </i>
    <i>
      <x v="2"/>
    </i>
    <i>
      <x v="5"/>
    </i>
    <i>
      <x v="7"/>
    </i>
    <i>
      <x v="8"/>
    </i>
    <i>
      <x v="9"/>
    </i>
    <i t="grand">
      <x/>
    </i>
  </rowItems>
  <colItems count="1">
    <i/>
  </colItems>
  <pageFields count="1">
    <pageField fld="4" hier="-1"/>
  </pageFields>
  <dataFields count="1">
    <dataField name="Sum of Amount" fld="3" baseField="0" baseItem="0" numFmtId="164"/>
  </dataFields>
  <chartFormats count="2">
    <chartFormat chart="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0BA160-FE09-4316-91C4-35276576941F}"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5" firstHeaderRow="1" firstDataRow="1" firstDataCol="1"/>
  <pivotFields count="10">
    <pivotField numFmtId="14" showAll="0"/>
    <pivotField showAll="0">
      <items count="1501">
        <item x="1380"/>
        <item x="1381"/>
        <item x="491"/>
        <item x="495"/>
        <item x="1244"/>
        <item x="132"/>
        <item x="197"/>
        <item x="982"/>
        <item x="791"/>
        <item x="1082"/>
        <item x="731"/>
        <item x="93"/>
        <item x="1146"/>
        <item x="719"/>
        <item x="175"/>
        <item x="1456"/>
        <item x="837"/>
        <item x="354"/>
        <item x="116"/>
        <item x="449"/>
        <item x="577"/>
        <item x="431"/>
        <item x="1186"/>
        <item x="670"/>
        <item x="904"/>
        <item x="161"/>
        <item x="410"/>
        <item x="401"/>
        <item x="644"/>
        <item x="914"/>
        <item x="1170"/>
        <item x="1054"/>
        <item x="910"/>
        <item x="621"/>
        <item x="232"/>
        <item x="567"/>
        <item x="66"/>
        <item x="905"/>
        <item x="321"/>
        <item x="63"/>
        <item x="1276"/>
        <item x="619"/>
        <item x="1027"/>
        <item x="1356"/>
        <item x="563"/>
        <item x="1340"/>
        <item x="268"/>
        <item x="1174"/>
        <item x="425"/>
        <item x="95"/>
        <item x="459"/>
        <item x="148"/>
        <item x="1376"/>
        <item x="374"/>
        <item x="869"/>
        <item x="807"/>
        <item x="191"/>
        <item x="1198"/>
        <item x="930"/>
        <item x="1101"/>
        <item x="786"/>
        <item x="164"/>
        <item x="59"/>
        <item x="1065"/>
        <item x="144"/>
        <item x="1338"/>
        <item x="722"/>
        <item x="242"/>
        <item x="874"/>
        <item x="311"/>
        <item x="1323"/>
        <item x="598"/>
        <item x="944"/>
        <item x="536"/>
        <item x="56"/>
        <item x="260"/>
        <item x="280"/>
        <item x="1203"/>
        <item x="524"/>
        <item x="420"/>
        <item x="578"/>
        <item x="223"/>
        <item x="98"/>
        <item x="661"/>
        <item x="36"/>
        <item x="264"/>
        <item x="1084"/>
        <item x="1034"/>
        <item x="267"/>
        <item x="587"/>
        <item x="990"/>
        <item x="424"/>
        <item x="704"/>
        <item x="827"/>
        <item x="417"/>
        <item x="23"/>
        <item x="1172"/>
        <item x="136"/>
        <item x="1371"/>
        <item x="858"/>
        <item x="130"/>
        <item x="1332"/>
        <item x="1412"/>
        <item x="17"/>
        <item x="1064"/>
        <item x="1406"/>
        <item x="725"/>
        <item x="1310"/>
        <item x="90"/>
        <item x="1188"/>
        <item x="1398"/>
        <item x="1000"/>
        <item x="923"/>
        <item x="44"/>
        <item x="1176"/>
        <item x="1107"/>
        <item x="1015"/>
        <item x="230"/>
        <item x="373"/>
        <item x="1053"/>
        <item x="49"/>
        <item x="445"/>
        <item x="58"/>
        <item x="743"/>
        <item x="521"/>
        <item x="890"/>
        <item x="1390"/>
        <item x="46"/>
        <item x="251"/>
        <item x="493"/>
        <item x="513"/>
        <item x="97"/>
        <item x="1378"/>
        <item x="1331"/>
        <item x="1367"/>
        <item x="1062"/>
        <item x="530"/>
        <item x="1257"/>
        <item x="1045"/>
        <item x="502"/>
        <item x="1300"/>
        <item x="179"/>
        <item x="941"/>
        <item x="1384"/>
        <item x="1264"/>
        <item x="942"/>
        <item x="194"/>
        <item x="712"/>
        <item x="887"/>
        <item x="550"/>
        <item x="266"/>
        <item x="1044"/>
        <item x="416"/>
        <item x="1213"/>
        <item x="1259"/>
        <item x="672"/>
        <item x="1480"/>
        <item x="5"/>
        <item x="588"/>
        <item x="1204"/>
        <item x="178"/>
        <item x="1348"/>
        <item x="192"/>
        <item x="1489"/>
        <item x="1413"/>
        <item x="580"/>
        <item x="461"/>
        <item x="429"/>
        <item x="237"/>
        <item x="987"/>
        <item x="1043"/>
        <item x="534"/>
        <item x="1087"/>
        <item x="1468"/>
        <item x="105"/>
        <item x="69"/>
        <item x="1467"/>
        <item x="935"/>
        <item x="1245"/>
        <item x="273"/>
        <item x="19"/>
        <item x="1228"/>
        <item x="899"/>
        <item x="967"/>
        <item x="1071"/>
        <item x="682"/>
        <item x="1206"/>
        <item x="135"/>
        <item x="714"/>
        <item x="1002"/>
        <item x="1271"/>
        <item x="452"/>
        <item x="1135"/>
        <item x="187"/>
        <item x="774"/>
        <item x="963"/>
        <item x="1066"/>
        <item x="517"/>
        <item x="856"/>
        <item x="1365"/>
        <item x="27"/>
        <item x="1073"/>
        <item x="490"/>
        <item x="309"/>
        <item x="6"/>
        <item x="123"/>
        <item x="292"/>
        <item x="159"/>
        <item x="519"/>
        <item x="229"/>
        <item x="1169"/>
        <item x="1285"/>
        <item x="1103"/>
        <item x="371"/>
        <item x="180"/>
        <item x="666"/>
        <item x="538"/>
        <item x="391"/>
        <item x="740"/>
        <item x="436"/>
        <item x="940"/>
        <item x="613"/>
        <item x="883"/>
        <item x="1161"/>
        <item x="438"/>
        <item x="1095"/>
        <item x="269"/>
        <item x="328"/>
        <item x="444"/>
        <item x="748"/>
        <item x="384"/>
        <item x="1075"/>
        <item x="733"/>
        <item x="483"/>
        <item x="1352"/>
        <item x="1129"/>
        <item x="599"/>
        <item x="952"/>
        <item x="659"/>
        <item x="986"/>
        <item x="627"/>
        <item x="532"/>
        <item x="402"/>
        <item x="738"/>
        <item x="917"/>
        <item x="307"/>
        <item x="893"/>
        <item x="1277"/>
        <item x="1490"/>
        <item x="541"/>
        <item x="41"/>
        <item x="775"/>
        <item x="857"/>
        <item x="728"/>
        <item x="131"/>
        <item x="757"/>
        <item x="1088"/>
        <item x="171"/>
        <item x="51"/>
        <item x="1474"/>
        <item x="64"/>
        <item x="492"/>
        <item x="1383"/>
        <item x="759"/>
        <item x="1283"/>
        <item x="25"/>
        <item x="938"/>
        <item x="826"/>
        <item x="1025"/>
        <item x="787"/>
        <item x="1263"/>
        <item x="764"/>
        <item x="1069"/>
        <item x="689"/>
        <item x="1147"/>
        <item x="1029"/>
        <item x="168"/>
        <item x="571"/>
        <item x="1225"/>
        <item x="1060"/>
        <item x="814"/>
        <item x="1085"/>
        <item x="573"/>
        <item x="955"/>
        <item x="1392"/>
        <item x="238"/>
        <item x="1434"/>
        <item x="868"/>
        <item x="558"/>
        <item x="1081"/>
        <item x="1151"/>
        <item x="218"/>
        <item x="668"/>
        <item x="849"/>
        <item x="842"/>
        <item x="405"/>
        <item x="844"/>
        <item x="1287"/>
        <item x="1469"/>
        <item x="146"/>
        <item x="1269"/>
        <item x="1425"/>
        <item x="773"/>
        <item x="320"/>
        <item x="900"/>
        <item x="866"/>
        <item x="152"/>
        <item x="1394"/>
        <item x="1253"/>
        <item x="7"/>
        <item x="34"/>
        <item x="1158"/>
        <item x="1171"/>
        <item x="706"/>
        <item x="548"/>
        <item x="1250"/>
        <item x="102"/>
        <item x="902"/>
        <item x="21"/>
        <item x="297"/>
        <item x="985"/>
        <item x="1475"/>
        <item x="1094"/>
        <item x="368"/>
        <item x="1273"/>
        <item x="227"/>
        <item x="981"/>
        <item x="1470"/>
        <item x="505"/>
        <item x="720"/>
        <item x="382"/>
        <item x="91"/>
        <item x="395"/>
        <item x="1396"/>
        <item x="640"/>
        <item x="1239"/>
        <item x="1387"/>
        <item x="419"/>
        <item x="1212"/>
        <item x="553"/>
        <item x="780"/>
        <item x="224"/>
        <item x="1491"/>
        <item x="1357"/>
        <item x="685"/>
        <item x="1142"/>
        <item x="763"/>
        <item x="1231"/>
        <item x="1433"/>
        <item x="800"/>
        <item x="713"/>
        <item x="83"/>
        <item x="1427"/>
        <item x="28"/>
        <item x="711"/>
        <item x="1446"/>
        <item x="1096"/>
        <item x="386"/>
        <item x="575"/>
        <item x="226"/>
        <item x="806"/>
        <item x="65"/>
        <item x="528"/>
        <item x="931"/>
        <item x="634"/>
        <item x="101"/>
        <item x="1249"/>
        <item x="649"/>
        <item x="1463"/>
        <item x="1057"/>
        <item x="1018"/>
        <item x="496"/>
        <item x="594"/>
        <item x="1320"/>
        <item x="1458"/>
        <item x="1090"/>
        <item x="133"/>
        <item x="1192"/>
        <item x="1498"/>
        <item x="1312"/>
        <item x="458"/>
        <item x="1189"/>
        <item x="261"/>
        <item x="1205"/>
        <item x="188"/>
        <item x="1317"/>
        <item x="1451"/>
        <item x="750"/>
        <item x="1256"/>
        <item x="539"/>
        <item x="562"/>
        <item x="301"/>
        <item x="173"/>
        <item x="1127"/>
        <item x="465"/>
        <item x="1222"/>
        <item x="272"/>
        <item x="881"/>
        <item x="616"/>
        <item x="898"/>
        <item x="531"/>
        <item x="31"/>
        <item x="195"/>
        <item x="988"/>
        <item x="1408"/>
        <item x="829"/>
        <item x="380"/>
        <item x="1479"/>
        <item x="556"/>
        <item x="295"/>
        <item x="793"/>
        <item x="547"/>
        <item x="482"/>
        <item x="120"/>
        <item x="250"/>
        <item x="684"/>
        <item x="1261"/>
        <item x="522"/>
        <item x="1282"/>
        <item x="1370"/>
        <item x="716"/>
        <item x="761"/>
        <item x="916"/>
        <item x="87"/>
        <item x="1297"/>
        <item x="1251"/>
        <item x="1128"/>
        <item x="1026"/>
        <item x="582"/>
        <item x="360"/>
        <item x="510"/>
        <item x="896"/>
        <item x="840"/>
        <item x="53"/>
        <item x="543"/>
        <item x="47"/>
        <item x="586"/>
        <item x="886"/>
        <item x="848"/>
        <item x="1055"/>
        <item x="1321"/>
        <item x="699"/>
        <item x="480"/>
        <item x="473"/>
        <item x="1286"/>
        <item x="664"/>
        <item x="1019"/>
        <item x="976"/>
        <item x="665"/>
        <item x="1224"/>
        <item x="1156"/>
        <item x="1190"/>
        <item x="285"/>
        <item x="1366"/>
        <item x="471"/>
        <item x="615"/>
        <item x="113"/>
        <item x="555"/>
        <item x="811"/>
        <item x="708"/>
        <item x="54"/>
        <item x="122"/>
        <item x="1183"/>
        <item x="78"/>
        <item x="772"/>
        <item x="1126"/>
        <item x="355"/>
        <item x="1327"/>
        <item x="76"/>
        <item x="836"/>
        <item x="344"/>
        <item x="1037"/>
        <item x="1143"/>
        <item x="228"/>
        <item x="318"/>
        <item x="1355"/>
        <item x="1157"/>
        <item x="726"/>
        <item x="937"/>
        <item x="439"/>
        <item x="1006"/>
        <item x="282"/>
        <item x="957"/>
        <item x="288"/>
        <item x="637"/>
        <item x="646"/>
        <item x="1284"/>
        <item x="475"/>
        <item x="631"/>
        <item x="609"/>
        <item x="455"/>
        <item x="433"/>
        <item x="202"/>
        <item x="361"/>
        <item x="1454"/>
        <item x="835"/>
        <item x="925"/>
        <item x="1149"/>
        <item x="1447"/>
        <item x="1003"/>
        <item x="921"/>
        <item x="946"/>
        <item x="993"/>
        <item x="1420"/>
        <item x="453"/>
        <item x="645"/>
        <item x="1215"/>
        <item x="1295"/>
        <item x="73"/>
        <item x="498"/>
        <item x="1265"/>
        <item x="283"/>
        <item x="428"/>
        <item x="859"/>
        <item x="1369"/>
        <item x="540"/>
        <item x="737"/>
        <item x="388"/>
        <item x="385"/>
        <item x="1220"/>
        <item x="89"/>
        <item x="1155"/>
        <item x="204"/>
        <item x="398"/>
        <item x="526"/>
        <item x="240"/>
        <item x="22"/>
        <item x="1464"/>
        <item x="514"/>
        <item x="359"/>
        <item x="1230"/>
        <item x="249"/>
        <item x="143"/>
        <item x="658"/>
        <item x="423"/>
        <item x="681"/>
        <item x="639"/>
        <item x="1058"/>
        <item x="488"/>
        <item x="607"/>
        <item x="286"/>
        <item x="4"/>
        <item x="566"/>
        <item x="1368"/>
        <item x="1162"/>
        <item x="810"/>
        <item x="1485"/>
        <item x="1196"/>
        <item x="1424"/>
        <item x="451"/>
        <item x="1141"/>
        <item x="463"/>
        <item x="1358"/>
        <item x="790"/>
        <item x="219"/>
        <item x="479"/>
        <item x="67"/>
        <item x="501"/>
        <item x="1449"/>
        <item x="1175"/>
        <item x="322"/>
        <item x="788"/>
        <item x="1125"/>
        <item x="1391"/>
        <item x="61"/>
        <item x="991"/>
        <item x="1318"/>
        <item x="1430"/>
        <item x="701"/>
        <item x="854"/>
        <item x="1402"/>
        <item x="1083"/>
        <item x="255"/>
        <item x="72"/>
        <item x="753"/>
        <item x="1110"/>
        <item x="184"/>
        <item x="864"/>
        <item x="364"/>
        <item x="1471"/>
        <item x="956"/>
        <item x="591"/>
        <item x="9"/>
        <item x="400"/>
        <item x="783"/>
        <item x="189"/>
        <item x="414"/>
        <item x="409"/>
        <item x="167"/>
        <item x="1461"/>
        <item x="1091"/>
        <item x="1373"/>
        <item x="259"/>
        <item x="221"/>
        <item x="440"/>
        <item x="339"/>
        <item x="393"/>
        <item x="156"/>
        <item x="766"/>
        <item x="343"/>
        <item x="698"/>
        <item x="8"/>
        <item x="185"/>
        <item x="129"/>
        <item x="1254"/>
        <item x="892"/>
        <item x="293"/>
        <item x="795"/>
        <item x="1197"/>
        <item x="507"/>
        <item x="158"/>
        <item x="296"/>
        <item x="1093"/>
        <item x="909"/>
        <item x="466"/>
        <item x="724"/>
        <item x="1372"/>
        <item x="1472"/>
        <item x="839"/>
        <item x="545"/>
        <item x="372"/>
        <item x="14"/>
        <item x="1227"/>
        <item x="193"/>
        <item x="691"/>
        <item x="303"/>
        <item x="26"/>
        <item x="798"/>
        <item x="234"/>
        <item x="82"/>
        <item x="1429"/>
        <item x="74"/>
        <item x="33"/>
        <item x="484"/>
        <item x="1130"/>
        <item x="629"/>
        <item x="933"/>
        <item x="744"/>
        <item x="542"/>
        <item x="349"/>
        <item x="248"/>
        <item x="867"/>
        <item x="1450"/>
        <item x="337"/>
        <item x="212"/>
        <item x="1482"/>
        <item x="679"/>
        <item x="692"/>
        <item x="407"/>
        <item x="1292"/>
        <item x="1389"/>
        <item x="1248"/>
        <item x="208"/>
        <item x="667"/>
        <item x="652"/>
        <item x="1119"/>
        <item x="1100"/>
        <item x="352"/>
        <item x="1255"/>
        <item x="3"/>
        <item x="1120"/>
        <item x="1334"/>
        <item x="654"/>
        <item x="434"/>
        <item x="2"/>
        <item x="1494"/>
        <item x="40"/>
        <item x="32"/>
        <item x="662"/>
        <item x="771"/>
        <item x="119"/>
        <item x="1291"/>
        <item x="642"/>
        <item x="275"/>
        <item x="207"/>
        <item x="210"/>
        <item x="306"/>
        <item x="1401"/>
        <item x="1099"/>
        <item x="1086"/>
        <item x="233"/>
        <item x="454"/>
        <item x="1076"/>
        <item x="785"/>
        <item x="137"/>
        <item x="476"/>
        <item x="125"/>
        <item x="1431"/>
        <item x="336"/>
        <item x="77"/>
        <item x="147"/>
        <item x="294"/>
        <item x="1123"/>
        <item x="1336"/>
        <item x="367"/>
        <item x="678"/>
        <item x="882"/>
        <item x="270"/>
        <item x="1115"/>
        <item x="581"/>
        <item x="977"/>
        <item x="843"/>
        <item x="1243"/>
        <item x="516"/>
        <item x="314"/>
        <item x="1344"/>
        <item x="365"/>
        <item x="1070"/>
        <item x="172"/>
        <item x="329"/>
        <item x="1272"/>
        <item x="687"/>
        <item x="948"/>
        <item x="808"/>
        <item x="1487"/>
        <item x="999"/>
        <item x="404"/>
        <item x="1484"/>
        <item x="1219"/>
        <item x="379"/>
        <item x="970"/>
        <item x="35"/>
        <item x="315"/>
        <item x="1416"/>
        <item x="1021"/>
        <item x="746"/>
        <item x="112"/>
        <item x="317"/>
        <item x="1181"/>
        <item x="709"/>
        <item x="983"/>
        <item x="302"/>
        <item x="1289"/>
        <item x="356"/>
        <item x="872"/>
        <item x="1270"/>
        <item x="100"/>
        <item x="1488"/>
        <item x="1260"/>
        <item x="782"/>
        <item x="989"/>
        <item x="632"/>
        <item x="1022"/>
        <item x="284"/>
        <item x="1098"/>
        <item x="1303"/>
        <item x="653"/>
        <item x="1445"/>
        <item x="333"/>
        <item x="1234"/>
        <item x="1359"/>
        <item x="895"/>
        <item x="1035"/>
        <item x="497"/>
        <item x="1056"/>
        <item x="1104"/>
        <item x="334"/>
        <item x="1428"/>
        <item x="1020"/>
        <item x="1030"/>
        <item x="340"/>
        <item x="1124"/>
        <item x="38"/>
        <item x="861"/>
        <item x="1223"/>
        <item x="741"/>
        <item x="1308"/>
        <item x="996"/>
        <item x="736"/>
        <item x="470"/>
        <item x="55"/>
        <item x="331"/>
        <item x="203"/>
        <item x="805"/>
        <item x="1199"/>
        <item x="846"/>
        <item x="1397"/>
        <item x="1004"/>
        <item x="16"/>
        <item x="1102"/>
        <item x="1118"/>
        <item x="1210"/>
        <item x="656"/>
        <item x="1444"/>
        <item x="1217"/>
        <item x="138"/>
        <item x="928"/>
        <item x="768"/>
        <item x="43"/>
        <item x="650"/>
        <item x="246"/>
        <item x="511"/>
        <item x="1343"/>
        <item x="676"/>
        <item x="1443"/>
        <item x="235"/>
        <item x="1191"/>
        <item x="885"/>
        <item x="430"/>
        <item x="1024"/>
        <item x="1154"/>
        <item x="291"/>
        <item x="29"/>
        <item x="756"/>
        <item x="1180"/>
        <item x="754"/>
        <item x="457"/>
        <item x="1417"/>
        <item x="141"/>
        <item x="338"/>
        <item x="1409"/>
        <item x="1347"/>
        <item x="918"/>
        <item x="769"/>
        <item x="683"/>
        <item x="1080"/>
        <item x="1187"/>
        <item x="647"/>
        <item x="833"/>
        <item x="876"/>
        <item x="870"/>
        <item x="565"/>
        <item x="1114"/>
        <item x="958"/>
        <item x="462"/>
        <item x="263"/>
        <item x="378"/>
        <item x="500"/>
        <item x="206"/>
        <item x="1403"/>
        <item x="1160"/>
        <item x="879"/>
        <item x="1237"/>
        <item x="1059"/>
        <item x="392"/>
        <item x="323"/>
        <item x="30"/>
        <item x="15"/>
        <item x="564"/>
        <item x="920"/>
        <item x="695"/>
        <item x="1364"/>
        <item x="1108"/>
        <item x="446"/>
        <item x="557"/>
        <item x="277"/>
        <item x="1233"/>
        <item x="313"/>
        <item x="1013"/>
        <item x="1452"/>
        <item x="1453"/>
        <item x="1281"/>
        <item x="583"/>
        <item x="838"/>
        <item x="906"/>
        <item x="789"/>
        <item x="1448"/>
        <item x="149"/>
        <item x="403"/>
        <item x="1236"/>
        <item x="525"/>
        <item x="325"/>
        <item x="1184"/>
        <item x="730"/>
        <item x="504"/>
        <item x="799"/>
        <item x="778"/>
        <item x="467"/>
        <item x="1268"/>
        <item x="1182"/>
        <item x="600"/>
        <item x="211"/>
        <item x="128"/>
        <item x="450"/>
        <item x="818"/>
        <item x="897"/>
        <item x="965"/>
        <item x="342"/>
        <item x="1497"/>
        <item x="680"/>
        <item x="390"/>
        <item x="592"/>
        <item x="971"/>
        <item x="1426"/>
        <item x="472"/>
        <item x="418"/>
        <item x="927"/>
        <item x="992"/>
        <item x="1200"/>
        <item x="1305"/>
        <item x="527"/>
        <item x="432"/>
        <item x="1201"/>
        <item x="335"/>
        <item x="919"/>
        <item x="216"/>
        <item x="894"/>
        <item x="561"/>
        <item x="231"/>
        <item x="819"/>
        <item x="984"/>
        <item x="972"/>
        <item x="214"/>
        <item x="1033"/>
        <item x="636"/>
        <item x="1008"/>
        <item x="696"/>
        <item x="1421"/>
        <item x="907"/>
        <item x="332"/>
        <item x="635"/>
        <item x="1293"/>
        <item x="196"/>
        <item x="549"/>
        <item x="601"/>
        <item x="1208"/>
        <item x="1350"/>
        <item x="832"/>
        <item x="241"/>
        <item x="310"/>
        <item x="1074"/>
        <item x="441"/>
        <item x="1407"/>
        <item x="243"/>
        <item x="584"/>
        <item x="889"/>
        <item x="975"/>
        <item x="252"/>
        <item x="1439"/>
        <item x="1226"/>
        <item x="1422"/>
        <item x="1139"/>
        <item x="1316"/>
        <item x="70"/>
        <item x="104"/>
        <item x="1136"/>
        <item x="949"/>
        <item x="1388"/>
        <item x="960"/>
        <item x="217"/>
        <item x="1051"/>
        <item x="114"/>
        <item x="1039"/>
        <item x="934"/>
        <item x="1077"/>
        <item x="809"/>
        <item x="961"/>
        <item x="1400"/>
        <item x="781"/>
        <item x="1028"/>
        <item x="75"/>
        <item x="710"/>
        <item x="968"/>
        <item x="478"/>
        <item x="901"/>
        <item x="605"/>
        <item x="1299"/>
        <item x="554"/>
        <item x="413"/>
        <item x="951"/>
        <item x="468"/>
        <item x="1194"/>
        <item x="651"/>
        <item x="205"/>
        <item x="1410"/>
        <item x="494"/>
        <item x="88"/>
        <item x="760"/>
        <item x="127"/>
        <item x="1328"/>
        <item x="1441"/>
        <item x="1306"/>
        <item x="274"/>
        <item x="855"/>
        <item x="752"/>
        <item x="10"/>
        <item x="486"/>
        <item x="1386"/>
        <item x="533"/>
        <item x="177"/>
        <item x="347"/>
        <item x="447"/>
        <item x="1047"/>
        <item x="512"/>
        <item x="590"/>
        <item x="674"/>
        <item x="735"/>
        <item x="660"/>
        <item x="254"/>
        <item x="117"/>
        <item x="506"/>
        <item x="1362"/>
        <item x="1132"/>
        <item x="1325"/>
        <item x="625"/>
        <item x="620"/>
        <item x="841"/>
        <item x="351"/>
        <item x="745"/>
        <item x="377"/>
        <item x="1068"/>
        <item x="1499"/>
        <item x="1040"/>
        <item x="604"/>
        <item x="828"/>
        <item x="1298"/>
        <item x="345"/>
        <item x="1122"/>
        <item x="784"/>
        <item x="1423"/>
        <item x="1207"/>
        <item x="145"/>
        <item x="421"/>
        <item x="765"/>
        <item x="950"/>
        <item x="198"/>
        <item x="258"/>
        <item x="747"/>
        <item x="663"/>
        <item x="276"/>
        <item x="1361"/>
        <item x="852"/>
        <item x="572"/>
        <item x="1481"/>
        <item x="1315"/>
        <item x="1346"/>
        <item x="362"/>
        <item x="52"/>
        <item x="593"/>
        <item x="103"/>
        <item x="1262"/>
        <item x="954"/>
        <item x="1179"/>
        <item x="358"/>
        <item x="1377"/>
        <item x="1"/>
        <item x="262"/>
        <item x="225"/>
        <item x="1193"/>
        <item x="387"/>
        <item x="1495"/>
        <item x="326"/>
        <item x="1113"/>
        <item x="305"/>
        <item x="369"/>
        <item x="348"/>
        <item x="18"/>
        <item x="628"/>
        <item x="794"/>
        <item x="376"/>
        <item x="1036"/>
        <item x="509"/>
        <item x="767"/>
        <item x="11"/>
        <item x="1246"/>
        <item x="209"/>
        <item x="363"/>
        <item x="1247"/>
        <item x="134"/>
        <item x="289"/>
        <item x="606"/>
        <item x="816"/>
        <item x="1492"/>
        <item x="1235"/>
        <item x="118"/>
        <item x="1048"/>
        <item x="1079"/>
        <item x="346"/>
        <item x="397"/>
        <item x="1061"/>
        <item x="862"/>
        <item x="107"/>
        <item x="1311"/>
        <item x="1242"/>
        <item x="995"/>
        <item x="797"/>
        <item x="537"/>
        <item x="1478"/>
        <item x="1012"/>
        <item x="1010"/>
        <item x="460"/>
        <item x="151"/>
        <item x="569"/>
        <item x="341"/>
        <item x="1455"/>
        <item x="408"/>
        <item x="1078"/>
        <item x="943"/>
        <item x="1324"/>
        <item x="71"/>
        <item x="1486"/>
        <item x="299"/>
        <item x="1167"/>
        <item x="823"/>
        <item x="1164"/>
        <item x="427"/>
        <item x="1258"/>
        <item x="1309"/>
        <item x="1345"/>
        <item x="845"/>
        <item x="1140"/>
        <item x="357"/>
        <item x="1063"/>
        <item x="435"/>
        <item x="815"/>
        <item x="812"/>
        <item x="1089"/>
        <item x="1496"/>
        <item x="1419"/>
        <item x="875"/>
        <item x="630"/>
        <item x="825"/>
        <item x="610"/>
        <item x="853"/>
        <item x="959"/>
        <item x="515"/>
        <item x="1342"/>
        <item x="1134"/>
        <item x="860"/>
        <item x="279"/>
        <item x="111"/>
        <item x="139"/>
        <item x="688"/>
        <item x="801"/>
        <item x="1477"/>
        <item x="1307"/>
        <item x="1241"/>
        <item x="851"/>
        <item x="903"/>
        <item x="523"/>
        <item x="1067"/>
        <item x="383"/>
        <item x="57"/>
        <item x="220"/>
        <item x="0"/>
        <item x="200"/>
        <item x="702"/>
        <item x="873"/>
        <item x="176"/>
        <item x="182"/>
        <item x="1105"/>
        <item x="721"/>
        <item x="94"/>
        <item x="42"/>
        <item x="779"/>
        <item x="824"/>
        <item x="1266"/>
        <item x="877"/>
        <item x="62"/>
        <item x="648"/>
        <item x="1032"/>
        <item x="1374"/>
        <item x="183"/>
        <item x="239"/>
        <item x="350"/>
        <item x="777"/>
        <item x="1005"/>
        <item x="1459"/>
        <item x="366"/>
        <item x="99"/>
        <item x="20"/>
        <item x="1360"/>
        <item x="324"/>
        <item x="727"/>
        <item x="924"/>
        <item x="1275"/>
        <item x="1483"/>
        <item x="312"/>
        <item x="997"/>
        <item x="1052"/>
        <item x="1460"/>
        <item x="1041"/>
        <item x="884"/>
        <item x="153"/>
        <item x="1252"/>
        <item x="499"/>
        <item x="820"/>
        <item x="980"/>
        <item x="1049"/>
        <item x="222"/>
        <item x="201"/>
        <item x="926"/>
        <item x="162"/>
        <item x="1137"/>
        <item x="108"/>
        <item x="739"/>
        <item x="978"/>
        <item x="641"/>
        <item x="1294"/>
        <item x="1001"/>
        <item x="353"/>
        <item x="1418"/>
        <item x="1240"/>
        <item x="1106"/>
        <item x="770"/>
        <item x="908"/>
        <item x="199"/>
        <item x="966"/>
        <item x="888"/>
        <item x="1195"/>
        <item x="300"/>
        <item x="1438"/>
        <item x="1330"/>
        <item x="1007"/>
        <item x="1163"/>
        <item x="1214"/>
        <item x="1314"/>
        <item x="1363"/>
        <item x="1023"/>
        <item x="115"/>
        <item x="969"/>
        <item x="443"/>
        <item x="1322"/>
        <item x="796"/>
        <item x="1133"/>
        <item x="964"/>
        <item x="622"/>
        <item x="287"/>
        <item x="1329"/>
        <item x="717"/>
        <item x="792"/>
        <item x="12"/>
        <item x="1072"/>
        <item x="834"/>
        <item x="394"/>
        <item x="80"/>
        <item x="520"/>
        <item x="1319"/>
        <item x="1209"/>
        <item x="1296"/>
        <item x="1476"/>
        <item x="962"/>
        <item x="559"/>
        <item x="381"/>
        <item x="477"/>
        <item x="758"/>
        <item x="298"/>
        <item x="253"/>
        <item x="24"/>
        <item x="677"/>
        <item x="998"/>
        <item x="1166"/>
        <item x="79"/>
        <item x="154"/>
        <item x="552"/>
        <item x="612"/>
        <item x="723"/>
        <item x="474"/>
        <item x="126"/>
        <item x="1274"/>
        <item x="1457"/>
        <item x="304"/>
        <item x="1221"/>
        <item x="624"/>
        <item x="1159"/>
        <item x="939"/>
        <item x="1267"/>
        <item x="655"/>
        <item x="86"/>
        <item x="1042"/>
        <item x="1435"/>
        <item x="1148"/>
        <item x="1341"/>
        <item x="1121"/>
        <item x="802"/>
        <item x="544"/>
        <item x="1144"/>
        <item x="614"/>
        <item x="618"/>
        <item x="953"/>
        <item x="830"/>
        <item x="406"/>
        <item x="817"/>
        <item x="673"/>
        <item x="1014"/>
        <item x="700"/>
        <item x="437"/>
        <item x="1302"/>
        <item x="608"/>
        <item x="257"/>
        <item x="589"/>
        <item x="308"/>
        <item x="568"/>
        <item x="215"/>
        <item x="1009"/>
        <item x="822"/>
        <item x="389"/>
        <item x="456"/>
        <item x="1138"/>
        <item x="109"/>
        <item x="81"/>
        <item x="1414"/>
        <item x="265"/>
        <item x="574"/>
        <item x="734"/>
        <item x="929"/>
        <item x="163"/>
        <item x="1218"/>
        <item x="1440"/>
        <item x="776"/>
        <item x="1399"/>
        <item x="1168"/>
        <item x="813"/>
        <item x="157"/>
        <item x="92"/>
        <item x="865"/>
        <item x="742"/>
        <item x="1301"/>
        <item x="693"/>
        <item x="626"/>
        <item x="994"/>
        <item x="1011"/>
        <item x="1232"/>
        <item x="1353"/>
        <item x="1280"/>
        <item x="1415"/>
        <item x="932"/>
        <item x="912"/>
        <item x="603"/>
        <item x="945"/>
        <item x="1153"/>
        <item x="675"/>
        <item x="1112"/>
        <item x="124"/>
        <item x="160"/>
        <item x="529"/>
        <item x="1385"/>
        <item x="697"/>
        <item x="762"/>
        <item x="690"/>
        <item x="1216"/>
        <item x="595"/>
        <item x="878"/>
        <item x="399"/>
        <item x="1313"/>
        <item x="579"/>
        <item x="190"/>
        <item x="755"/>
        <item x="1337"/>
        <item x="1349"/>
        <item x="585"/>
        <item x="1092"/>
        <item x="1116"/>
        <item x="643"/>
        <item x="638"/>
        <item x="489"/>
        <item x="1185"/>
        <item x="623"/>
        <item x="1046"/>
        <item x="60"/>
        <item x="370"/>
        <item x="170"/>
        <item x="947"/>
        <item x="596"/>
        <item x="1177"/>
        <item x="166"/>
        <item x="979"/>
        <item x="236"/>
        <item x="1335"/>
        <item x="244"/>
        <item x="705"/>
        <item x="169"/>
        <item x="611"/>
        <item x="13"/>
        <item x="181"/>
        <item x="863"/>
        <item x="186"/>
        <item x="84"/>
        <item x="1405"/>
        <item x="1411"/>
        <item x="715"/>
        <item x="412"/>
        <item x="751"/>
        <item x="464"/>
        <item x="96"/>
        <item x="669"/>
        <item x="1173"/>
        <item x="803"/>
        <item x="1178"/>
        <item x="1354"/>
        <item x="694"/>
        <item x="1165"/>
        <item x="602"/>
        <item x="913"/>
        <item x="703"/>
        <item x="686"/>
        <item x="37"/>
        <item x="1131"/>
        <item x="1238"/>
        <item x="422"/>
        <item x="1493"/>
        <item x="48"/>
        <item x="891"/>
        <item x="871"/>
        <item x="1288"/>
        <item x="1017"/>
        <item x="508"/>
        <item x="50"/>
        <item x="1436"/>
        <item x="1393"/>
        <item x="749"/>
        <item x="68"/>
        <item x="327"/>
        <item x="271"/>
        <item x="426"/>
        <item x="551"/>
        <item x="106"/>
        <item x="45"/>
        <item x="1462"/>
        <item x="1109"/>
        <item x="732"/>
        <item x="150"/>
        <item x="633"/>
        <item x="1279"/>
        <item x="718"/>
        <item x="256"/>
        <item x="597"/>
        <item x="1375"/>
        <item x="485"/>
        <item x="1229"/>
        <item x="121"/>
        <item x="140"/>
        <item x="546"/>
        <item x="442"/>
        <item x="518"/>
        <item x="1050"/>
        <item x="1278"/>
        <item x="1473"/>
        <item x="1150"/>
        <item x="821"/>
        <item x="245"/>
        <item x="1117"/>
        <item x="804"/>
        <item x="729"/>
        <item x="617"/>
        <item x="110"/>
        <item x="1038"/>
        <item x="396"/>
        <item x="707"/>
        <item x="319"/>
        <item x="503"/>
        <item x="1304"/>
        <item x="469"/>
        <item x="1031"/>
        <item x="142"/>
        <item x="213"/>
        <item x="487"/>
        <item x="1442"/>
        <item x="1211"/>
        <item x="973"/>
        <item x="1326"/>
        <item x="1202"/>
        <item x="1097"/>
        <item x="535"/>
        <item x="657"/>
        <item x="1016"/>
        <item x="831"/>
        <item x="850"/>
        <item x="316"/>
        <item x="1432"/>
        <item x="570"/>
        <item x="1465"/>
        <item x="1437"/>
        <item x="411"/>
        <item x="671"/>
        <item x="165"/>
        <item x="1333"/>
        <item x="1466"/>
        <item x="911"/>
        <item x="1395"/>
        <item x="1111"/>
        <item x="278"/>
        <item x="281"/>
        <item x="576"/>
        <item x="936"/>
        <item x="974"/>
        <item x="448"/>
        <item x="1290"/>
        <item x="39"/>
        <item x="1379"/>
        <item x="1145"/>
        <item x="85"/>
        <item x="415"/>
        <item x="1404"/>
        <item x="330"/>
        <item x="880"/>
        <item x="247"/>
        <item x="1339"/>
        <item x="174"/>
        <item x="481"/>
        <item x="375"/>
        <item x="1152"/>
        <item x="922"/>
        <item x="1351"/>
        <item x="915"/>
        <item x="290"/>
        <item x="847"/>
        <item x="155"/>
        <item x="1382"/>
        <item x="560"/>
        <item t="default"/>
      </items>
    </pivotField>
    <pivotField showAll="0">
      <items count="11">
        <item x="6"/>
        <item x="0"/>
        <item x="7"/>
        <item x="3"/>
        <item x="5"/>
        <item x="2"/>
        <item x="8"/>
        <item x="4"/>
        <item x="9"/>
        <item x="1"/>
        <item t="default"/>
      </items>
    </pivotField>
    <pivotField dataField="1" numFmtId="164" showAll="0"/>
    <pivotField axis="axisRow" showAll="0">
      <items count="3">
        <item x="0"/>
        <item x="1"/>
        <item t="default"/>
      </items>
    </pivotField>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6">
        <item h="1" x="0"/>
        <item h="1" x="1"/>
        <item h="1" x="2"/>
        <item h="1" x="3"/>
        <item x="4"/>
        <item t="default"/>
      </items>
    </pivotField>
    <pivotField showAll="0"/>
    <pivotField showAll="0"/>
    <pivotField showAll="0"/>
  </pivotFields>
  <rowFields count="1">
    <field x="4"/>
  </rowFields>
  <rowItems count="2">
    <i>
      <x/>
    </i>
    <i>
      <x v="1"/>
    </i>
  </rowItems>
  <colItems count="1">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348BDD-1DC4-4E00-80CC-D1BFA78715DD}" autoFormatId="16" applyNumberFormats="0" applyBorderFormats="0" applyFontFormats="0" applyPatternFormats="0" applyAlignmentFormats="0" applyWidthHeightFormats="0">
  <queryTableRefresh nextId="13" unboundColumnsRight="3">
    <queryTableFields count="10">
      <queryTableField id="1" name="Date" tableColumnId="1"/>
      <queryTableField id="2" name="Transaction Description" tableColumnId="2"/>
      <queryTableField id="3" name="Category" tableColumnId="3"/>
      <queryTableField id="4" name="Amount" tableColumnId="4"/>
      <queryTableField id="5" name="Type" tableColumnId="5"/>
      <queryTableField id="6" name="Month-Year" tableColumnId="6"/>
      <queryTableField id="7" name="Year" tableColumnId="7"/>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F31B4B-926F-4971-800E-63BAC20CA4ED}" sourceName="Year">
  <pivotTables>
    <pivotTable tabId="4" name="PivotTable6"/>
    <pivotTable tabId="4" name="PivotTable1"/>
    <pivotTable tabId="4" name="PivotTable3"/>
    <pivotTable tabId="4" name="PivotTable5"/>
    <pivotTable tabId="4" name="PivotTable2"/>
  </pivotTables>
  <data>
    <tabular pivotCacheId="1756412370">
      <items count="5">
        <i x="0"/>
        <i x="1"/>
        <i x="2"/>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F71229-C818-480F-BF1B-0BC064A1133F}" cache="Slicer_Year" caption="Year" style="Slicer Style 4"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74973E-7552-47DC-A1EB-6AE4AE11922F}" name="Table1" displayName="Table1" ref="A1:E1501" totalsRowShown="0">
  <autoFilter ref="A1:E1501" xr:uid="{B574973E-7552-47DC-A1EB-6AE4AE11922F}"/>
  <tableColumns count="5">
    <tableColumn id="1" xr3:uid="{0B707F44-198C-41E7-9BA1-DCC53572DCED}" name="Date" dataDxfId="10"/>
    <tableColumn id="2" xr3:uid="{5873057D-8BD9-426D-BE71-9D37D7E8F56E}" name="Transaction Description"/>
    <tableColumn id="3" xr3:uid="{48A1BD32-8AF1-43D3-82C2-915E0D31AF58}" name="Category"/>
    <tableColumn id="4" xr3:uid="{68511D93-F028-48B5-9639-9D6A1E4D007E}" name="Amount"/>
    <tableColumn id="5" xr3:uid="{1CD51C3B-7A31-45B1-BAD3-B14C9721B250}" name="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638DDD-36A8-4D4E-B751-E2A9D6651C61}" name="Table1_1" displayName="Table1_1" ref="A1:J1501" tableType="queryTable" totalsRowShown="0">
  <autoFilter ref="A1:J1501" xr:uid="{AD638DDD-36A8-4D4E-B751-E2A9D6651C61}"/>
  <tableColumns count="10">
    <tableColumn id="1" xr3:uid="{9BC0B9F5-001B-4502-A318-2E149A86B831}" uniqueName="1" name="Date" queryTableFieldId="1" dataDxfId="9"/>
    <tableColumn id="2" xr3:uid="{9C8DF677-94C6-4892-9029-30E740911D66}" uniqueName="2" name="Transaction Description" queryTableFieldId="2" dataDxfId="8"/>
    <tableColumn id="3" xr3:uid="{4BAD2F2B-E398-42C9-BE94-ABA7A33A0410}" uniqueName="3" name="Category" queryTableFieldId="3" dataDxfId="7"/>
    <tableColumn id="4" xr3:uid="{D0BEEF43-3C9D-48DB-B411-C101FCABB2BD}" uniqueName="4" name="Amount" queryTableFieldId="4" dataDxfId="6" dataCellStyle="Currency"/>
    <tableColumn id="5" xr3:uid="{CB883AAF-2D8D-47D9-9FED-A073FE396CEA}" uniqueName="5" name="Type" queryTableFieldId="5"/>
    <tableColumn id="6" xr3:uid="{D7C207EB-9469-4C00-99A4-C216B421324D}" uniqueName="6" name="Month-Year" queryTableFieldId="6"/>
    <tableColumn id="7" xr3:uid="{D206D834-E3B0-44EC-A19A-98BA1CC9E17A}" uniqueName="7" name="Year" queryTableFieldId="7"/>
    <tableColumn id="10" xr3:uid="{70BEA820-FD52-4931-8814-003B5133E6CB}" uniqueName="10" name="Monthly Budget" queryTableFieldId="10" dataDxfId="5">
      <calculatedColumnFormula>IF(Table1_1[[#This Row],[Type]]="Expense", _xlfn.XLOOKUP(Table1_1[[#This Row],[Category]], Budget_Ref[Category], Budget_Ref[Monthly Budget], 0), 0)</calculatedColumnFormula>
    </tableColumn>
    <tableColumn id="11" xr3:uid="{7578E7BD-6EB5-48E2-AC09-6243BB3C9438}" uniqueName="11" name="Over Budget Flag" queryTableFieldId="11" dataDxfId="4">
      <calculatedColumnFormula>IF(Table1_1[[#This Row],[Type]]="Expense", IF(Table1_1[[#This Row],[Amount]]&gt;Table1_1[[#This Row],[Monthly Budget]], "Over Budget", "OK"), "-")</calculatedColumnFormula>
    </tableColumn>
    <tableColumn id="12" xr3:uid="{E13FF10D-41F0-4D4B-A3D8-E5526B42DFD3}" uniqueName="12" name="Net Amount" queryTableFieldId="12" dataDxfId="3">
      <calculatedColumnFormula>IF(Table1_1[[#This Row],[Type]]="Income", Table1_1[[#This Row],[Amount]], -Table1_1[[#This Row],[Amount]])</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4A1BBB-3761-4352-835F-ACD222C87311}" name="Budget_Ref" displayName="Budget_Ref" ref="A1:B9" totalsRowShown="0">
  <autoFilter ref="A1:B9" xr:uid="{A74A1BBB-3761-4352-835F-ACD222C87311}"/>
  <tableColumns count="2">
    <tableColumn id="1" xr3:uid="{25C162E2-D694-442B-9A1B-BF7A50907827}" name="Category"/>
    <tableColumn id="2" xr3:uid="{C78E8262-C9A8-4CAD-86B5-BC5BB1B2AE84}" name="Monthly Budge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A32F9-80F5-4722-8719-37E6810C5376}">
  <dimension ref="A1:E1501"/>
  <sheetViews>
    <sheetView workbookViewId="0">
      <selection activeCell="C12" sqref="C12"/>
    </sheetView>
  </sheetViews>
  <sheetFormatPr defaultRowHeight="15" x14ac:dyDescent="0.25"/>
  <cols>
    <col min="1" max="1" width="10.42578125" bestFit="1" customWidth="1"/>
    <col min="2" max="2" width="45" bestFit="1" customWidth="1"/>
    <col min="3" max="3" width="15.28515625" bestFit="1" customWidth="1"/>
    <col min="4" max="4" width="10.140625" customWidth="1"/>
    <col min="5" max="5" width="8.140625" bestFit="1" customWidth="1"/>
  </cols>
  <sheetData>
    <row r="1" spans="1:5" x14ac:dyDescent="0.25">
      <c r="A1" t="s">
        <v>0</v>
      </c>
      <c r="B1" t="s">
        <v>1</v>
      </c>
      <c r="C1" t="s">
        <v>2</v>
      </c>
      <c r="D1" t="s">
        <v>3</v>
      </c>
      <c r="E1" t="s">
        <v>4</v>
      </c>
    </row>
    <row r="2" spans="1:5" x14ac:dyDescent="0.25">
      <c r="A2" s="1">
        <v>43832</v>
      </c>
      <c r="B2" t="s">
        <v>5</v>
      </c>
      <c r="C2" t="s">
        <v>6</v>
      </c>
      <c r="D2">
        <v>1485.69</v>
      </c>
      <c r="E2" t="s">
        <v>7</v>
      </c>
    </row>
    <row r="3" spans="1:5" x14ac:dyDescent="0.25">
      <c r="A3" s="1">
        <v>43832</v>
      </c>
      <c r="B3" t="s">
        <v>8</v>
      </c>
      <c r="C3" t="s">
        <v>9</v>
      </c>
      <c r="D3">
        <v>1475.58</v>
      </c>
      <c r="E3" t="s">
        <v>7</v>
      </c>
    </row>
    <row r="4" spans="1:5" x14ac:dyDescent="0.25">
      <c r="A4" s="1">
        <v>43834</v>
      </c>
      <c r="B4" t="s">
        <v>10</v>
      </c>
      <c r="C4" t="s">
        <v>11</v>
      </c>
      <c r="D4">
        <v>1185.08</v>
      </c>
      <c r="E4" t="s">
        <v>7</v>
      </c>
    </row>
    <row r="5" spans="1:5" x14ac:dyDescent="0.25">
      <c r="A5" s="1">
        <v>43835</v>
      </c>
      <c r="B5" t="s">
        <v>12</v>
      </c>
      <c r="C5" t="s">
        <v>13</v>
      </c>
      <c r="D5">
        <v>2291</v>
      </c>
      <c r="E5" t="s">
        <v>14</v>
      </c>
    </row>
    <row r="6" spans="1:5" x14ac:dyDescent="0.25">
      <c r="A6" s="1">
        <v>43843</v>
      </c>
      <c r="B6" t="s">
        <v>15</v>
      </c>
      <c r="C6" t="s">
        <v>6</v>
      </c>
      <c r="D6">
        <v>1126.8800000000001</v>
      </c>
      <c r="E6" t="s">
        <v>7</v>
      </c>
    </row>
    <row r="7" spans="1:5" x14ac:dyDescent="0.25">
      <c r="A7" s="1">
        <v>43844</v>
      </c>
      <c r="B7" t="s">
        <v>16</v>
      </c>
      <c r="C7" t="s">
        <v>17</v>
      </c>
      <c r="D7">
        <v>448.68</v>
      </c>
      <c r="E7" t="s">
        <v>7</v>
      </c>
    </row>
    <row r="8" spans="1:5" x14ac:dyDescent="0.25">
      <c r="A8" s="1">
        <v>43848</v>
      </c>
      <c r="B8" t="s">
        <v>18</v>
      </c>
      <c r="C8" t="s">
        <v>6</v>
      </c>
      <c r="D8">
        <v>1520.03</v>
      </c>
      <c r="E8" t="s">
        <v>7</v>
      </c>
    </row>
    <row r="9" spans="1:5" x14ac:dyDescent="0.25">
      <c r="A9" s="1">
        <v>43849</v>
      </c>
      <c r="B9" t="s">
        <v>19</v>
      </c>
      <c r="C9" t="s">
        <v>20</v>
      </c>
      <c r="D9">
        <v>3287</v>
      </c>
      <c r="E9" t="s">
        <v>14</v>
      </c>
    </row>
    <row r="10" spans="1:5" x14ac:dyDescent="0.25">
      <c r="A10" s="1">
        <v>43851</v>
      </c>
      <c r="B10" t="s">
        <v>21</v>
      </c>
      <c r="C10" t="s">
        <v>22</v>
      </c>
      <c r="D10">
        <v>1914.85</v>
      </c>
      <c r="E10" t="s">
        <v>7</v>
      </c>
    </row>
    <row r="11" spans="1:5" x14ac:dyDescent="0.25">
      <c r="A11" s="1">
        <v>43855</v>
      </c>
      <c r="B11" t="s">
        <v>23</v>
      </c>
      <c r="C11" t="s">
        <v>11</v>
      </c>
      <c r="D11">
        <v>766.06</v>
      </c>
      <c r="E11" t="s">
        <v>7</v>
      </c>
    </row>
    <row r="12" spans="1:5" x14ac:dyDescent="0.25">
      <c r="A12" s="1">
        <v>43855</v>
      </c>
      <c r="B12" t="s">
        <v>24</v>
      </c>
      <c r="C12" t="s">
        <v>25</v>
      </c>
      <c r="D12">
        <v>1211.4100000000001</v>
      </c>
      <c r="E12" t="s">
        <v>7</v>
      </c>
    </row>
    <row r="13" spans="1:5" x14ac:dyDescent="0.25">
      <c r="A13" s="1">
        <v>43856</v>
      </c>
      <c r="B13" t="s">
        <v>26</v>
      </c>
      <c r="C13" t="s">
        <v>27</v>
      </c>
      <c r="D13">
        <v>1077.0899999999999</v>
      </c>
      <c r="E13" t="s">
        <v>7</v>
      </c>
    </row>
    <row r="14" spans="1:5" x14ac:dyDescent="0.25">
      <c r="A14" s="1">
        <v>43859</v>
      </c>
      <c r="B14" t="s">
        <v>28</v>
      </c>
      <c r="C14" t="s">
        <v>17</v>
      </c>
      <c r="D14">
        <v>166.81</v>
      </c>
      <c r="E14" t="s">
        <v>7</v>
      </c>
    </row>
    <row r="15" spans="1:5" x14ac:dyDescent="0.25">
      <c r="A15" s="1">
        <v>43860</v>
      </c>
      <c r="B15" t="s">
        <v>29</v>
      </c>
      <c r="C15" t="s">
        <v>25</v>
      </c>
      <c r="D15">
        <v>1158.93</v>
      </c>
      <c r="E15" t="s">
        <v>7</v>
      </c>
    </row>
    <row r="16" spans="1:5" x14ac:dyDescent="0.25">
      <c r="A16" s="1">
        <v>43861</v>
      </c>
      <c r="B16" t="s">
        <v>30</v>
      </c>
      <c r="C16" t="s">
        <v>6</v>
      </c>
      <c r="D16">
        <v>1325.91</v>
      </c>
      <c r="E16" t="s">
        <v>7</v>
      </c>
    </row>
    <row r="17" spans="1:5" x14ac:dyDescent="0.25">
      <c r="A17" s="1">
        <v>43861</v>
      </c>
      <c r="B17" t="s">
        <v>31</v>
      </c>
      <c r="C17" t="s">
        <v>11</v>
      </c>
      <c r="D17">
        <v>1712.08</v>
      </c>
      <c r="E17" t="s">
        <v>7</v>
      </c>
    </row>
    <row r="18" spans="1:5" x14ac:dyDescent="0.25">
      <c r="A18" s="1">
        <v>43861</v>
      </c>
      <c r="B18" t="s">
        <v>32</v>
      </c>
      <c r="C18" t="s">
        <v>17</v>
      </c>
      <c r="D18">
        <v>563.16999999999996</v>
      </c>
      <c r="E18" t="s">
        <v>7</v>
      </c>
    </row>
    <row r="19" spans="1:5" x14ac:dyDescent="0.25">
      <c r="A19" s="1">
        <v>43863</v>
      </c>
      <c r="B19" t="s">
        <v>33</v>
      </c>
      <c r="C19" t="s">
        <v>25</v>
      </c>
      <c r="D19">
        <v>333.68</v>
      </c>
      <c r="E19" t="s">
        <v>7</v>
      </c>
    </row>
    <row r="20" spans="1:5" x14ac:dyDescent="0.25">
      <c r="A20" s="1">
        <v>43865</v>
      </c>
      <c r="B20" t="s">
        <v>34</v>
      </c>
      <c r="C20" t="s">
        <v>35</v>
      </c>
      <c r="D20">
        <v>1406.62</v>
      </c>
      <c r="E20" t="s">
        <v>7</v>
      </c>
    </row>
    <row r="21" spans="1:5" x14ac:dyDescent="0.25">
      <c r="A21" s="1">
        <v>43866</v>
      </c>
      <c r="B21" t="s">
        <v>36</v>
      </c>
      <c r="C21" t="s">
        <v>11</v>
      </c>
      <c r="D21">
        <v>1222.17</v>
      </c>
      <c r="E21" t="s">
        <v>7</v>
      </c>
    </row>
    <row r="22" spans="1:5" x14ac:dyDescent="0.25">
      <c r="A22" s="1">
        <v>43866</v>
      </c>
      <c r="B22" t="s">
        <v>37</v>
      </c>
      <c r="C22" t="s">
        <v>13</v>
      </c>
      <c r="D22">
        <v>1838</v>
      </c>
      <c r="E22" t="s">
        <v>14</v>
      </c>
    </row>
    <row r="23" spans="1:5" x14ac:dyDescent="0.25">
      <c r="A23" s="1">
        <v>43868</v>
      </c>
      <c r="B23" t="s">
        <v>38</v>
      </c>
      <c r="C23" t="s">
        <v>35</v>
      </c>
      <c r="D23">
        <v>1979.15</v>
      </c>
      <c r="E23" t="s">
        <v>7</v>
      </c>
    </row>
    <row r="24" spans="1:5" x14ac:dyDescent="0.25">
      <c r="A24" s="1">
        <v>43868</v>
      </c>
      <c r="B24" t="s">
        <v>39</v>
      </c>
      <c r="C24" t="s">
        <v>22</v>
      </c>
      <c r="D24">
        <v>1372.38</v>
      </c>
      <c r="E24" t="s">
        <v>7</v>
      </c>
    </row>
    <row r="25" spans="1:5" x14ac:dyDescent="0.25">
      <c r="A25" s="1">
        <v>43869</v>
      </c>
      <c r="B25" t="s">
        <v>40</v>
      </c>
      <c r="C25" t="s">
        <v>6</v>
      </c>
      <c r="D25">
        <v>465.81</v>
      </c>
      <c r="E25" t="s">
        <v>7</v>
      </c>
    </row>
    <row r="26" spans="1:5" x14ac:dyDescent="0.25">
      <c r="A26" s="1">
        <v>43869</v>
      </c>
      <c r="B26" t="s">
        <v>41</v>
      </c>
      <c r="C26" t="s">
        <v>20</v>
      </c>
      <c r="D26">
        <v>3786</v>
      </c>
      <c r="E26" t="s">
        <v>14</v>
      </c>
    </row>
    <row r="27" spans="1:5" x14ac:dyDescent="0.25">
      <c r="A27" s="1">
        <v>43870</v>
      </c>
      <c r="B27" t="s">
        <v>42</v>
      </c>
      <c r="C27" t="s">
        <v>22</v>
      </c>
      <c r="D27">
        <v>1827.14</v>
      </c>
      <c r="E27" t="s">
        <v>7</v>
      </c>
    </row>
    <row r="28" spans="1:5" x14ac:dyDescent="0.25">
      <c r="A28" s="1">
        <v>43872</v>
      </c>
      <c r="B28" t="s">
        <v>43</v>
      </c>
      <c r="C28" t="s">
        <v>25</v>
      </c>
      <c r="D28">
        <v>433.13</v>
      </c>
      <c r="E28" t="s">
        <v>7</v>
      </c>
    </row>
    <row r="29" spans="1:5" x14ac:dyDescent="0.25">
      <c r="A29" s="1">
        <v>43874</v>
      </c>
      <c r="B29" t="s">
        <v>44</v>
      </c>
      <c r="C29" t="s">
        <v>27</v>
      </c>
      <c r="D29">
        <v>294.31</v>
      </c>
      <c r="E29" t="s">
        <v>7</v>
      </c>
    </row>
    <row r="30" spans="1:5" x14ac:dyDescent="0.25">
      <c r="A30" s="1">
        <v>43876</v>
      </c>
      <c r="B30" t="s">
        <v>45</v>
      </c>
      <c r="C30" t="s">
        <v>20</v>
      </c>
      <c r="D30">
        <v>4009</v>
      </c>
      <c r="E30" t="s">
        <v>14</v>
      </c>
    </row>
    <row r="31" spans="1:5" x14ac:dyDescent="0.25">
      <c r="A31" s="1">
        <v>43877</v>
      </c>
      <c r="B31" t="s">
        <v>46</v>
      </c>
      <c r="C31" t="s">
        <v>17</v>
      </c>
      <c r="D31">
        <v>730.37</v>
      </c>
      <c r="E31" t="s">
        <v>7</v>
      </c>
    </row>
    <row r="32" spans="1:5" x14ac:dyDescent="0.25">
      <c r="A32" s="1">
        <v>43877</v>
      </c>
      <c r="B32" t="s">
        <v>47</v>
      </c>
      <c r="C32" t="s">
        <v>9</v>
      </c>
      <c r="D32">
        <v>1023.96</v>
      </c>
      <c r="E32" t="s">
        <v>7</v>
      </c>
    </row>
    <row r="33" spans="1:5" x14ac:dyDescent="0.25">
      <c r="A33" s="1">
        <v>43879</v>
      </c>
      <c r="B33" t="s">
        <v>48</v>
      </c>
      <c r="C33" t="s">
        <v>13</v>
      </c>
      <c r="D33">
        <v>1398</v>
      </c>
      <c r="E33" t="s">
        <v>14</v>
      </c>
    </row>
    <row r="34" spans="1:5" x14ac:dyDescent="0.25">
      <c r="A34" s="1">
        <v>43880</v>
      </c>
      <c r="B34" t="s">
        <v>49</v>
      </c>
      <c r="C34" t="s">
        <v>13</v>
      </c>
      <c r="D34">
        <v>3958</v>
      </c>
      <c r="E34" t="s">
        <v>14</v>
      </c>
    </row>
    <row r="35" spans="1:5" x14ac:dyDescent="0.25">
      <c r="A35" s="1">
        <v>43881</v>
      </c>
      <c r="B35" t="s">
        <v>50</v>
      </c>
      <c r="C35" t="s">
        <v>17</v>
      </c>
      <c r="D35">
        <v>769.42</v>
      </c>
      <c r="E35" t="s">
        <v>7</v>
      </c>
    </row>
    <row r="36" spans="1:5" x14ac:dyDescent="0.25">
      <c r="A36" s="1">
        <v>43887</v>
      </c>
      <c r="B36" t="s">
        <v>51</v>
      </c>
      <c r="C36" t="s">
        <v>35</v>
      </c>
      <c r="D36">
        <v>1942.45</v>
      </c>
      <c r="E36" t="s">
        <v>7</v>
      </c>
    </row>
    <row r="37" spans="1:5" x14ac:dyDescent="0.25">
      <c r="A37" s="1">
        <v>43888</v>
      </c>
      <c r="B37" t="s">
        <v>52</v>
      </c>
      <c r="C37" t="s">
        <v>6</v>
      </c>
      <c r="D37">
        <v>1363.76</v>
      </c>
      <c r="E37" t="s">
        <v>7</v>
      </c>
    </row>
    <row r="38" spans="1:5" x14ac:dyDescent="0.25">
      <c r="A38" s="1">
        <v>43889</v>
      </c>
      <c r="B38" t="s">
        <v>53</v>
      </c>
      <c r="C38" t="s">
        <v>20</v>
      </c>
      <c r="D38">
        <v>3286</v>
      </c>
      <c r="E38" t="s">
        <v>14</v>
      </c>
    </row>
    <row r="39" spans="1:5" x14ac:dyDescent="0.25">
      <c r="A39" s="1">
        <v>43889</v>
      </c>
      <c r="B39" t="s">
        <v>54</v>
      </c>
      <c r="C39" t="s">
        <v>20</v>
      </c>
      <c r="D39">
        <v>1795</v>
      </c>
      <c r="E39" t="s">
        <v>14</v>
      </c>
    </row>
    <row r="40" spans="1:5" x14ac:dyDescent="0.25">
      <c r="A40" s="1">
        <v>43890</v>
      </c>
      <c r="B40" t="s">
        <v>55</v>
      </c>
      <c r="C40" t="s">
        <v>35</v>
      </c>
      <c r="D40">
        <v>1944.06</v>
      </c>
      <c r="E40" t="s">
        <v>7</v>
      </c>
    </row>
    <row r="41" spans="1:5" x14ac:dyDescent="0.25">
      <c r="A41" s="1">
        <v>43893</v>
      </c>
      <c r="B41" t="s">
        <v>56</v>
      </c>
      <c r="C41" t="s">
        <v>11</v>
      </c>
      <c r="D41">
        <v>1742.33</v>
      </c>
      <c r="E41" t="s">
        <v>7</v>
      </c>
    </row>
    <row r="42" spans="1:5" x14ac:dyDescent="0.25">
      <c r="A42" s="1">
        <v>43894</v>
      </c>
      <c r="B42" t="s">
        <v>57</v>
      </c>
      <c r="C42" t="s">
        <v>22</v>
      </c>
      <c r="D42">
        <v>314.14999999999998</v>
      </c>
      <c r="E42" t="s">
        <v>7</v>
      </c>
    </row>
    <row r="43" spans="1:5" x14ac:dyDescent="0.25">
      <c r="A43" s="1">
        <v>43894</v>
      </c>
      <c r="B43" t="s">
        <v>58</v>
      </c>
      <c r="C43" t="s">
        <v>6</v>
      </c>
      <c r="D43">
        <v>1201.9000000000001</v>
      </c>
      <c r="E43" t="s">
        <v>7</v>
      </c>
    </row>
    <row r="44" spans="1:5" x14ac:dyDescent="0.25">
      <c r="A44" s="1">
        <v>43899</v>
      </c>
      <c r="B44" t="s">
        <v>59</v>
      </c>
      <c r="C44" t="s">
        <v>11</v>
      </c>
      <c r="D44">
        <v>1858.91</v>
      </c>
      <c r="E44" t="s">
        <v>7</v>
      </c>
    </row>
    <row r="45" spans="1:5" x14ac:dyDescent="0.25">
      <c r="A45" s="1">
        <v>43899</v>
      </c>
      <c r="B45" t="s">
        <v>60</v>
      </c>
      <c r="C45" t="s">
        <v>35</v>
      </c>
      <c r="D45">
        <v>486.51</v>
      </c>
      <c r="E45" t="s">
        <v>7</v>
      </c>
    </row>
    <row r="46" spans="1:5" x14ac:dyDescent="0.25">
      <c r="A46" s="1">
        <v>43901</v>
      </c>
      <c r="B46" t="s">
        <v>61</v>
      </c>
      <c r="C46" t="s">
        <v>11</v>
      </c>
      <c r="D46">
        <v>180.45</v>
      </c>
      <c r="E46" t="s">
        <v>7</v>
      </c>
    </row>
    <row r="47" spans="1:5" x14ac:dyDescent="0.25">
      <c r="A47" s="1">
        <v>43901</v>
      </c>
      <c r="B47" t="s">
        <v>62</v>
      </c>
      <c r="C47" t="s">
        <v>11</v>
      </c>
      <c r="D47">
        <v>1956.19</v>
      </c>
      <c r="E47" t="s">
        <v>7</v>
      </c>
    </row>
    <row r="48" spans="1:5" x14ac:dyDescent="0.25">
      <c r="A48" s="1">
        <v>43902</v>
      </c>
      <c r="B48" t="s">
        <v>63</v>
      </c>
      <c r="C48" t="s">
        <v>9</v>
      </c>
      <c r="D48">
        <v>265.5</v>
      </c>
      <c r="E48" t="s">
        <v>7</v>
      </c>
    </row>
    <row r="49" spans="1:5" x14ac:dyDescent="0.25">
      <c r="A49" s="1">
        <v>43902</v>
      </c>
      <c r="B49" t="s">
        <v>64</v>
      </c>
      <c r="C49" t="s">
        <v>9</v>
      </c>
      <c r="D49">
        <v>537.46</v>
      </c>
      <c r="E49" t="s">
        <v>7</v>
      </c>
    </row>
    <row r="50" spans="1:5" x14ac:dyDescent="0.25">
      <c r="A50" s="1">
        <v>43904</v>
      </c>
      <c r="B50" t="s">
        <v>65</v>
      </c>
      <c r="C50" t="s">
        <v>17</v>
      </c>
      <c r="D50">
        <v>1929.08</v>
      </c>
      <c r="E50" t="s">
        <v>7</v>
      </c>
    </row>
    <row r="51" spans="1:5" x14ac:dyDescent="0.25">
      <c r="A51" s="1">
        <v>43905</v>
      </c>
      <c r="B51" t="s">
        <v>66</v>
      </c>
      <c r="C51" t="s">
        <v>22</v>
      </c>
      <c r="D51">
        <v>1428.77</v>
      </c>
      <c r="E51" t="s">
        <v>7</v>
      </c>
    </row>
    <row r="52" spans="1:5" x14ac:dyDescent="0.25">
      <c r="A52" s="1">
        <v>43908</v>
      </c>
      <c r="B52" t="s">
        <v>67</v>
      </c>
      <c r="C52" t="s">
        <v>25</v>
      </c>
      <c r="D52">
        <v>881.82</v>
      </c>
      <c r="E52" t="s">
        <v>7</v>
      </c>
    </row>
    <row r="53" spans="1:5" x14ac:dyDescent="0.25">
      <c r="A53" s="1">
        <v>43911</v>
      </c>
      <c r="B53" t="s">
        <v>68</v>
      </c>
      <c r="C53" t="s">
        <v>11</v>
      </c>
      <c r="D53">
        <v>503.33</v>
      </c>
      <c r="E53" t="s">
        <v>7</v>
      </c>
    </row>
    <row r="54" spans="1:5" x14ac:dyDescent="0.25">
      <c r="A54" s="1">
        <v>43913</v>
      </c>
      <c r="B54" t="s">
        <v>69</v>
      </c>
      <c r="C54" t="s">
        <v>13</v>
      </c>
      <c r="D54">
        <v>2385</v>
      </c>
      <c r="E54" t="s">
        <v>14</v>
      </c>
    </row>
    <row r="55" spans="1:5" x14ac:dyDescent="0.25">
      <c r="A55" s="1">
        <v>43913</v>
      </c>
      <c r="B55" t="s">
        <v>70</v>
      </c>
      <c r="C55" t="s">
        <v>6</v>
      </c>
      <c r="D55">
        <v>151.28</v>
      </c>
      <c r="E55" t="s">
        <v>7</v>
      </c>
    </row>
    <row r="56" spans="1:5" x14ac:dyDescent="0.25">
      <c r="A56" s="1">
        <v>43914</v>
      </c>
      <c r="B56" t="s">
        <v>71</v>
      </c>
      <c r="C56" t="s">
        <v>22</v>
      </c>
      <c r="D56">
        <v>144.13</v>
      </c>
      <c r="E56" t="s">
        <v>7</v>
      </c>
    </row>
    <row r="57" spans="1:5" x14ac:dyDescent="0.25">
      <c r="A57" s="1">
        <v>43918</v>
      </c>
      <c r="B57" t="s">
        <v>72</v>
      </c>
      <c r="C57" t="s">
        <v>20</v>
      </c>
      <c r="D57">
        <v>1080</v>
      </c>
      <c r="E57" t="s">
        <v>14</v>
      </c>
    </row>
    <row r="58" spans="1:5" x14ac:dyDescent="0.25">
      <c r="A58" s="1">
        <v>43922</v>
      </c>
      <c r="B58" t="s">
        <v>73</v>
      </c>
      <c r="C58" t="s">
        <v>35</v>
      </c>
      <c r="D58">
        <v>1341.27</v>
      </c>
      <c r="E58" t="s">
        <v>7</v>
      </c>
    </row>
    <row r="59" spans="1:5" x14ac:dyDescent="0.25">
      <c r="A59" s="1">
        <v>43926</v>
      </c>
      <c r="B59" t="s">
        <v>74</v>
      </c>
      <c r="C59" t="s">
        <v>9</v>
      </c>
      <c r="D59">
        <v>1449.47</v>
      </c>
      <c r="E59" t="s">
        <v>7</v>
      </c>
    </row>
    <row r="60" spans="1:5" x14ac:dyDescent="0.25">
      <c r="A60" s="1">
        <v>43927</v>
      </c>
      <c r="B60" t="s">
        <v>75</v>
      </c>
      <c r="C60" t="s">
        <v>27</v>
      </c>
      <c r="D60">
        <v>493.56</v>
      </c>
      <c r="E60" t="s">
        <v>7</v>
      </c>
    </row>
    <row r="61" spans="1:5" x14ac:dyDescent="0.25">
      <c r="A61" s="1">
        <v>43927</v>
      </c>
      <c r="B61" t="s">
        <v>76</v>
      </c>
      <c r="C61" t="s">
        <v>17</v>
      </c>
      <c r="D61">
        <v>388.92</v>
      </c>
      <c r="E61" t="s">
        <v>7</v>
      </c>
    </row>
    <row r="62" spans="1:5" x14ac:dyDescent="0.25">
      <c r="A62" s="1">
        <v>43931</v>
      </c>
      <c r="B62" t="s">
        <v>77</v>
      </c>
      <c r="C62" t="s">
        <v>20</v>
      </c>
      <c r="D62">
        <v>3402</v>
      </c>
      <c r="E62" t="s">
        <v>14</v>
      </c>
    </row>
    <row r="63" spans="1:5" x14ac:dyDescent="0.25">
      <c r="A63" s="1">
        <v>43938</v>
      </c>
      <c r="B63" t="s">
        <v>78</v>
      </c>
      <c r="C63" t="s">
        <v>27</v>
      </c>
      <c r="D63">
        <v>1729.04</v>
      </c>
      <c r="E63" t="s">
        <v>7</v>
      </c>
    </row>
    <row r="64" spans="1:5" x14ac:dyDescent="0.25">
      <c r="A64" s="1">
        <v>43938</v>
      </c>
      <c r="B64" t="s">
        <v>79</v>
      </c>
      <c r="C64" t="s">
        <v>13</v>
      </c>
      <c r="D64">
        <v>996</v>
      </c>
      <c r="E64" t="s">
        <v>14</v>
      </c>
    </row>
    <row r="65" spans="1:5" x14ac:dyDescent="0.25">
      <c r="A65" s="1">
        <v>43939</v>
      </c>
      <c r="B65" t="s">
        <v>80</v>
      </c>
      <c r="C65" t="s">
        <v>25</v>
      </c>
      <c r="D65">
        <v>1603.18</v>
      </c>
      <c r="E65" t="s">
        <v>7</v>
      </c>
    </row>
    <row r="66" spans="1:5" x14ac:dyDescent="0.25">
      <c r="A66" s="1">
        <v>43943</v>
      </c>
      <c r="B66" t="s">
        <v>81</v>
      </c>
      <c r="C66" t="s">
        <v>13</v>
      </c>
      <c r="D66">
        <v>2058</v>
      </c>
      <c r="E66" t="s">
        <v>14</v>
      </c>
    </row>
    <row r="67" spans="1:5" x14ac:dyDescent="0.25">
      <c r="A67" s="1">
        <v>43944</v>
      </c>
      <c r="B67" t="s">
        <v>82</v>
      </c>
      <c r="C67" t="s">
        <v>9</v>
      </c>
      <c r="D67">
        <v>849.54</v>
      </c>
      <c r="E67" t="s">
        <v>7</v>
      </c>
    </row>
    <row r="68" spans="1:5" x14ac:dyDescent="0.25">
      <c r="A68" s="1">
        <v>43946</v>
      </c>
      <c r="B68" t="s">
        <v>83</v>
      </c>
      <c r="C68" t="s">
        <v>22</v>
      </c>
      <c r="D68">
        <v>1750.23</v>
      </c>
      <c r="E68" t="s">
        <v>7</v>
      </c>
    </row>
    <row r="69" spans="1:5" x14ac:dyDescent="0.25">
      <c r="A69" s="1">
        <v>43947</v>
      </c>
      <c r="B69" t="s">
        <v>84</v>
      </c>
      <c r="C69" t="s">
        <v>13</v>
      </c>
      <c r="D69">
        <v>914</v>
      </c>
      <c r="E69" t="s">
        <v>14</v>
      </c>
    </row>
    <row r="70" spans="1:5" x14ac:dyDescent="0.25">
      <c r="A70" s="1">
        <v>43947</v>
      </c>
      <c r="B70" t="s">
        <v>85</v>
      </c>
      <c r="C70" t="s">
        <v>6</v>
      </c>
      <c r="D70">
        <v>1938.3</v>
      </c>
      <c r="E70" t="s">
        <v>7</v>
      </c>
    </row>
    <row r="71" spans="1:5" x14ac:dyDescent="0.25">
      <c r="A71" s="1">
        <v>43948</v>
      </c>
      <c r="B71" t="s">
        <v>86</v>
      </c>
      <c r="C71" t="s">
        <v>22</v>
      </c>
      <c r="D71">
        <v>340.96</v>
      </c>
      <c r="E71" t="s">
        <v>7</v>
      </c>
    </row>
    <row r="72" spans="1:5" x14ac:dyDescent="0.25">
      <c r="A72" s="1">
        <v>43948</v>
      </c>
      <c r="B72" t="s">
        <v>87</v>
      </c>
      <c r="C72" t="s">
        <v>22</v>
      </c>
      <c r="D72">
        <v>1730.65</v>
      </c>
      <c r="E72" t="s">
        <v>7</v>
      </c>
    </row>
    <row r="73" spans="1:5" x14ac:dyDescent="0.25">
      <c r="A73" s="1">
        <v>43950</v>
      </c>
      <c r="B73" t="s">
        <v>88</v>
      </c>
      <c r="C73" t="s">
        <v>9</v>
      </c>
      <c r="D73">
        <v>764.16</v>
      </c>
      <c r="E73" t="s">
        <v>7</v>
      </c>
    </row>
    <row r="74" spans="1:5" x14ac:dyDescent="0.25">
      <c r="A74" s="1">
        <v>43951</v>
      </c>
      <c r="B74" t="s">
        <v>89</v>
      </c>
      <c r="C74" t="s">
        <v>35</v>
      </c>
      <c r="D74">
        <v>1853.77</v>
      </c>
      <c r="E74" t="s">
        <v>7</v>
      </c>
    </row>
    <row r="75" spans="1:5" x14ac:dyDescent="0.25">
      <c r="A75" s="1">
        <v>43952</v>
      </c>
      <c r="B75" t="s">
        <v>90</v>
      </c>
      <c r="C75" t="s">
        <v>35</v>
      </c>
      <c r="D75">
        <v>851.78</v>
      </c>
      <c r="E75" t="s">
        <v>7</v>
      </c>
    </row>
    <row r="76" spans="1:5" x14ac:dyDescent="0.25">
      <c r="A76" s="1">
        <v>43954</v>
      </c>
      <c r="B76" t="s">
        <v>91</v>
      </c>
      <c r="C76" t="s">
        <v>27</v>
      </c>
      <c r="D76">
        <v>318.05</v>
      </c>
      <c r="E76" t="s">
        <v>7</v>
      </c>
    </row>
    <row r="77" spans="1:5" x14ac:dyDescent="0.25">
      <c r="A77" s="1">
        <v>43954</v>
      </c>
      <c r="B77" t="s">
        <v>92</v>
      </c>
      <c r="C77" t="s">
        <v>6</v>
      </c>
      <c r="D77">
        <v>1162.57</v>
      </c>
      <c r="E77" t="s">
        <v>7</v>
      </c>
    </row>
    <row r="78" spans="1:5" x14ac:dyDescent="0.25">
      <c r="A78" s="1">
        <v>43956</v>
      </c>
      <c r="B78" t="s">
        <v>93</v>
      </c>
      <c r="C78" t="s">
        <v>25</v>
      </c>
      <c r="D78">
        <v>123.76</v>
      </c>
      <c r="E78" t="s">
        <v>7</v>
      </c>
    </row>
    <row r="79" spans="1:5" x14ac:dyDescent="0.25">
      <c r="A79" s="1">
        <v>43957</v>
      </c>
      <c r="B79" t="s">
        <v>94</v>
      </c>
      <c r="C79" t="s">
        <v>9</v>
      </c>
      <c r="D79">
        <v>123.19</v>
      </c>
      <c r="E79" t="s">
        <v>7</v>
      </c>
    </row>
    <row r="80" spans="1:5" x14ac:dyDescent="0.25">
      <c r="A80" s="1">
        <v>43957</v>
      </c>
      <c r="B80" t="s">
        <v>95</v>
      </c>
      <c r="C80" t="s">
        <v>9</v>
      </c>
      <c r="D80">
        <v>146.36000000000001</v>
      </c>
      <c r="E80" t="s">
        <v>7</v>
      </c>
    </row>
    <row r="81" spans="1:5" x14ac:dyDescent="0.25">
      <c r="A81" s="1">
        <v>43958</v>
      </c>
      <c r="B81" t="s">
        <v>96</v>
      </c>
      <c r="C81" t="s">
        <v>13</v>
      </c>
      <c r="D81">
        <v>3807</v>
      </c>
      <c r="E81" t="s">
        <v>14</v>
      </c>
    </row>
    <row r="82" spans="1:5" x14ac:dyDescent="0.25">
      <c r="A82" s="1">
        <v>43962</v>
      </c>
      <c r="B82" t="s">
        <v>97</v>
      </c>
      <c r="C82" t="s">
        <v>13</v>
      </c>
      <c r="D82">
        <v>825</v>
      </c>
      <c r="E82" t="s">
        <v>14</v>
      </c>
    </row>
    <row r="83" spans="1:5" x14ac:dyDescent="0.25">
      <c r="A83" s="1">
        <v>43963</v>
      </c>
      <c r="B83" t="s">
        <v>98</v>
      </c>
      <c r="C83" t="s">
        <v>17</v>
      </c>
      <c r="D83">
        <v>1318.17</v>
      </c>
      <c r="E83" t="s">
        <v>7</v>
      </c>
    </row>
    <row r="84" spans="1:5" x14ac:dyDescent="0.25">
      <c r="A84" s="1">
        <v>43964</v>
      </c>
      <c r="B84" t="s">
        <v>99</v>
      </c>
      <c r="C84" t="s">
        <v>25</v>
      </c>
      <c r="D84">
        <v>1870.07</v>
      </c>
      <c r="E84" t="s">
        <v>7</v>
      </c>
    </row>
    <row r="85" spans="1:5" x14ac:dyDescent="0.25">
      <c r="A85" s="1">
        <v>43965</v>
      </c>
      <c r="B85" t="s">
        <v>100</v>
      </c>
      <c r="C85" t="s">
        <v>25</v>
      </c>
      <c r="D85">
        <v>484.99</v>
      </c>
      <c r="E85" t="s">
        <v>7</v>
      </c>
    </row>
    <row r="86" spans="1:5" x14ac:dyDescent="0.25">
      <c r="A86" s="1">
        <v>43966</v>
      </c>
      <c r="B86" t="s">
        <v>101</v>
      </c>
      <c r="C86" t="s">
        <v>35</v>
      </c>
      <c r="D86">
        <v>919.88</v>
      </c>
      <c r="E86" t="s">
        <v>7</v>
      </c>
    </row>
    <row r="87" spans="1:5" x14ac:dyDescent="0.25">
      <c r="A87" s="1">
        <v>43967</v>
      </c>
      <c r="B87" t="s">
        <v>102</v>
      </c>
      <c r="C87" t="s">
        <v>11</v>
      </c>
      <c r="D87">
        <v>28.54</v>
      </c>
      <c r="E87" t="s">
        <v>7</v>
      </c>
    </row>
    <row r="88" spans="1:5" x14ac:dyDescent="0.25">
      <c r="A88" s="1">
        <v>43968</v>
      </c>
      <c r="B88" t="s">
        <v>103</v>
      </c>
      <c r="C88" t="s">
        <v>11</v>
      </c>
      <c r="D88">
        <v>155.79</v>
      </c>
      <c r="E88" t="s">
        <v>7</v>
      </c>
    </row>
    <row r="89" spans="1:5" x14ac:dyDescent="0.25">
      <c r="A89" s="1">
        <v>43970</v>
      </c>
      <c r="B89" t="s">
        <v>104</v>
      </c>
      <c r="C89" t="s">
        <v>35</v>
      </c>
      <c r="D89">
        <v>273.58999999999997</v>
      </c>
      <c r="E89" t="s">
        <v>7</v>
      </c>
    </row>
    <row r="90" spans="1:5" x14ac:dyDescent="0.25">
      <c r="A90" s="1">
        <v>43971</v>
      </c>
      <c r="B90" t="s">
        <v>105</v>
      </c>
      <c r="C90" t="s">
        <v>11</v>
      </c>
      <c r="D90">
        <v>1759.75</v>
      </c>
      <c r="E90" t="s">
        <v>7</v>
      </c>
    </row>
    <row r="91" spans="1:5" x14ac:dyDescent="0.25">
      <c r="A91" s="1">
        <v>43972</v>
      </c>
      <c r="B91" t="s">
        <v>106</v>
      </c>
      <c r="C91" t="s">
        <v>9</v>
      </c>
      <c r="D91">
        <v>881.99</v>
      </c>
      <c r="E91" t="s">
        <v>7</v>
      </c>
    </row>
    <row r="92" spans="1:5" x14ac:dyDescent="0.25">
      <c r="A92" s="1">
        <v>43976</v>
      </c>
      <c r="B92" t="s">
        <v>107</v>
      </c>
      <c r="C92" t="s">
        <v>35</v>
      </c>
      <c r="D92">
        <v>1227.24</v>
      </c>
      <c r="E92" t="s">
        <v>7</v>
      </c>
    </row>
    <row r="93" spans="1:5" x14ac:dyDescent="0.25">
      <c r="A93" s="1">
        <v>43978</v>
      </c>
      <c r="B93" t="s">
        <v>108</v>
      </c>
      <c r="C93" t="s">
        <v>6</v>
      </c>
      <c r="D93">
        <v>1339.05</v>
      </c>
      <c r="E93" t="s">
        <v>7</v>
      </c>
    </row>
    <row r="94" spans="1:5" x14ac:dyDescent="0.25">
      <c r="A94" s="1">
        <v>43979</v>
      </c>
      <c r="B94" t="s">
        <v>109</v>
      </c>
      <c r="C94" t="s">
        <v>11</v>
      </c>
      <c r="D94">
        <v>1878.47</v>
      </c>
      <c r="E94" t="s">
        <v>7</v>
      </c>
    </row>
    <row r="95" spans="1:5" x14ac:dyDescent="0.25">
      <c r="A95" s="1">
        <v>43980</v>
      </c>
      <c r="B95" t="s">
        <v>110</v>
      </c>
      <c r="C95" t="s">
        <v>13</v>
      </c>
      <c r="D95">
        <v>1376</v>
      </c>
      <c r="E95" t="s">
        <v>14</v>
      </c>
    </row>
    <row r="96" spans="1:5" x14ac:dyDescent="0.25">
      <c r="A96" s="1">
        <v>43981</v>
      </c>
      <c r="B96" t="s">
        <v>111</v>
      </c>
      <c r="C96" t="s">
        <v>9</v>
      </c>
      <c r="D96">
        <v>551.97</v>
      </c>
      <c r="E96" t="s">
        <v>7</v>
      </c>
    </row>
    <row r="97" spans="1:5" x14ac:dyDescent="0.25">
      <c r="A97" s="1">
        <v>43982</v>
      </c>
      <c r="B97" t="s">
        <v>112</v>
      </c>
      <c r="C97" t="s">
        <v>25</v>
      </c>
      <c r="D97">
        <v>415.16</v>
      </c>
      <c r="E97" t="s">
        <v>7</v>
      </c>
    </row>
    <row r="98" spans="1:5" x14ac:dyDescent="0.25">
      <c r="A98" s="1">
        <v>43982</v>
      </c>
      <c r="B98" t="s">
        <v>113</v>
      </c>
      <c r="C98" t="s">
        <v>35</v>
      </c>
      <c r="D98">
        <v>1015.76</v>
      </c>
      <c r="E98" t="s">
        <v>7</v>
      </c>
    </row>
    <row r="99" spans="1:5" x14ac:dyDescent="0.25">
      <c r="A99" s="1">
        <v>43983</v>
      </c>
      <c r="B99" t="s">
        <v>114</v>
      </c>
      <c r="C99" t="s">
        <v>6</v>
      </c>
      <c r="D99">
        <v>193.67</v>
      </c>
      <c r="E99" t="s">
        <v>7</v>
      </c>
    </row>
    <row r="100" spans="1:5" x14ac:dyDescent="0.25">
      <c r="A100" s="1">
        <v>43984</v>
      </c>
      <c r="B100" t="s">
        <v>115</v>
      </c>
      <c r="C100" t="s">
        <v>35</v>
      </c>
      <c r="D100">
        <v>97.73</v>
      </c>
      <c r="E100" t="s">
        <v>7</v>
      </c>
    </row>
    <row r="101" spans="1:5" x14ac:dyDescent="0.25">
      <c r="A101" s="1">
        <v>43987</v>
      </c>
      <c r="B101" t="s">
        <v>116</v>
      </c>
      <c r="C101" t="s">
        <v>9</v>
      </c>
      <c r="D101">
        <v>1277.8599999999999</v>
      </c>
      <c r="E101" t="s">
        <v>7</v>
      </c>
    </row>
    <row r="102" spans="1:5" x14ac:dyDescent="0.25">
      <c r="A102" s="1">
        <v>43988</v>
      </c>
      <c r="B102" t="s">
        <v>117</v>
      </c>
      <c r="C102" t="s">
        <v>27</v>
      </c>
      <c r="D102">
        <v>1107.8399999999999</v>
      </c>
      <c r="E102" t="s">
        <v>7</v>
      </c>
    </row>
    <row r="103" spans="1:5" x14ac:dyDescent="0.25">
      <c r="A103" s="1">
        <v>43989</v>
      </c>
      <c r="B103" t="s">
        <v>118</v>
      </c>
      <c r="C103" t="s">
        <v>6</v>
      </c>
      <c r="D103">
        <v>232.63</v>
      </c>
      <c r="E103" t="s">
        <v>7</v>
      </c>
    </row>
    <row r="104" spans="1:5" x14ac:dyDescent="0.25">
      <c r="A104" s="1">
        <v>43990</v>
      </c>
      <c r="B104" t="s">
        <v>119</v>
      </c>
      <c r="C104" t="s">
        <v>9</v>
      </c>
      <c r="D104">
        <v>1095.72</v>
      </c>
      <c r="E104" t="s">
        <v>7</v>
      </c>
    </row>
    <row r="105" spans="1:5" x14ac:dyDescent="0.25">
      <c r="A105" s="1">
        <v>43991</v>
      </c>
      <c r="B105" t="s">
        <v>120</v>
      </c>
      <c r="C105" t="s">
        <v>9</v>
      </c>
      <c r="D105">
        <v>865.28</v>
      </c>
      <c r="E105" t="s">
        <v>7</v>
      </c>
    </row>
    <row r="106" spans="1:5" x14ac:dyDescent="0.25">
      <c r="A106" s="1">
        <v>43991</v>
      </c>
      <c r="B106" t="s">
        <v>121</v>
      </c>
      <c r="C106" t="s">
        <v>20</v>
      </c>
      <c r="D106">
        <v>826</v>
      </c>
      <c r="E106" t="s">
        <v>14</v>
      </c>
    </row>
    <row r="107" spans="1:5" x14ac:dyDescent="0.25">
      <c r="A107" s="1">
        <v>43992</v>
      </c>
      <c r="B107" t="s">
        <v>122</v>
      </c>
      <c r="C107" t="s">
        <v>22</v>
      </c>
      <c r="D107">
        <v>1367.31</v>
      </c>
      <c r="E107" t="s">
        <v>7</v>
      </c>
    </row>
    <row r="108" spans="1:5" x14ac:dyDescent="0.25">
      <c r="A108" s="1">
        <v>43992</v>
      </c>
      <c r="B108" t="s">
        <v>123</v>
      </c>
      <c r="C108" t="s">
        <v>25</v>
      </c>
      <c r="D108">
        <v>1562.43</v>
      </c>
      <c r="E108" t="s">
        <v>7</v>
      </c>
    </row>
    <row r="109" spans="1:5" x14ac:dyDescent="0.25">
      <c r="A109" s="1">
        <v>43993</v>
      </c>
      <c r="B109" t="s">
        <v>124</v>
      </c>
      <c r="C109" t="s">
        <v>17</v>
      </c>
      <c r="D109">
        <v>1947.94</v>
      </c>
      <c r="E109" t="s">
        <v>7</v>
      </c>
    </row>
    <row r="110" spans="1:5" x14ac:dyDescent="0.25">
      <c r="A110" s="1">
        <v>43993</v>
      </c>
      <c r="B110" t="s">
        <v>125</v>
      </c>
      <c r="C110" t="s">
        <v>22</v>
      </c>
      <c r="D110">
        <v>1730.57</v>
      </c>
      <c r="E110" t="s">
        <v>7</v>
      </c>
    </row>
    <row r="111" spans="1:5" x14ac:dyDescent="0.25">
      <c r="A111" s="1">
        <v>43994</v>
      </c>
      <c r="B111" t="s">
        <v>126</v>
      </c>
      <c r="C111" t="s">
        <v>9</v>
      </c>
      <c r="D111">
        <v>1764.02</v>
      </c>
      <c r="E111" t="s">
        <v>7</v>
      </c>
    </row>
    <row r="112" spans="1:5" x14ac:dyDescent="0.25">
      <c r="A112" s="1">
        <v>43996</v>
      </c>
      <c r="B112" t="s">
        <v>127</v>
      </c>
      <c r="C112" t="s">
        <v>20</v>
      </c>
      <c r="D112">
        <v>3872</v>
      </c>
      <c r="E112" t="s">
        <v>14</v>
      </c>
    </row>
    <row r="113" spans="1:5" x14ac:dyDescent="0.25">
      <c r="A113" s="1">
        <v>43997</v>
      </c>
      <c r="B113" t="s">
        <v>128</v>
      </c>
      <c r="C113" t="s">
        <v>22</v>
      </c>
      <c r="D113">
        <v>540.94000000000005</v>
      </c>
      <c r="E113" t="s">
        <v>7</v>
      </c>
    </row>
    <row r="114" spans="1:5" x14ac:dyDescent="0.25">
      <c r="A114" s="1">
        <v>44000</v>
      </c>
      <c r="B114" t="s">
        <v>129</v>
      </c>
      <c r="C114" t="s">
        <v>11</v>
      </c>
      <c r="D114">
        <v>771.26</v>
      </c>
      <c r="E114" t="s">
        <v>7</v>
      </c>
    </row>
    <row r="115" spans="1:5" x14ac:dyDescent="0.25">
      <c r="A115" s="1">
        <v>44000</v>
      </c>
      <c r="B115" t="s">
        <v>130</v>
      </c>
      <c r="C115" t="s">
        <v>20</v>
      </c>
      <c r="D115">
        <v>2322</v>
      </c>
      <c r="E115" t="s">
        <v>14</v>
      </c>
    </row>
    <row r="116" spans="1:5" x14ac:dyDescent="0.25">
      <c r="A116" s="1">
        <v>44000</v>
      </c>
      <c r="B116" t="s">
        <v>131</v>
      </c>
      <c r="C116" t="s">
        <v>20</v>
      </c>
      <c r="D116">
        <v>3364</v>
      </c>
      <c r="E116" t="s">
        <v>14</v>
      </c>
    </row>
    <row r="117" spans="1:5" x14ac:dyDescent="0.25">
      <c r="A117" s="1">
        <v>44001</v>
      </c>
      <c r="B117" t="s">
        <v>132</v>
      </c>
      <c r="C117" t="s">
        <v>22</v>
      </c>
      <c r="D117">
        <v>453.62</v>
      </c>
      <c r="E117" t="s">
        <v>7</v>
      </c>
    </row>
    <row r="118" spans="1:5" x14ac:dyDescent="0.25">
      <c r="A118" s="1">
        <v>44001</v>
      </c>
      <c r="B118" t="s">
        <v>133</v>
      </c>
      <c r="C118" t="s">
        <v>17</v>
      </c>
      <c r="D118">
        <v>663.24</v>
      </c>
      <c r="E118" t="s">
        <v>7</v>
      </c>
    </row>
    <row r="119" spans="1:5" x14ac:dyDescent="0.25">
      <c r="A119" s="1">
        <v>44003</v>
      </c>
      <c r="B119" t="s">
        <v>134</v>
      </c>
      <c r="C119" t="s">
        <v>35</v>
      </c>
      <c r="D119">
        <v>708.78</v>
      </c>
      <c r="E119" t="s">
        <v>7</v>
      </c>
    </row>
    <row r="120" spans="1:5" x14ac:dyDescent="0.25">
      <c r="A120" s="1">
        <v>44003</v>
      </c>
      <c r="B120" t="s">
        <v>135</v>
      </c>
      <c r="C120" t="s">
        <v>25</v>
      </c>
      <c r="D120">
        <v>1879.08</v>
      </c>
      <c r="E120" t="s">
        <v>7</v>
      </c>
    </row>
    <row r="121" spans="1:5" x14ac:dyDescent="0.25">
      <c r="A121" s="1">
        <v>44004</v>
      </c>
      <c r="B121" t="s">
        <v>136</v>
      </c>
      <c r="C121" t="s">
        <v>20</v>
      </c>
      <c r="D121">
        <v>1962</v>
      </c>
      <c r="E121" t="s">
        <v>14</v>
      </c>
    </row>
    <row r="122" spans="1:5" x14ac:dyDescent="0.25">
      <c r="A122" s="1">
        <v>44004</v>
      </c>
      <c r="B122" t="s">
        <v>137</v>
      </c>
      <c r="C122" t="s">
        <v>35</v>
      </c>
      <c r="D122">
        <v>86.13</v>
      </c>
      <c r="E122" t="s">
        <v>7</v>
      </c>
    </row>
    <row r="123" spans="1:5" x14ac:dyDescent="0.25">
      <c r="A123" s="1">
        <v>44006</v>
      </c>
      <c r="B123" t="s">
        <v>138</v>
      </c>
      <c r="C123" t="s">
        <v>25</v>
      </c>
      <c r="D123">
        <v>1459.8</v>
      </c>
      <c r="E123" t="s">
        <v>7</v>
      </c>
    </row>
    <row r="124" spans="1:5" x14ac:dyDescent="0.25">
      <c r="A124" s="1">
        <v>44012</v>
      </c>
      <c r="B124" t="s">
        <v>139</v>
      </c>
      <c r="C124" t="s">
        <v>11</v>
      </c>
      <c r="D124">
        <v>776.54</v>
      </c>
      <c r="E124" t="s">
        <v>7</v>
      </c>
    </row>
    <row r="125" spans="1:5" x14ac:dyDescent="0.25">
      <c r="A125" s="1">
        <v>44012</v>
      </c>
      <c r="B125" t="s">
        <v>140</v>
      </c>
      <c r="C125" t="s">
        <v>35</v>
      </c>
      <c r="D125">
        <v>98.33</v>
      </c>
      <c r="E125" t="s">
        <v>7</v>
      </c>
    </row>
    <row r="126" spans="1:5" x14ac:dyDescent="0.25">
      <c r="A126" s="1">
        <v>44014</v>
      </c>
      <c r="B126" t="s">
        <v>141</v>
      </c>
      <c r="C126" t="s">
        <v>22</v>
      </c>
      <c r="D126">
        <v>734.8</v>
      </c>
      <c r="E126" t="s">
        <v>7</v>
      </c>
    </row>
    <row r="127" spans="1:5" x14ac:dyDescent="0.25">
      <c r="A127" s="1">
        <v>44015</v>
      </c>
      <c r="B127" t="s">
        <v>142</v>
      </c>
      <c r="C127" t="s">
        <v>20</v>
      </c>
      <c r="D127">
        <v>3071</v>
      </c>
      <c r="E127" t="s">
        <v>14</v>
      </c>
    </row>
    <row r="128" spans="1:5" x14ac:dyDescent="0.25">
      <c r="A128" s="1">
        <v>44016</v>
      </c>
      <c r="B128" t="s">
        <v>143</v>
      </c>
      <c r="C128" t="s">
        <v>11</v>
      </c>
      <c r="D128">
        <v>1442.31</v>
      </c>
      <c r="E128" t="s">
        <v>7</v>
      </c>
    </row>
    <row r="129" spans="1:5" x14ac:dyDescent="0.25">
      <c r="A129" s="1">
        <v>44017</v>
      </c>
      <c r="B129" t="s">
        <v>144</v>
      </c>
      <c r="C129" t="s">
        <v>35</v>
      </c>
      <c r="D129">
        <v>1337.12</v>
      </c>
      <c r="E129" t="s">
        <v>7</v>
      </c>
    </row>
    <row r="130" spans="1:5" x14ac:dyDescent="0.25">
      <c r="A130" s="1">
        <v>44018</v>
      </c>
      <c r="B130" t="s">
        <v>145</v>
      </c>
      <c r="C130" t="s">
        <v>35</v>
      </c>
      <c r="D130">
        <v>1113.28</v>
      </c>
      <c r="E130" t="s">
        <v>7</v>
      </c>
    </row>
    <row r="131" spans="1:5" x14ac:dyDescent="0.25">
      <c r="A131" s="1">
        <v>44018</v>
      </c>
      <c r="B131" t="s">
        <v>146</v>
      </c>
      <c r="C131" t="s">
        <v>20</v>
      </c>
      <c r="D131">
        <v>1925</v>
      </c>
      <c r="E131" t="s">
        <v>14</v>
      </c>
    </row>
    <row r="132" spans="1:5" x14ac:dyDescent="0.25">
      <c r="A132" s="1">
        <v>44020</v>
      </c>
      <c r="B132" t="s">
        <v>147</v>
      </c>
      <c r="C132" t="s">
        <v>35</v>
      </c>
      <c r="D132">
        <v>818.09</v>
      </c>
      <c r="E132" t="s">
        <v>7</v>
      </c>
    </row>
    <row r="133" spans="1:5" x14ac:dyDescent="0.25">
      <c r="A133" s="1">
        <v>44023</v>
      </c>
      <c r="B133" t="s">
        <v>148</v>
      </c>
      <c r="C133" t="s">
        <v>35</v>
      </c>
      <c r="D133">
        <v>580.96</v>
      </c>
      <c r="E133" t="s">
        <v>7</v>
      </c>
    </row>
    <row r="134" spans="1:5" x14ac:dyDescent="0.25">
      <c r="A134" s="1">
        <v>44024</v>
      </c>
      <c r="B134" t="s">
        <v>149</v>
      </c>
      <c r="C134" t="s">
        <v>25</v>
      </c>
      <c r="D134">
        <v>935.33</v>
      </c>
      <c r="E134" t="s">
        <v>7</v>
      </c>
    </row>
    <row r="135" spans="1:5" x14ac:dyDescent="0.25">
      <c r="A135" s="1">
        <v>44024</v>
      </c>
      <c r="B135" t="s">
        <v>150</v>
      </c>
      <c r="C135" t="s">
        <v>22</v>
      </c>
      <c r="D135">
        <v>1027.24</v>
      </c>
      <c r="E135" t="s">
        <v>7</v>
      </c>
    </row>
    <row r="136" spans="1:5" x14ac:dyDescent="0.25">
      <c r="A136" s="1">
        <v>44025</v>
      </c>
      <c r="B136" t="s">
        <v>151</v>
      </c>
      <c r="C136" t="s">
        <v>9</v>
      </c>
      <c r="D136">
        <v>1321.11</v>
      </c>
      <c r="E136" t="s">
        <v>7</v>
      </c>
    </row>
    <row r="137" spans="1:5" x14ac:dyDescent="0.25">
      <c r="A137" s="1">
        <v>44029</v>
      </c>
      <c r="B137" t="s">
        <v>152</v>
      </c>
      <c r="C137" t="s">
        <v>25</v>
      </c>
      <c r="D137">
        <v>195.84</v>
      </c>
      <c r="E137" t="s">
        <v>7</v>
      </c>
    </row>
    <row r="138" spans="1:5" x14ac:dyDescent="0.25">
      <c r="A138" s="1">
        <v>44032</v>
      </c>
      <c r="B138" t="s">
        <v>153</v>
      </c>
      <c r="C138" t="s">
        <v>22</v>
      </c>
      <c r="D138">
        <v>1348.86</v>
      </c>
      <c r="E138" t="s">
        <v>7</v>
      </c>
    </row>
    <row r="139" spans="1:5" x14ac:dyDescent="0.25">
      <c r="A139" s="1">
        <v>44033</v>
      </c>
      <c r="B139" t="s">
        <v>154</v>
      </c>
      <c r="C139" t="s">
        <v>22</v>
      </c>
      <c r="D139">
        <v>303.23</v>
      </c>
      <c r="E139" t="s">
        <v>7</v>
      </c>
    </row>
    <row r="140" spans="1:5" x14ac:dyDescent="0.25">
      <c r="A140" s="1">
        <v>44033</v>
      </c>
      <c r="B140" t="s">
        <v>155</v>
      </c>
      <c r="C140" t="s">
        <v>20</v>
      </c>
      <c r="D140">
        <v>1096</v>
      </c>
      <c r="E140" t="s">
        <v>14</v>
      </c>
    </row>
    <row r="141" spans="1:5" x14ac:dyDescent="0.25">
      <c r="A141" s="1">
        <v>44034</v>
      </c>
      <c r="B141" t="s">
        <v>156</v>
      </c>
      <c r="C141" t="s">
        <v>22</v>
      </c>
      <c r="D141">
        <v>1439.51</v>
      </c>
      <c r="E141" t="s">
        <v>7</v>
      </c>
    </row>
    <row r="142" spans="1:5" x14ac:dyDescent="0.25">
      <c r="A142" s="1">
        <v>44034</v>
      </c>
      <c r="B142" t="s">
        <v>157</v>
      </c>
      <c r="C142" t="s">
        <v>17</v>
      </c>
      <c r="D142">
        <v>495.53</v>
      </c>
      <c r="E142" t="s">
        <v>7</v>
      </c>
    </row>
    <row r="143" spans="1:5" x14ac:dyDescent="0.25">
      <c r="A143" s="1">
        <v>44034</v>
      </c>
      <c r="B143" t="s">
        <v>158</v>
      </c>
      <c r="C143" t="s">
        <v>6</v>
      </c>
      <c r="D143">
        <v>1786.39</v>
      </c>
      <c r="E143" t="s">
        <v>7</v>
      </c>
    </row>
    <row r="144" spans="1:5" x14ac:dyDescent="0.25">
      <c r="A144" s="1">
        <v>44035</v>
      </c>
      <c r="B144" t="s">
        <v>159</v>
      </c>
      <c r="C144" t="s">
        <v>11</v>
      </c>
      <c r="D144">
        <v>1559.06</v>
      </c>
      <c r="E144" t="s">
        <v>7</v>
      </c>
    </row>
    <row r="145" spans="1:5" x14ac:dyDescent="0.25">
      <c r="A145" s="1">
        <v>44036</v>
      </c>
      <c r="B145" t="s">
        <v>160</v>
      </c>
      <c r="C145" t="s">
        <v>27</v>
      </c>
      <c r="D145">
        <v>109.93</v>
      </c>
      <c r="E145" t="s">
        <v>7</v>
      </c>
    </row>
    <row r="146" spans="1:5" x14ac:dyDescent="0.25">
      <c r="A146" s="1">
        <v>44040</v>
      </c>
      <c r="B146" t="s">
        <v>161</v>
      </c>
      <c r="C146" t="s">
        <v>11</v>
      </c>
      <c r="D146">
        <v>918.36</v>
      </c>
      <c r="E146" t="s">
        <v>7</v>
      </c>
    </row>
    <row r="147" spans="1:5" x14ac:dyDescent="0.25">
      <c r="A147" s="1">
        <v>44040</v>
      </c>
      <c r="B147" t="s">
        <v>162</v>
      </c>
      <c r="C147" t="s">
        <v>25</v>
      </c>
      <c r="D147">
        <v>1900.58</v>
      </c>
      <c r="E147" t="s">
        <v>7</v>
      </c>
    </row>
    <row r="148" spans="1:5" x14ac:dyDescent="0.25">
      <c r="A148" s="1">
        <v>44041</v>
      </c>
      <c r="B148" t="s">
        <v>163</v>
      </c>
      <c r="C148" t="s">
        <v>17</v>
      </c>
      <c r="D148">
        <v>1662.83</v>
      </c>
      <c r="E148" t="s">
        <v>7</v>
      </c>
    </row>
    <row r="149" spans="1:5" x14ac:dyDescent="0.25">
      <c r="A149" s="1">
        <v>44042</v>
      </c>
      <c r="B149" t="s">
        <v>164</v>
      </c>
      <c r="C149" t="s">
        <v>9</v>
      </c>
      <c r="D149">
        <v>1489.87</v>
      </c>
      <c r="E149" t="s">
        <v>7</v>
      </c>
    </row>
    <row r="150" spans="1:5" x14ac:dyDescent="0.25">
      <c r="A150" s="1">
        <v>44043</v>
      </c>
      <c r="B150" t="s">
        <v>165</v>
      </c>
      <c r="C150" t="s">
        <v>35</v>
      </c>
      <c r="D150">
        <v>1506.04</v>
      </c>
      <c r="E150" t="s">
        <v>7</v>
      </c>
    </row>
    <row r="151" spans="1:5" x14ac:dyDescent="0.25">
      <c r="A151" s="1">
        <v>44044</v>
      </c>
      <c r="B151" t="s">
        <v>166</v>
      </c>
      <c r="C151" t="s">
        <v>35</v>
      </c>
      <c r="D151">
        <v>1533.97</v>
      </c>
      <c r="E151" t="s">
        <v>7</v>
      </c>
    </row>
    <row r="152" spans="1:5" x14ac:dyDescent="0.25">
      <c r="A152" s="1">
        <v>44044</v>
      </c>
      <c r="B152" t="s">
        <v>167</v>
      </c>
      <c r="C152" t="s">
        <v>22</v>
      </c>
      <c r="D152">
        <v>556.45000000000005</v>
      </c>
      <c r="E152" t="s">
        <v>7</v>
      </c>
    </row>
    <row r="153" spans="1:5" x14ac:dyDescent="0.25">
      <c r="A153" s="1">
        <v>44044</v>
      </c>
      <c r="B153" t="s">
        <v>168</v>
      </c>
      <c r="C153" t="s">
        <v>20</v>
      </c>
      <c r="D153">
        <v>2420</v>
      </c>
      <c r="E153" t="s">
        <v>14</v>
      </c>
    </row>
    <row r="154" spans="1:5" x14ac:dyDescent="0.25">
      <c r="A154" s="1">
        <v>44045</v>
      </c>
      <c r="B154" t="s">
        <v>169</v>
      </c>
      <c r="C154" t="s">
        <v>25</v>
      </c>
      <c r="D154">
        <v>1787.12</v>
      </c>
      <c r="E154" t="s">
        <v>7</v>
      </c>
    </row>
    <row r="155" spans="1:5" x14ac:dyDescent="0.25">
      <c r="A155" s="1">
        <v>44046</v>
      </c>
      <c r="B155" t="s">
        <v>170</v>
      </c>
      <c r="C155" t="s">
        <v>13</v>
      </c>
      <c r="D155">
        <v>2394</v>
      </c>
      <c r="E155" t="s">
        <v>14</v>
      </c>
    </row>
    <row r="156" spans="1:5" x14ac:dyDescent="0.25">
      <c r="A156" s="1">
        <v>44047</v>
      </c>
      <c r="B156" t="s">
        <v>171</v>
      </c>
      <c r="C156" t="s">
        <v>9</v>
      </c>
      <c r="D156">
        <v>1415.77</v>
      </c>
      <c r="E156" t="s">
        <v>7</v>
      </c>
    </row>
    <row r="157" spans="1:5" x14ac:dyDescent="0.25">
      <c r="A157" s="1">
        <v>44047</v>
      </c>
      <c r="B157" t="s">
        <v>172</v>
      </c>
      <c r="C157" t="s">
        <v>20</v>
      </c>
      <c r="D157">
        <v>3210</v>
      </c>
      <c r="E157" t="s">
        <v>14</v>
      </c>
    </row>
    <row r="158" spans="1:5" x14ac:dyDescent="0.25">
      <c r="A158" s="1">
        <v>44047</v>
      </c>
      <c r="B158" t="s">
        <v>173</v>
      </c>
      <c r="C158" t="s">
        <v>17</v>
      </c>
      <c r="D158">
        <v>133.91</v>
      </c>
      <c r="E158" t="s">
        <v>7</v>
      </c>
    </row>
    <row r="159" spans="1:5" x14ac:dyDescent="0.25">
      <c r="A159" s="1">
        <v>44048</v>
      </c>
      <c r="B159" t="s">
        <v>174</v>
      </c>
      <c r="C159" t="s">
        <v>17</v>
      </c>
      <c r="D159">
        <v>1810.63</v>
      </c>
      <c r="E159" t="s">
        <v>7</v>
      </c>
    </row>
    <row r="160" spans="1:5" x14ac:dyDescent="0.25">
      <c r="A160" s="1">
        <v>44048</v>
      </c>
      <c r="B160" t="s">
        <v>175</v>
      </c>
      <c r="C160" t="s">
        <v>6</v>
      </c>
      <c r="D160">
        <v>1714.9</v>
      </c>
      <c r="E160" t="s">
        <v>7</v>
      </c>
    </row>
    <row r="161" spans="1:5" x14ac:dyDescent="0.25">
      <c r="A161" s="1">
        <v>44049</v>
      </c>
      <c r="B161" t="s">
        <v>176</v>
      </c>
      <c r="C161" t="s">
        <v>17</v>
      </c>
      <c r="D161">
        <v>959.19</v>
      </c>
      <c r="E161" t="s">
        <v>7</v>
      </c>
    </row>
    <row r="162" spans="1:5" x14ac:dyDescent="0.25">
      <c r="A162" s="1">
        <v>44051</v>
      </c>
      <c r="B162" t="s">
        <v>177</v>
      </c>
      <c r="C162" t="s">
        <v>35</v>
      </c>
      <c r="D162">
        <v>1509.42</v>
      </c>
      <c r="E162" t="s">
        <v>7</v>
      </c>
    </row>
    <row r="163" spans="1:5" x14ac:dyDescent="0.25">
      <c r="A163" s="1">
        <v>44051</v>
      </c>
      <c r="B163" t="s">
        <v>178</v>
      </c>
      <c r="C163" t="s">
        <v>17</v>
      </c>
      <c r="D163">
        <v>1081.06</v>
      </c>
      <c r="E163" t="s">
        <v>7</v>
      </c>
    </row>
    <row r="164" spans="1:5" x14ac:dyDescent="0.25">
      <c r="A164" s="1">
        <v>44052</v>
      </c>
      <c r="B164" t="s">
        <v>179</v>
      </c>
      <c r="C164" t="s">
        <v>22</v>
      </c>
      <c r="D164">
        <v>981.58</v>
      </c>
      <c r="E164" t="s">
        <v>7</v>
      </c>
    </row>
    <row r="165" spans="1:5" x14ac:dyDescent="0.25">
      <c r="A165" s="1">
        <v>44056</v>
      </c>
      <c r="B165" t="s">
        <v>180</v>
      </c>
      <c r="C165" t="s">
        <v>27</v>
      </c>
      <c r="D165">
        <v>67.760000000000005</v>
      </c>
      <c r="E165" t="s">
        <v>7</v>
      </c>
    </row>
    <row r="166" spans="1:5" x14ac:dyDescent="0.25">
      <c r="A166" s="1">
        <v>44057</v>
      </c>
      <c r="B166" t="s">
        <v>181</v>
      </c>
      <c r="C166" t="s">
        <v>17</v>
      </c>
      <c r="D166">
        <v>1451.12</v>
      </c>
      <c r="E166" t="s">
        <v>7</v>
      </c>
    </row>
    <row r="167" spans="1:5" x14ac:dyDescent="0.25">
      <c r="A167" s="1">
        <v>44059</v>
      </c>
      <c r="B167" t="s">
        <v>182</v>
      </c>
      <c r="C167" t="s">
        <v>9</v>
      </c>
      <c r="D167">
        <v>1961.64</v>
      </c>
      <c r="E167" t="s">
        <v>7</v>
      </c>
    </row>
    <row r="168" spans="1:5" x14ac:dyDescent="0.25">
      <c r="A168" s="1">
        <v>44060</v>
      </c>
      <c r="B168" t="s">
        <v>183</v>
      </c>
      <c r="C168" t="s">
        <v>17</v>
      </c>
      <c r="D168">
        <v>1187.8699999999999</v>
      </c>
      <c r="E168" t="s">
        <v>7</v>
      </c>
    </row>
    <row r="169" spans="1:5" x14ac:dyDescent="0.25">
      <c r="A169" s="1">
        <v>44061</v>
      </c>
      <c r="B169" t="s">
        <v>184</v>
      </c>
      <c r="C169" t="s">
        <v>11</v>
      </c>
      <c r="D169">
        <v>1289.07</v>
      </c>
      <c r="E169" t="s">
        <v>7</v>
      </c>
    </row>
    <row r="170" spans="1:5" x14ac:dyDescent="0.25">
      <c r="A170" s="1">
        <v>44062</v>
      </c>
      <c r="B170" t="s">
        <v>185</v>
      </c>
      <c r="C170" t="s">
        <v>20</v>
      </c>
      <c r="D170">
        <v>1988</v>
      </c>
      <c r="E170" t="s">
        <v>14</v>
      </c>
    </row>
    <row r="171" spans="1:5" x14ac:dyDescent="0.25">
      <c r="A171" s="1">
        <v>44063</v>
      </c>
      <c r="B171" t="s">
        <v>186</v>
      </c>
      <c r="C171" t="s">
        <v>20</v>
      </c>
      <c r="D171">
        <v>3181</v>
      </c>
      <c r="E171" t="s">
        <v>14</v>
      </c>
    </row>
    <row r="172" spans="1:5" x14ac:dyDescent="0.25">
      <c r="A172" s="1">
        <v>44064</v>
      </c>
      <c r="B172" t="s">
        <v>187</v>
      </c>
      <c r="C172" t="s">
        <v>25</v>
      </c>
      <c r="D172">
        <v>681.63</v>
      </c>
      <c r="E172" t="s">
        <v>7</v>
      </c>
    </row>
    <row r="173" spans="1:5" x14ac:dyDescent="0.25">
      <c r="A173" s="1">
        <v>44064</v>
      </c>
      <c r="B173" t="s">
        <v>188</v>
      </c>
      <c r="C173" t="s">
        <v>35</v>
      </c>
      <c r="D173">
        <v>1506.5</v>
      </c>
      <c r="E173" t="s">
        <v>7</v>
      </c>
    </row>
    <row r="174" spans="1:5" x14ac:dyDescent="0.25">
      <c r="A174" s="1">
        <v>44065</v>
      </c>
      <c r="B174" t="s">
        <v>189</v>
      </c>
      <c r="C174" t="s">
        <v>35</v>
      </c>
      <c r="D174">
        <v>1671.47</v>
      </c>
      <c r="E174" t="s">
        <v>7</v>
      </c>
    </row>
    <row r="175" spans="1:5" x14ac:dyDescent="0.25">
      <c r="A175" s="1">
        <v>44065</v>
      </c>
      <c r="B175" t="s">
        <v>190</v>
      </c>
      <c r="C175" t="s">
        <v>6</v>
      </c>
      <c r="D175">
        <v>1999.82</v>
      </c>
      <c r="E175" t="s">
        <v>7</v>
      </c>
    </row>
    <row r="176" spans="1:5" x14ac:dyDescent="0.25">
      <c r="A176" s="1">
        <v>44069</v>
      </c>
      <c r="B176" t="s">
        <v>191</v>
      </c>
      <c r="C176" t="s">
        <v>11</v>
      </c>
      <c r="D176">
        <v>1564.65</v>
      </c>
      <c r="E176" t="s">
        <v>7</v>
      </c>
    </row>
    <row r="177" spans="1:5" x14ac:dyDescent="0.25">
      <c r="A177" s="1">
        <v>44070</v>
      </c>
      <c r="B177" t="s">
        <v>192</v>
      </c>
      <c r="C177" t="s">
        <v>6</v>
      </c>
      <c r="D177">
        <v>1899.73</v>
      </c>
      <c r="E177" t="s">
        <v>7</v>
      </c>
    </row>
    <row r="178" spans="1:5" x14ac:dyDescent="0.25">
      <c r="A178" s="1">
        <v>44070</v>
      </c>
      <c r="B178" t="s">
        <v>193</v>
      </c>
      <c r="C178" t="s">
        <v>13</v>
      </c>
      <c r="D178">
        <v>1748</v>
      </c>
      <c r="E178" t="s">
        <v>14</v>
      </c>
    </row>
    <row r="179" spans="1:5" x14ac:dyDescent="0.25">
      <c r="A179" s="1">
        <v>44072</v>
      </c>
      <c r="B179" t="s">
        <v>194</v>
      </c>
      <c r="C179" t="s">
        <v>27</v>
      </c>
      <c r="D179">
        <v>1342.22</v>
      </c>
      <c r="E179" t="s">
        <v>7</v>
      </c>
    </row>
    <row r="180" spans="1:5" x14ac:dyDescent="0.25">
      <c r="A180" s="1">
        <v>44073</v>
      </c>
      <c r="B180" t="s">
        <v>195</v>
      </c>
      <c r="C180" t="s">
        <v>22</v>
      </c>
      <c r="D180">
        <v>935.42</v>
      </c>
      <c r="E180" t="s">
        <v>7</v>
      </c>
    </row>
    <row r="181" spans="1:5" x14ac:dyDescent="0.25">
      <c r="A181" s="1">
        <v>44074</v>
      </c>
      <c r="B181" t="s">
        <v>196</v>
      </c>
      <c r="C181" t="s">
        <v>25</v>
      </c>
      <c r="D181">
        <v>343.9</v>
      </c>
      <c r="E181" t="s">
        <v>7</v>
      </c>
    </row>
    <row r="182" spans="1:5" x14ac:dyDescent="0.25">
      <c r="A182" s="1">
        <v>44075</v>
      </c>
      <c r="B182" t="s">
        <v>197</v>
      </c>
      <c r="C182" t="s">
        <v>11</v>
      </c>
      <c r="D182">
        <v>1557.81</v>
      </c>
      <c r="E182" t="s">
        <v>7</v>
      </c>
    </row>
    <row r="183" spans="1:5" x14ac:dyDescent="0.25">
      <c r="A183" s="1">
        <v>44079</v>
      </c>
      <c r="B183" t="s">
        <v>198</v>
      </c>
      <c r="C183" t="s">
        <v>20</v>
      </c>
      <c r="D183">
        <v>1385</v>
      </c>
      <c r="E183" t="s">
        <v>14</v>
      </c>
    </row>
    <row r="184" spans="1:5" x14ac:dyDescent="0.25">
      <c r="A184" s="1">
        <v>44079</v>
      </c>
      <c r="B184" t="s">
        <v>199</v>
      </c>
      <c r="C184" t="s">
        <v>35</v>
      </c>
      <c r="D184">
        <v>1155.8399999999999</v>
      </c>
      <c r="E184" t="s">
        <v>7</v>
      </c>
    </row>
    <row r="185" spans="1:5" x14ac:dyDescent="0.25">
      <c r="A185" s="1">
        <v>44080</v>
      </c>
      <c r="B185" t="s">
        <v>200</v>
      </c>
      <c r="C185" t="s">
        <v>17</v>
      </c>
      <c r="D185">
        <v>799.34</v>
      </c>
      <c r="E185" t="s">
        <v>7</v>
      </c>
    </row>
    <row r="186" spans="1:5" x14ac:dyDescent="0.25">
      <c r="A186" s="1">
        <v>44081</v>
      </c>
      <c r="B186" t="s">
        <v>201</v>
      </c>
      <c r="C186" t="s">
        <v>11</v>
      </c>
      <c r="D186">
        <v>1188.27</v>
      </c>
      <c r="E186" t="s">
        <v>7</v>
      </c>
    </row>
    <row r="187" spans="1:5" x14ac:dyDescent="0.25">
      <c r="A187" s="1">
        <v>44082</v>
      </c>
      <c r="B187" t="s">
        <v>202</v>
      </c>
      <c r="C187" t="s">
        <v>22</v>
      </c>
      <c r="D187">
        <v>212.78</v>
      </c>
      <c r="E187" t="s">
        <v>7</v>
      </c>
    </row>
    <row r="188" spans="1:5" x14ac:dyDescent="0.25">
      <c r="A188" s="1">
        <v>44085</v>
      </c>
      <c r="B188" t="s">
        <v>203</v>
      </c>
      <c r="C188" t="s">
        <v>11</v>
      </c>
      <c r="D188">
        <v>1594.49</v>
      </c>
      <c r="E188" t="s">
        <v>7</v>
      </c>
    </row>
    <row r="189" spans="1:5" x14ac:dyDescent="0.25">
      <c r="A189" s="1">
        <v>44085</v>
      </c>
      <c r="B189" t="s">
        <v>204</v>
      </c>
      <c r="C189" t="s">
        <v>6</v>
      </c>
      <c r="D189">
        <v>700.94</v>
      </c>
      <c r="E189" t="s">
        <v>7</v>
      </c>
    </row>
    <row r="190" spans="1:5" x14ac:dyDescent="0.25">
      <c r="A190" s="1">
        <v>44085</v>
      </c>
      <c r="B190" t="s">
        <v>205</v>
      </c>
      <c r="C190" t="s">
        <v>25</v>
      </c>
      <c r="D190">
        <v>147.22</v>
      </c>
      <c r="E190" t="s">
        <v>7</v>
      </c>
    </row>
    <row r="191" spans="1:5" x14ac:dyDescent="0.25">
      <c r="A191" s="1">
        <v>44090</v>
      </c>
      <c r="B191" t="s">
        <v>206</v>
      </c>
      <c r="C191" t="s">
        <v>6</v>
      </c>
      <c r="D191">
        <v>1700.66</v>
      </c>
      <c r="E191" t="s">
        <v>7</v>
      </c>
    </row>
    <row r="192" spans="1:5" x14ac:dyDescent="0.25">
      <c r="A192" s="1">
        <v>44091</v>
      </c>
      <c r="B192" t="s">
        <v>207</v>
      </c>
      <c r="C192" t="s">
        <v>11</v>
      </c>
      <c r="D192">
        <v>872.71</v>
      </c>
      <c r="E192" t="s">
        <v>7</v>
      </c>
    </row>
    <row r="193" spans="1:5" x14ac:dyDescent="0.25">
      <c r="A193" s="1">
        <v>44091</v>
      </c>
      <c r="B193" t="s">
        <v>208</v>
      </c>
      <c r="C193" t="s">
        <v>27</v>
      </c>
      <c r="D193">
        <v>1417.54</v>
      </c>
      <c r="E193" t="s">
        <v>7</v>
      </c>
    </row>
    <row r="194" spans="1:5" x14ac:dyDescent="0.25">
      <c r="A194" s="1">
        <v>44092</v>
      </c>
      <c r="B194" t="s">
        <v>209</v>
      </c>
      <c r="C194" t="s">
        <v>35</v>
      </c>
      <c r="D194">
        <v>1235.67</v>
      </c>
      <c r="E194" t="s">
        <v>7</v>
      </c>
    </row>
    <row r="195" spans="1:5" x14ac:dyDescent="0.25">
      <c r="A195" s="1">
        <v>44092</v>
      </c>
      <c r="B195" t="s">
        <v>210</v>
      </c>
      <c r="C195" t="s">
        <v>27</v>
      </c>
      <c r="D195">
        <v>935.1</v>
      </c>
      <c r="E195" t="s">
        <v>7</v>
      </c>
    </row>
    <row r="196" spans="1:5" x14ac:dyDescent="0.25">
      <c r="A196" s="1">
        <v>44096</v>
      </c>
      <c r="B196" t="s">
        <v>211</v>
      </c>
      <c r="C196" t="s">
        <v>35</v>
      </c>
      <c r="D196">
        <v>651.39</v>
      </c>
      <c r="E196" t="s">
        <v>7</v>
      </c>
    </row>
    <row r="197" spans="1:5" x14ac:dyDescent="0.25">
      <c r="A197" s="1">
        <v>44096</v>
      </c>
      <c r="B197" t="s">
        <v>212</v>
      </c>
      <c r="C197" t="s">
        <v>11</v>
      </c>
      <c r="D197">
        <v>565.07000000000005</v>
      </c>
      <c r="E197" t="s">
        <v>7</v>
      </c>
    </row>
    <row r="198" spans="1:5" x14ac:dyDescent="0.25">
      <c r="A198" s="1">
        <v>44096</v>
      </c>
      <c r="B198" t="s">
        <v>213</v>
      </c>
      <c r="C198" t="s">
        <v>27</v>
      </c>
      <c r="D198">
        <v>1144</v>
      </c>
      <c r="E198" t="s">
        <v>7</v>
      </c>
    </row>
    <row r="199" spans="1:5" x14ac:dyDescent="0.25">
      <c r="A199" s="1">
        <v>44097</v>
      </c>
      <c r="B199" t="s">
        <v>214</v>
      </c>
      <c r="C199" t="s">
        <v>25</v>
      </c>
      <c r="D199">
        <v>67.11</v>
      </c>
      <c r="E199" t="s">
        <v>7</v>
      </c>
    </row>
    <row r="200" spans="1:5" x14ac:dyDescent="0.25">
      <c r="A200" s="1">
        <v>44097</v>
      </c>
      <c r="B200" t="s">
        <v>215</v>
      </c>
      <c r="C200" t="s">
        <v>9</v>
      </c>
      <c r="D200">
        <v>980.22</v>
      </c>
      <c r="E200" t="s">
        <v>7</v>
      </c>
    </row>
    <row r="201" spans="1:5" x14ac:dyDescent="0.25">
      <c r="A201" s="1">
        <v>44099</v>
      </c>
      <c r="B201" t="s">
        <v>216</v>
      </c>
      <c r="C201" t="s">
        <v>35</v>
      </c>
      <c r="D201">
        <v>687.27</v>
      </c>
      <c r="E201" t="s">
        <v>7</v>
      </c>
    </row>
    <row r="202" spans="1:5" x14ac:dyDescent="0.25">
      <c r="A202" s="1">
        <v>44101</v>
      </c>
      <c r="B202" t="s">
        <v>217</v>
      </c>
      <c r="C202" t="s">
        <v>35</v>
      </c>
      <c r="D202">
        <v>1116.02</v>
      </c>
      <c r="E202" t="s">
        <v>7</v>
      </c>
    </row>
    <row r="203" spans="1:5" x14ac:dyDescent="0.25">
      <c r="A203" s="1">
        <v>44101</v>
      </c>
      <c r="B203" t="s">
        <v>218</v>
      </c>
      <c r="C203" t="s">
        <v>22</v>
      </c>
      <c r="D203">
        <v>180.37</v>
      </c>
      <c r="E203" t="s">
        <v>7</v>
      </c>
    </row>
    <row r="204" spans="1:5" x14ac:dyDescent="0.25">
      <c r="A204" s="1">
        <v>44101</v>
      </c>
      <c r="B204" t="s">
        <v>219</v>
      </c>
      <c r="C204" t="s">
        <v>27</v>
      </c>
      <c r="D204">
        <v>1114.8</v>
      </c>
      <c r="E204" t="s">
        <v>7</v>
      </c>
    </row>
    <row r="205" spans="1:5" x14ac:dyDescent="0.25">
      <c r="A205" s="1">
        <v>44103</v>
      </c>
      <c r="B205" t="s">
        <v>220</v>
      </c>
      <c r="C205" t="s">
        <v>27</v>
      </c>
      <c r="D205">
        <v>1295.3499999999999</v>
      </c>
      <c r="E205" t="s">
        <v>7</v>
      </c>
    </row>
    <row r="206" spans="1:5" x14ac:dyDescent="0.25">
      <c r="A206" s="1">
        <v>44104</v>
      </c>
      <c r="B206" t="s">
        <v>221</v>
      </c>
      <c r="C206" t="s">
        <v>6</v>
      </c>
      <c r="D206">
        <v>195.18</v>
      </c>
      <c r="E206" t="s">
        <v>7</v>
      </c>
    </row>
    <row r="207" spans="1:5" x14ac:dyDescent="0.25">
      <c r="A207" s="1">
        <v>44105</v>
      </c>
      <c r="B207" t="s">
        <v>222</v>
      </c>
      <c r="C207" t="s">
        <v>22</v>
      </c>
      <c r="D207">
        <v>619.35</v>
      </c>
      <c r="E207" t="s">
        <v>7</v>
      </c>
    </row>
    <row r="208" spans="1:5" x14ac:dyDescent="0.25">
      <c r="A208" s="1">
        <v>44107</v>
      </c>
      <c r="B208" t="s">
        <v>223</v>
      </c>
      <c r="C208" t="s">
        <v>27</v>
      </c>
      <c r="D208">
        <v>1111.4100000000001</v>
      </c>
      <c r="E208" t="s">
        <v>7</v>
      </c>
    </row>
    <row r="209" spans="1:5" x14ac:dyDescent="0.25">
      <c r="A209" s="1">
        <v>44108</v>
      </c>
      <c r="B209" t="s">
        <v>224</v>
      </c>
      <c r="C209" t="s">
        <v>25</v>
      </c>
      <c r="D209">
        <v>710.1</v>
      </c>
      <c r="E209" t="s">
        <v>7</v>
      </c>
    </row>
    <row r="210" spans="1:5" x14ac:dyDescent="0.25">
      <c r="A210" s="1">
        <v>44111</v>
      </c>
      <c r="B210" t="s">
        <v>225</v>
      </c>
      <c r="C210" t="s">
        <v>35</v>
      </c>
      <c r="D210">
        <v>510.29</v>
      </c>
      <c r="E210" t="s">
        <v>7</v>
      </c>
    </row>
    <row r="211" spans="1:5" x14ac:dyDescent="0.25">
      <c r="A211" s="1">
        <v>44111</v>
      </c>
      <c r="B211" t="s">
        <v>226</v>
      </c>
      <c r="C211" t="s">
        <v>13</v>
      </c>
      <c r="D211">
        <v>3084</v>
      </c>
      <c r="E211" t="s">
        <v>14</v>
      </c>
    </row>
    <row r="212" spans="1:5" x14ac:dyDescent="0.25">
      <c r="A212" s="1">
        <v>44111</v>
      </c>
      <c r="B212" t="s">
        <v>227</v>
      </c>
      <c r="C212" t="s">
        <v>13</v>
      </c>
      <c r="D212">
        <v>2069</v>
      </c>
      <c r="E212" t="s">
        <v>14</v>
      </c>
    </row>
    <row r="213" spans="1:5" x14ac:dyDescent="0.25">
      <c r="A213" s="1">
        <v>44112</v>
      </c>
      <c r="B213" t="s">
        <v>228</v>
      </c>
      <c r="C213" t="s">
        <v>27</v>
      </c>
      <c r="D213">
        <v>560.23</v>
      </c>
      <c r="E213" t="s">
        <v>7</v>
      </c>
    </row>
    <row r="214" spans="1:5" x14ac:dyDescent="0.25">
      <c r="A214" s="1">
        <v>44112</v>
      </c>
      <c r="B214" t="s">
        <v>229</v>
      </c>
      <c r="C214" t="s">
        <v>35</v>
      </c>
      <c r="D214">
        <v>1961.22</v>
      </c>
      <c r="E214" t="s">
        <v>7</v>
      </c>
    </row>
    <row r="215" spans="1:5" x14ac:dyDescent="0.25">
      <c r="A215" s="1">
        <v>44114</v>
      </c>
      <c r="B215" t="s">
        <v>230</v>
      </c>
      <c r="C215" t="s">
        <v>35</v>
      </c>
      <c r="D215">
        <v>462.69</v>
      </c>
      <c r="E215" t="s">
        <v>7</v>
      </c>
    </row>
    <row r="216" spans="1:5" x14ac:dyDescent="0.25">
      <c r="A216" s="1">
        <v>44114</v>
      </c>
      <c r="B216" t="s">
        <v>231</v>
      </c>
      <c r="C216" t="s">
        <v>13</v>
      </c>
      <c r="D216">
        <v>4875</v>
      </c>
      <c r="E216" t="s">
        <v>14</v>
      </c>
    </row>
    <row r="217" spans="1:5" x14ac:dyDescent="0.25">
      <c r="A217" s="1">
        <v>44114</v>
      </c>
      <c r="B217" t="s">
        <v>232</v>
      </c>
      <c r="C217" t="s">
        <v>13</v>
      </c>
      <c r="D217">
        <v>946</v>
      </c>
      <c r="E217" t="s">
        <v>14</v>
      </c>
    </row>
    <row r="218" spans="1:5" x14ac:dyDescent="0.25">
      <c r="A218" s="1">
        <v>44116</v>
      </c>
      <c r="B218" t="s">
        <v>233</v>
      </c>
      <c r="C218" t="s">
        <v>9</v>
      </c>
      <c r="D218">
        <v>1279.3599999999999</v>
      </c>
      <c r="E218" t="s">
        <v>7</v>
      </c>
    </row>
    <row r="219" spans="1:5" x14ac:dyDescent="0.25">
      <c r="A219" s="1">
        <v>44118</v>
      </c>
      <c r="B219" t="s">
        <v>234</v>
      </c>
      <c r="C219" t="s">
        <v>11</v>
      </c>
      <c r="D219">
        <v>1746.71</v>
      </c>
      <c r="E219" t="s">
        <v>7</v>
      </c>
    </row>
    <row r="220" spans="1:5" x14ac:dyDescent="0.25">
      <c r="A220" s="1">
        <v>44119</v>
      </c>
      <c r="B220" t="s">
        <v>235</v>
      </c>
      <c r="C220" t="s">
        <v>27</v>
      </c>
      <c r="D220">
        <v>962.64</v>
      </c>
      <c r="E220" t="s">
        <v>7</v>
      </c>
    </row>
    <row r="221" spans="1:5" x14ac:dyDescent="0.25">
      <c r="A221" s="1">
        <v>44120</v>
      </c>
      <c r="B221" t="s">
        <v>236</v>
      </c>
      <c r="C221" t="s">
        <v>6</v>
      </c>
      <c r="D221">
        <v>512.42999999999995</v>
      </c>
      <c r="E221" t="s">
        <v>7</v>
      </c>
    </row>
    <row r="222" spans="1:5" x14ac:dyDescent="0.25">
      <c r="A222" s="1">
        <v>44120</v>
      </c>
      <c r="B222" t="s">
        <v>237</v>
      </c>
      <c r="C222" t="s">
        <v>11</v>
      </c>
      <c r="D222">
        <v>1646.01</v>
      </c>
      <c r="E222" t="s">
        <v>7</v>
      </c>
    </row>
    <row r="223" spans="1:5" x14ac:dyDescent="0.25">
      <c r="A223" s="1">
        <v>44120</v>
      </c>
      <c r="B223" t="s">
        <v>238</v>
      </c>
      <c r="C223" t="s">
        <v>11</v>
      </c>
      <c r="D223">
        <v>1158.27</v>
      </c>
      <c r="E223" t="s">
        <v>7</v>
      </c>
    </row>
    <row r="224" spans="1:5" x14ac:dyDescent="0.25">
      <c r="A224" s="1">
        <v>44122</v>
      </c>
      <c r="B224" t="s">
        <v>239</v>
      </c>
      <c r="C224" t="s">
        <v>9</v>
      </c>
      <c r="D224">
        <v>306.89999999999998</v>
      </c>
      <c r="E224" t="s">
        <v>7</v>
      </c>
    </row>
    <row r="225" spans="1:5" x14ac:dyDescent="0.25">
      <c r="A225" s="1">
        <v>44123</v>
      </c>
      <c r="B225" t="s">
        <v>240</v>
      </c>
      <c r="C225" t="s">
        <v>35</v>
      </c>
      <c r="D225">
        <v>179.51</v>
      </c>
      <c r="E225" t="s">
        <v>7</v>
      </c>
    </row>
    <row r="226" spans="1:5" x14ac:dyDescent="0.25">
      <c r="A226" s="1">
        <v>44127</v>
      </c>
      <c r="B226" t="s">
        <v>241</v>
      </c>
      <c r="C226" t="s">
        <v>17</v>
      </c>
      <c r="D226">
        <v>1216.57</v>
      </c>
      <c r="E226" t="s">
        <v>7</v>
      </c>
    </row>
    <row r="227" spans="1:5" x14ac:dyDescent="0.25">
      <c r="A227" s="1">
        <v>44128</v>
      </c>
      <c r="B227" t="s">
        <v>242</v>
      </c>
      <c r="C227" t="s">
        <v>22</v>
      </c>
      <c r="D227">
        <v>1553.63</v>
      </c>
      <c r="E227" t="s">
        <v>7</v>
      </c>
    </row>
    <row r="228" spans="1:5" x14ac:dyDescent="0.25">
      <c r="A228" s="1">
        <v>44130</v>
      </c>
      <c r="B228" t="s">
        <v>243</v>
      </c>
      <c r="C228" t="s">
        <v>27</v>
      </c>
      <c r="D228">
        <v>601.73</v>
      </c>
      <c r="E228" t="s">
        <v>7</v>
      </c>
    </row>
    <row r="229" spans="1:5" x14ac:dyDescent="0.25">
      <c r="A229" s="1">
        <v>44131</v>
      </c>
      <c r="B229" t="s">
        <v>244</v>
      </c>
      <c r="C229" t="s">
        <v>17</v>
      </c>
      <c r="D229">
        <v>617.71</v>
      </c>
      <c r="E229" t="s">
        <v>7</v>
      </c>
    </row>
    <row r="230" spans="1:5" x14ac:dyDescent="0.25">
      <c r="A230" s="1">
        <v>44131</v>
      </c>
      <c r="B230" t="s">
        <v>245</v>
      </c>
      <c r="C230" t="s">
        <v>11</v>
      </c>
      <c r="D230">
        <v>1895.7</v>
      </c>
      <c r="E230" t="s">
        <v>7</v>
      </c>
    </row>
    <row r="231" spans="1:5" x14ac:dyDescent="0.25">
      <c r="A231" s="1">
        <v>44131</v>
      </c>
      <c r="B231" t="s">
        <v>246</v>
      </c>
      <c r="C231" t="s">
        <v>22</v>
      </c>
      <c r="D231">
        <v>536.65</v>
      </c>
      <c r="E231" t="s">
        <v>7</v>
      </c>
    </row>
    <row r="232" spans="1:5" x14ac:dyDescent="0.25">
      <c r="A232" s="1">
        <v>44132</v>
      </c>
      <c r="B232" t="s">
        <v>247</v>
      </c>
      <c r="C232" t="s">
        <v>13</v>
      </c>
      <c r="D232">
        <v>1923</v>
      </c>
      <c r="E232" t="s">
        <v>14</v>
      </c>
    </row>
    <row r="233" spans="1:5" x14ac:dyDescent="0.25">
      <c r="A233" s="1">
        <v>44133</v>
      </c>
      <c r="B233" t="s">
        <v>248</v>
      </c>
      <c r="C233" t="s">
        <v>9</v>
      </c>
      <c r="D233">
        <v>15.32</v>
      </c>
      <c r="E233" t="s">
        <v>7</v>
      </c>
    </row>
    <row r="234" spans="1:5" x14ac:dyDescent="0.25">
      <c r="A234" s="1">
        <v>44134</v>
      </c>
      <c r="B234" t="s">
        <v>249</v>
      </c>
      <c r="C234" t="s">
        <v>27</v>
      </c>
      <c r="D234">
        <v>589.61</v>
      </c>
      <c r="E234" t="s">
        <v>7</v>
      </c>
    </row>
    <row r="235" spans="1:5" x14ac:dyDescent="0.25">
      <c r="A235" s="1">
        <v>44135</v>
      </c>
      <c r="B235" t="s">
        <v>250</v>
      </c>
      <c r="C235" t="s">
        <v>35</v>
      </c>
      <c r="D235">
        <v>1408.95</v>
      </c>
      <c r="E235" t="s">
        <v>7</v>
      </c>
    </row>
    <row r="236" spans="1:5" x14ac:dyDescent="0.25">
      <c r="A236" s="1">
        <v>44136</v>
      </c>
      <c r="B236" t="s">
        <v>251</v>
      </c>
      <c r="C236" t="s">
        <v>22</v>
      </c>
      <c r="D236">
        <v>1848.58</v>
      </c>
      <c r="E236" t="s">
        <v>7</v>
      </c>
    </row>
    <row r="237" spans="1:5" x14ac:dyDescent="0.25">
      <c r="A237" s="1">
        <v>44136</v>
      </c>
      <c r="B237" t="s">
        <v>252</v>
      </c>
      <c r="C237" t="s">
        <v>22</v>
      </c>
      <c r="D237">
        <v>856.03</v>
      </c>
      <c r="E237" t="s">
        <v>7</v>
      </c>
    </row>
    <row r="238" spans="1:5" x14ac:dyDescent="0.25">
      <c r="A238" s="1">
        <v>44137</v>
      </c>
      <c r="B238" t="s">
        <v>253</v>
      </c>
      <c r="C238" t="s">
        <v>9</v>
      </c>
      <c r="D238">
        <v>1817.74</v>
      </c>
      <c r="E238" t="s">
        <v>7</v>
      </c>
    </row>
    <row r="239" spans="1:5" x14ac:dyDescent="0.25">
      <c r="A239" s="1">
        <v>44139</v>
      </c>
      <c r="B239" t="s">
        <v>254</v>
      </c>
      <c r="C239" t="s">
        <v>11</v>
      </c>
      <c r="D239">
        <v>128.68</v>
      </c>
      <c r="E239" t="s">
        <v>7</v>
      </c>
    </row>
    <row r="240" spans="1:5" x14ac:dyDescent="0.25">
      <c r="A240" s="1">
        <v>44141</v>
      </c>
      <c r="B240" t="s">
        <v>255</v>
      </c>
      <c r="C240" t="s">
        <v>35</v>
      </c>
      <c r="D240">
        <v>883.92</v>
      </c>
      <c r="E240" t="s">
        <v>7</v>
      </c>
    </row>
    <row r="241" spans="1:5" x14ac:dyDescent="0.25">
      <c r="A241" s="1">
        <v>44142</v>
      </c>
      <c r="B241" t="s">
        <v>256</v>
      </c>
      <c r="C241" t="s">
        <v>35</v>
      </c>
      <c r="D241">
        <v>1402.47</v>
      </c>
      <c r="E241" t="s">
        <v>7</v>
      </c>
    </row>
    <row r="242" spans="1:5" x14ac:dyDescent="0.25">
      <c r="A242" s="1">
        <v>44144</v>
      </c>
      <c r="B242" t="s">
        <v>257</v>
      </c>
      <c r="C242" t="s">
        <v>27</v>
      </c>
      <c r="D242">
        <v>881.14</v>
      </c>
      <c r="E242" t="s">
        <v>7</v>
      </c>
    </row>
    <row r="243" spans="1:5" x14ac:dyDescent="0.25">
      <c r="A243" s="1">
        <v>44145</v>
      </c>
      <c r="B243" t="s">
        <v>258</v>
      </c>
      <c r="C243" t="s">
        <v>17</v>
      </c>
      <c r="D243">
        <v>1471.72</v>
      </c>
      <c r="E243" t="s">
        <v>7</v>
      </c>
    </row>
    <row r="244" spans="1:5" x14ac:dyDescent="0.25">
      <c r="A244" s="1">
        <v>44145</v>
      </c>
      <c r="B244" t="s">
        <v>259</v>
      </c>
      <c r="C244" t="s">
        <v>6</v>
      </c>
      <c r="D244">
        <v>191.74</v>
      </c>
      <c r="E244" t="s">
        <v>7</v>
      </c>
    </row>
    <row r="245" spans="1:5" x14ac:dyDescent="0.25">
      <c r="A245" s="1">
        <v>44147</v>
      </c>
      <c r="B245" t="s">
        <v>260</v>
      </c>
      <c r="C245" t="s">
        <v>6</v>
      </c>
      <c r="D245">
        <v>1999.15</v>
      </c>
      <c r="E245" t="s">
        <v>7</v>
      </c>
    </row>
    <row r="246" spans="1:5" x14ac:dyDescent="0.25">
      <c r="A246" s="1">
        <v>44147</v>
      </c>
      <c r="B246" t="s">
        <v>261</v>
      </c>
      <c r="C246" t="s">
        <v>35</v>
      </c>
      <c r="D246">
        <v>1156.73</v>
      </c>
      <c r="E246" t="s">
        <v>7</v>
      </c>
    </row>
    <row r="247" spans="1:5" x14ac:dyDescent="0.25">
      <c r="A247" s="1">
        <v>44149</v>
      </c>
      <c r="B247" t="s">
        <v>262</v>
      </c>
      <c r="C247" t="s">
        <v>9</v>
      </c>
      <c r="D247">
        <v>946.3</v>
      </c>
      <c r="E247" t="s">
        <v>7</v>
      </c>
    </row>
    <row r="248" spans="1:5" x14ac:dyDescent="0.25">
      <c r="A248" s="1">
        <v>44149</v>
      </c>
      <c r="B248" t="s">
        <v>263</v>
      </c>
      <c r="C248" t="s">
        <v>35</v>
      </c>
      <c r="D248">
        <v>371.16</v>
      </c>
      <c r="E248" t="s">
        <v>7</v>
      </c>
    </row>
    <row r="249" spans="1:5" x14ac:dyDescent="0.25">
      <c r="A249" s="1">
        <v>44149</v>
      </c>
      <c r="B249" t="s">
        <v>264</v>
      </c>
      <c r="C249" t="s">
        <v>27</v>
      </c>
      <c r="D249">
        <v>1938.42</v>
      </c>
      <c r="E249" t="s">
        <v>7</v>
      </c>
    </row>
    <row r="250" spans="1:5" x14ac:dyDescent="0.25">
      <c r="A250" s="1">
        <v>44149</v>
      </c>
      <c r="B250" t="s">
        <v>265</v>
      </c>
      <c r="C250" t="s">
        <v>17</v>
      </c>
      <c r="D250">
        <v>673.28</v>
      </c>
      <c r="E250" t="s">
        <v>7</v>
      </c>
    </row>
    <row r="251" spans="1:5" x14ac:dyDescent="0.25">
      <c r="A251" s="1">
        <v>44150</v>
      </c>
      <c r="B251" t="s">
        <v>266</v>
      </c>
      <c r="C251" t="s">
        <v>9</v>
      </c>
      <c r="D251">
        <v>666.31</v>
      </c>
      <c r="E251" t="s">
        <v>7</v>
      </c>
    </row>
    <row r="252" spans="1:5" x14ac:dyDescent="0.25">
      <c r="A252" s="1">
        <v>44150</v>
      </c>
      <c r="B252" t="s">
        <v>267</v>
      </c>
      <c r="C252" t="s">
        <v>35</v>
      </c>
      <c r="D252">
        <v>1328.54</v>
      </c>
      <c r="E252" t="s">
        <v>7</v>
      </c>
    </row>
    <row r="253" spans="1:5" x14ac:dyDescent="0.25">
      <c r="A253" s="1">
        <v>44151</v>
      </c>
      <c r="B253" t="s">
        <v>268</v>
      </c>
      <c r="C253" t="s">
        <v>6</v>
      </c>
      <c r="D253">
        <v>915.1</v>
      </c>
      <c r="E253" t="s">
        <v>7</v>
      </c>
    </row>
    <row r="254" spans="1:5" x14ac:dyDescent="0.25">
      <c r="A254" s="1">
        <v>44151</v>
      </c>
      <c r="B254" t="s">
        <v>269</v>
      </c>
      <c r="C254" t="s">
        <v>25</v>
      </c>
      <c r="D254">
        <v>240.68</v>
      </c>
      <c r="E254" t="s">
        <v>7</v>
      </c>
    </row>
    <row r="255" spans="1:5" x14ac:dyDescent="0.25">
      <c r="A255" s="1">
        <v>44152</v>
      </c>
      <c r="B255" t="s">
        <v>270</v>
      </c>
      <c r="C255" t="s">
        <v>6</v>
      </c>
      <c r="D255">
        <v>1318.74</v>
      </c>
      <c r="E255" t="s">
        <v>7</v>
      </c>
    </row>
    <row r="256" spans="1:5" x14ac:dyDescent="0.25">
      <c r="A256" s="1">
        <v>44155</v>
      </c>
      <c r="B256" t="s">
        <v>271</v>
      </c>
      <c r="C256" t="s">
        <v>17</v>
      </c>
      <c r="D256">
        <v>117.87</v>
      </c>
      <c r="E256" t="s">
        <v>7</v>
      </c>
    </row>
    <row r="257" spans="1:5" x14ac:dyDescent="0.25">
      <c r="A257" s="1">
        <v>44157</v>
      </c>
      <c r="B257" t="s">
        <v>272</v>
      </c>
      <c r="C257" t="s">
        <v>27</v>
      </c>
      <c r="D257">
        <v>1254.56</v>
      </c>
      <c r="E257" t="s">
        <v>7</v>
      </c>
    </row>
    <row r="258" spans="1:5" x14ac:dyDescent="0.25">
      <c r="A258" s="1">
        <v>44158</v>
      </c>
      <c r="B258" t="s">
        <v>273</v>
      </c>
      <c r="C258" t="s">
        <v>22</v>
      </c>
      <c r="D258">
        <v>541.44000000000005</v>
      </c>
      <c r="E258" t="s">
        <v>7</v>
      </c>
    </row>
    <row r="259" spans="1:5" x14ac:dyDescent="0.25">
      <c r="A259" s="1">
        <v>44160</v>
      </c>
      <c r="B259" t="s">
        <v>274</v>
      </c>
      <c r="C259" t="s">
        <v>20</v>
      </c>
      <c r="D259">
        <v>4089</v>
      </c>
      <c r="E259" t="s">
        <v>14</v>
      </c>
    </row>
    <row r="260" spans="1:5" x14ac:dyDescent="0.25">
      <c r="A260" s="1">
        <v>44160</v>
      </c>
      <c r="B260" t="s">
        <v>275</v>
      </c>
      <c r="C260" t="s">
        <v>27</v>
      </c>
      <c r="D260">
        <v>251.64</v>
      </c>
      <c r="E260" t="s">
        <v>7</v>
      </c>
    </row>
    <row r="261" spans="1:5" x14ac:dyDescent="0.25">
      <c r="A261" s="1">
        <v>44161</v>
      </c>
      <c r="B261" t="s">
        <v>276</v>
      </c>
      <c r="C261" t="s">
        <v>22</v>
      </c>
      <c r="D261">
        <v>1422.47</v>
      </c>
      <c r="E261" t="s">
        <v>7</v>
      </c>
    </row>
    <row r="262" spans="1:5" x14ac:dyDescent="0.25">
      <c r="A262" s="1">
        <v>44162</v>
      </c>
      <c r="B262" t="s">
        <v>277</v>
      </c>
      <c r="C262" t="s">
        <v>6</v>
      </c>
      <c r="D262">
        <v>1108.98</v>
      </c>
      <c r="E262" t="s">
        <v>7</v>
      </c>
    </row>
    <row r="263" spans="1:5" x14ac:dyDescent="0.25">
      <c r="A263" s="1">
        <v>44162</v>
      </c>
      <c r="B263" t="s">
        <v>278</v>
      </c>
      <c r="C263" t="s">
        <v>13</v>
      </c>
      <c r="D263">
        <v>4280</v>
      </c>
      <c r="E263" t="s">
        <v>14</v>
      </c>
    </row>
    <row r="264" spans="1:5" x14ac:dyDescent="0.25">
      <c r="A264" s="1">
        <v>44164</v>
      </c>
      <c r="B264" t="s">
        <v>279</v>
      </c>
      <c r="C264" t="s">
        <v>9</v>
      </c>
      <c r="D264">
        <v>1001.77</v>
      </c>
      <c r="E264" t="s">
        <v>7</v>
      </c>
    </row>
    <row r="265" spans="1:5" x14ac:dyDescent="0.25">
      <c r="A265" s="1">
        <v>44166</v>
      </c>
      <c r="B265" t="s">
        <v>280</v>
      </c>
      <c r="C265" t="s">
        <v>35</v>
      </c>
      <c r="D265">
        <v>836.83</v>
      </c>
      <c r="E265" t="s">
        <v>7</v>
      </c>
    </row>
    <row r="266" spans="1:5" x14ac:dyDescent="0.25">
      <c r="A266" s="1">
        <v>44170</v>
      </c>
      <c r="B266" t="s">
        <v>281</v>
      </c>
      <c r="C266" t="s">
        <v>27</v>
      </c>
      <c r="D266">
        <v>495.02</v>
      </c>
      <c r="E266" t="s">
        <v>7</v>
      </c>
    </row>
    <row r="267" spans="1:5" x14ac:dyDescent="0.25">
      <c r="A267" s="1">
        <v>44170</v>
      </c>
      <c r="B267" t="s">
        <v>282</v>
      </c>
      <c r="C267" t="s">
        <v>17</v>
      </c>
      <c r="D267">
        <v>389.31</v>
      </c>
      <c r="E267" t="s">
        <v>7</v>
      </c>
    </row>
    <row r="268" spans="1:5" x14ac:dyDescent="0.25">
      <c r="A268" s="1">
        <v>44171</v>
      </c>
      <c r="B268" t="s">
        <v>283</v>
      </c>
      <c r="C268" t="s">
        <v>9</v>
      </c>
      <c r="D268">
        <v>1729.41</v>
      </c>
      <c r="E268" t="s">
        <v>7</v>
      </c>
    </row>
    <row r="269" spans="1:5" x14ac:dyDescent="0.25">
      <c r="A269" s="1">
        <v>44175</v>
      </c>
      <c r="B269" t="s">
        <v>284</v>
      </c>
      <c r="C269" t="s">
        <v>17</v>
      </c>
      <c r="D269">
        <v>686.35</v>
      </c>
      <c r="E269" t="s">
        <v>7</v>
      </c>
    </row>
    <row r="270" spans="1:5" x14ac:dyDescent="0.25">
      <c r="A270" s="1">
        <v>44175</v>
      </c>
      <c r="B270" t="s">
        <v>285</v>
      </c>
      <c r="C270" t="s">
        <v>35</v>
      </c>
      <c r="D270">
        <v>1642.89</v>
      </c>
      <c r="E270" t="s">
        <v>7</v>
      </c>
    </row>
    <row r="271" spans="1:5" x14ac:dyDescent="0.25">
      <c r="A271" s="1">
        <v>44176</v>
      </c>
      <c r="B271" t="s">
        <v>286</v>
      </c>
      <c r="C271" t="s">
        <v>35</v>
      </c>
      <c r="D271">
        <v>1676.58</v>
      </c>
      <c r="E271" t="s">
        <v>7</v>
      </c>
    </row>
    <row r="272" spans="1:5" x14ac:dyDescent="0.25">
      <c r="A272" s="1">
        <v>44177</v>
      </c>
      <c r="B272" t="s">
        <v>287</v>
      </c>
      <c r="C272" t="s">
        <v>27</v>
      </c>
      <c r="D272">
        <v>1731.87</v>
      </c>
      <c r="E272" t="s">
        <v>7</v>
      </c>
    </row>
    <row r="273" spans="1:5" x14ac:dyDescent="0.25">
      <c r="A273" s="1">
        <v>44178</v>
      </c>
      <c r="B273" t="s">
        <v>288</v>
      </c>
      <c r="C273" t="s">
        <v>27</v>
      </c>
      <c r="D273">
        <v>696.8</v>
      </c>
      <c r="E273" t="s">
        <v>7</v>
      </c>
    </row>
    <row r="274" spans="1:5" x14ac:dyDescent="0.25">
      <c r="A274" s="1">
        <v>44179</v>
      </c>
      <c r="B274" t="s">
        <v>289</v>
      </c>
      <c r="C274" t="s">
        <v>17</v>
      </c>
      <c r="D274">
        <v>916.14</v>
      </c>
      <c r="E274" t="s">
        <v>7</v>
      </c>
    </row>
    <row r="275" spans="1:5" x14ac:dyDescent="0.25">
      <c r="A275" s="1">
        <v>44179</v>
      </c>
      <c r="B275" t="s">
        <v>290</v>
      </c>
      <c r="C275" t="s">
        <v>22</v>
      </c>
      <c r="D275">
        <v>1961.74</v>
      </c>
      <c r="E275" t="s">
        <v>7</v>
      </c>
    </row>
    <row r="276" spans="1:5" x14ac:dyDescent="0.25">
      <c r="A276" s="1">
        <v>44181</v>
      </c>
      <c r="B276" t="s">
        <v>291</v>
      </c>
      <c r="C276" t="s">
        <v>17</v>
      </c>
      <c r="D276">
        <v>474.79</v>
      </c>
      <c r="E276" t="s">
        <v>7</v>
      </c>
    </row>
    <row r="277" spans="1:5" x14ac:dyDescent="0.25">
      <c r="A277" s="1">
        <v>44181</v>
      </c>
      <c r="B277" t="s">
        <v>292</v>
      </c>
      <c r="C277" t="s">
        <v>6</v>
      </c>
      <c r="D277">
        <v>643.16999999999996</v>
      </c>
      <c r="E277" t="s">
        <v>7</v>
      </c>
    </row>
    <row r="278" spans="1:5" x14ac:dyDescent="0.25">
      <c r="A278" s="1">
        <v>44181</v>
      </c>
      <c r="B278" t="s">
        <v>293</v>
      </c>
      <c r="C278" t="s">
        <v>17</v>
      </c>
      <c r="D278">
        <v>778.3</v>
      </c>
      <c r="E278" t="s">
        <v>7</v>
      </c>
    </row>
    <row r="279" spans="1:5" x14ac:dyDescent="0.25">
      <c r="A279" s="1">
        <v>44183</v>
      </c>
      <c r="B279" t="s">
        <v>294</v>
      </c>
      <c r="C279" t="s">
        <v>9</v>
      </c>
      <c r="D279">
        <v>995.7</v>
      </c>
      <c r="E279" t="s">
        <v>7</v>
      </c>
    </row>
    <row r="280" spans="1:5" x14ac:dyDescent="0.25">
      <c r="A280" s="1">
        <v>44183</v>
      </c>
      <c r="B280" t="s">
        <v>295</v>
      </c>
      <c r="C280" t="s">
        <v>20</v>
      </c>
      <c r="D280">
        <v>1322</v>
      </c>
      <c r="E280" t="s">
        <v>14</v>
      </c>
    </row>
    <row r="281" spans="1:5" x14ac:dyDescent="0.25">
      <c r="A281" s="1">
        <v>44185</v>
      </c>
      <c r="B281" t="s">
        <v>296</v>
      </c>
      <c r="C281" t="s">
        <v>27</v>
      </c>
      <c r="D281">
        <v>208.43</v>
      </c>
      <c r="E281" t="s">
        <v>7</v>
      </c>
    </row>
    <row r="282" spans="1:5" x14ac:dyDescent="0.25">
      <c r="A282" s="1">
        <v>44185</v>
      </c>
      <c r="B282" t="s">
        <v>297</v>
      </c>
      <c r="C282" t="s">
        <v>6</v>
      </c>
      <c r="D282">
        <v>1447.66</v>
      </c>
      <c r="E282" t="s">
        <v>7</v>
      </c>
    </row>
    <row r="283" spans="1:5" x14ac:dyDescent="0.25">
      <c r="A283" s="1">
        <v>44187</v>
      </c>
      <c r="B283" t="s">
        <v>298</v>
      </c>
      <c r="C283" t="s">
        <v>9</v>
      </c>
      <c r="D283">
        <v>158.91</v>
      </c>
      <c r="E283" t="s">
        <v>7</v>
      </c>
    </row>
    <row r="284" spans="1:5" x14ac:dyDescent="0.25">
      <c r="A284" s="1">
        <v>44188</v>
      </c>
      <c r="B284" t="s">
        <v>299</v>
      </c>
      <c r="C284" t="s">
        <v>35</v>
      </c>
      <c r="D284">
        <v>683.74</v>
      </c>
      <c r="E284" t="s">
        <v>7</v>
      </c>
    </row>
    <row r="285" spans="1:5" x14ac:dyDescent="0.25">
      <c r="A285" s="1">
        <v>44188</v>
      </c>
      <c r="B285" t="s">
        <v>300</v>
      </c>
      <c r="C285" t="s">
        <v>11</v>
      </c>
      <c r="D285">
        <v>1705.01</v>
      </c>
      <c r="E285" t="s">
        <v>7</v>
      </c>
    </row>
    <row r="286" spans="1:5" x14ac:dyDescent="0.25">
      <c r="A286" s="1">
        <v>44189</v>
      </c>
      <c r="B286" t="s">
        <v>301</v>
      </c>
      <c r="C286" t="s">
        <v>17</v>
      </c>
      <c r="D286">
        <v>1908.74</v>
      </c>
      <c r="E286" t="s">
        <v>7</v>
      </c>
    </row>
    <row r="287" spans="1:5" x14ac:dyDescent="0.25">
      <c r="A287" s="1">
        <v>44190</v>
      </c>
      <c r="B287" t="s">
        <v>302</v>
      </c>
      <c r="C287" t="s">
        <v>27</v>
      </c>
      <c r="D287">
        <v>1746.04</v>
      </c>
      <c r="E287" t="s">
        <v>7</v>
      </c>
    </row>
    <row r="288" spans="1:5" x14ac:dyDescent="0.25">
      <c r="A288" s="1">
        <v>44191</v>
      </c>
      <c r="B288" t="s">
        <v>303</v>
      </c>
      <c r="C288" t="s">
        <v>13</v>
      </c>
      <c r="D288">
        <v>2423</v>
      </c>
      <c r="E288" t="s">
        <v>14</v>
      </c>
    </row>
    <row r="289" spans="1:5" x14ac:dyDescent="0.25">
      <c r="A289" s="1">
        <v>44193</v>
      </c>
      <c r="B289" t="s">
        <v>304</v>
      </c>
      <c r="C289" t="s">
        <v>35</v>
      </c>
      <c r="D289">
        <v>1994.88</v>
      </c>
      <c r="E289" t="s">
        <v>7</v>
      </c>
    </row>
    <row r="290" spans="1:5" x14ac:dyDescent="0.25">
      <c r="A290" s="1">
        <v>44195</v>
      </c>
      <c r="B290" t="s">
        <v>305</v>
      </c>
      <c r="C290" t="s">
        <v>17</v>
      </c>
      <c r="D290">
        <v>1956.89</v>
      </c>
      <c r="E290" t="s">
        <v>7</v>
      </c>
    </row>
    <row r="291" spans="1:5" x14ac:dyDescent="0.25">
      <c r="A291" s="1">
        <v>44196</v>
      </c>
      <c r="B291" t="s">
        <v>306</v>
      </c>
      <c r="C291" t="s">
        <v>11</v>
      </c>
      <c r="D291">
        <v>892.92</v>
      </c>
      <c r="E291" t="s">
        <v>7</v>
      </c>
    </row>
    <row r="292" spans="1:5" x14ac:dyDescent="0.25">
      <c r="A292" s="1">
        <v>44197</v>
      </c>
      <c r="B292" t="s">
        <v>307</v>
      </c>
      <c r="C292" t="s">
        <v>6</v>
      </c>
      <c r="D292">
        <v>101.52</v>
      </c>
      <c r="E292" t="s">
        <v>7</v>
      </c>
    </row>
    <row r="293" spans="1:5" x14ac:dyDescent="0.25">
      <c r="A293" s="1">
        <v>44202</v>
      </c>
      <c r="B293" t="s">
        <v>308</v>
      </c>
      <c r="C293" t="s">
        <v>35</v>
      </c>
      <c r="D293">
        <v>723.34</v>
      </c>
      <c r="E293" t="s">
        <v>7</v>
      </c>
    </row>
    <row r="294" spans="1:5" x14ac:dyDescent="0.25">
      <c r="A294" s="1">
        <v>44202</v>
      </c>
      <c r="B294" t="s">
        <v>309</v>
      </c>
      <c r="C294" t="s">
        <v>22</v>
      </c>
      <c r="D294">
        <v>1067.02</v>
      </c>
      <c r="E294" t="s">
        <v>7</v>
      </c>
    </row>
    <row r="295" spans="1:5" x14ac:dyDescent="0.25">
      <c r="A295" s="1">
        <v>44204</v>
      </c>
      <c r="B295" t="s">
        <v>310</v>
      </c>
      <c r="C295" t="s">
        <v>9</v>
      </c>
      <c r="D295">
        <v>348.27</v>
      </c>
      <c r="E295" t="s">
        <v>7</v>
      </c>
    </row>
    <row r="296" spans="1:5" x14ac:dyDescent="0.25">
      <c r="A296" s="1">
        <v>44206</v>
      </c>
      <c r="B296" t="s">
        <v>311</v>
      </c>
      <c r="C296" t="s">
        <v>20</v>
      </c>
      <c r="D296">
        <v>2472</v>
      </c>
      <c r="E296" t="s">
        <v>14</v>
      </c>
    </row>
    <row r="297" spans="1:5" x14ac:dyDescent="0.25">
      <c r="A297" s="1">
        <v>44206</v>
      </c>
      <c r="B297" t="s">
        <v>312</v>
      </c>
      <c r="C297" t="s">
        <v>9</v>
      </c>
      <c r="D297">
        <v>472.06</v>
      </c>
      <c r="E297" t="s">
        <v>7</v>
      </c>
    </row>
    <row r="298" spans="1:5" x14ac:dyDescent="0.25">
      <c r="A298" s="1">
        <v>44207</v>
      </c>
      <c r="B298" t="s">
        <v>313</v>
      </c>
      <c r="C298" t="s">
        <v>27</v>
      </c>
      <c r="D298">
        <v>518.1</v>
      </c>
      <c r="E298" t="s">
        <v>7</v>
      </c>
    </row>
    <row r="299" spans="1:5" x14ac:dyDescent="0.25">
      <c r="A299" s="1">
        <v>44208</v>
      </c>
      <c r="B299" t="s">
        <v>314</v>
      </c>
      <c r="C299" t="s">
        <v>20</v>
      </c>
      <c r="D299">
        <v>2856</v>
      </c>
      <c r="E299" t="s">
        <v>14</v>
      </c>
    </row>
    <row r="300" spans="1:5" x14ac:dyDescent="0.25">
      <c r="A300" s="1">
        <v>44209</v>
      </c>
      <c r="B300" t="s">
        <v>315</v>
      </c>
      <c r="C300" t="s">
        <v>9</v>
      </c>
      <c r="D300">
        <v>156.99</v>
      </c>
      <c r="E300" t="s">
        <v>7</v>
      </c>
    </row>
    <row r="301" spans="1:5" x14ac:dyDescent="0.25">
      <c r="A301" s="1">
        <v>44209</v>
      </c>
      <c r="B301" t="s">
        <v>316</v>
      </c>
      <c r="C301" t="s">
        <v>35</v>
      </c>
      <c r="D301">
        <v>1281.49</v>
      </c>
      <c r="E301" t="s">
        <v>7</v>
      </c>
    </row>
    <row r="302" spans="1:5" x14ac:dyDescent="0.25">
      <c r="A302" s="1">
        <v>44210</v>
      </c>
      <c r="B302" t="s">
        <v>317</v>
      </c>
      <c r="C302" t="s">
        <v>35</v>
      </c>
      <c r="D302">
        <v>919.1</v>
      </c>
      <c r="E302" t="s">
        <v>7</v>
      </c>
    </row>
    <row r="303" spans="1:5" x14ac:dyDescent="0.25">
      <c r="A303" s="1">
        <v>44210</v>
      </c>
      <c r="B303" t="s">
        <v>318</v>
      </c>
      <c r="C303" t="s">
        <v>17</v>
      </c>
      <c r="D303">
        <v>1708.14</v>
      </c>
      <c r="E303" t="s">
        <v>7</v>
      </c>
    </row>
    <row r="304" spans="1:5" x14ac:dyDescent="0.25">
      <c r="A304" s="1">
        <v>44211</v>
      </c>
      <c r="B304" t="s">
        <v>319</v>
      </c>
      <c r="C304" t="s">
        <v>20</v>
      </c>
      <c r="D304">
        <v>3440</v>
      </c>
      <c r="E304" t="s">
        <v>14</v>
      </c>
    </row>
    <row r="305" spans="1:5" x14ac:dyDescent="0.25">
      <c r="A305" s="1">
        <v>44211</v>
      </c>
      <c r="B305" t="s">
        <v>320</v>
      </c>
      <c r="C305" t="s">
        <v>35</v>
      </c>
      <c r="D305">
        <v>53.66</v>
      </c>
      <c r="E305" t="s">
        <v>7</v>
      </c>
    </row>
    <row r="306" spans="1:5" x14ac:dyDescent="0.25">
      <c r="A306" s="1">
        <v>44213</v>
      </c>
      <c r="B306" t="s">
        <v>321</v>
      </c>
      <c r="C306" t="s">
        <v>17</v>
      </c>
      <c r="D306">
        <v>556.22</v>
      </c>
      <c r="E306" t="s">
        <v>7</v>
      </c>
    </row>
    <row r="307" spans="1:5" x14ac:dyDescent="0.25">
      <c r="A307" s="1">
        <v>44213</v>
      </c>
      <c r="B307" t="s">
        <v>322</v>
      </c>
      <c r="C307" t="s">
        <v>6</v>
      </c>
      <c r="D307">
        <v>1822.13</v>
      </c>
      <c r="E307" t="s">
        <v>7</v>
      </c>
    </row>
    <row r="308" spans="1:5" x14ac:dyDescent="0.25">
      <c r="A308" s="1">
        <v>44215</v>
      </c>
      <c r="B308" t="s">
        <v>323</v>
      </c>
      <c r="C308" t="s">
        <v>35</v>
      </c>
      <c r="D308">
        <v>1553.72</v>
      </c>
      <c r="E308" t="s">
        <v>7</v>
      </c>
    </row>
    <row r="309" spans="1:5" x14ac:dyDescent="0.25">
      <c r="A309" s="1">
        <v>44216</v>
      </c>
      <c r="B309" t="s">
        <v>324</v>
      </c>
      <c r="C309" t="s">
        <v>25</v>
      </c>
      <c r="D309">
        <v>445.82</v>
      </c>
      <c r="E309" t="s">
        <v>7</v>
      </c>
    </row>
    <row r="310" spans="1:5" x14ac:dyDescent="0.25">
      <c r="A310" s="1">
        <v>44220</v>
      </c>
      <c r="B310" t="s">
        <v>325</v>
      </c>
      <c r="C310" t="s">
        <v>20</v>
      </c>
      <c r="D310">
        <v>1620</v>
      </c>
      <c r="E310" t="s">
        <v>14</v>
      </c>
    </row>
    <row r="311" spans="1:5" x14ac:dyDescent="0.25">
      <c r="A311" s="1">
        <v>44222</v>
      </c>
      <c r="B311" t="s">
        <v>326</v>
      </c>
      <c r="C311" t="s">
        <v>6</v>
      </c>
      <c r="D311">
        <v>624.78</v>
      </c>
      <c r="E311" t="s">
        <v>7</v>
      </c>
    </row>
    <row r="312" spans="1:5" x14ac:dyDescent="0.25">
      <c r="A312" s="1">
        <v>44223</v>
      </c>
      <c r="B312" t="s">
        <v>327</v>
      </c>
      <c r="C312" t="s">
        <v>25</v>
      </c>
      <c r="D312">
        <v>1467.4</v>
      </c>
      <c r="E312" t="s">
        <v>7</v>
      </c>
    </row>
    <row r="313" spans="1:5" x14ac:dyDescent="0.25">
      <c r="A313" s="1">
        <v>44223</v>
      </c>
      <c r="B313" t="s">
        <v>328</v>
      </c>
      <c r="C313" t="s">
        <v>20</v>
      </c>
      <c r="D313">
        <v>3176</v>
      </c>
      <c r="E313" t="s">
        <v>14</v>
      </c>
    </row>
    <row r="314" spans="1:5" x14ac:dyDescent="0.25">
      <c r="A314" s="1">
        <v>44223</v>
      </c>
      <c r="B314" t="s">
        <v>329</v>
      </c>
      <c r="C314" t="s">
        <v>9</v>
      </c>
      <c r="D314">
        <v>409.58</v>
      </c>
      <c r="E314" t="s">
        <v>7</v>
      </c>
    </row>
    <row r="315" spans="1:5" x14ac:dyDescent="0.25">
      <c r="A315" s="1">
        <v>44223</v>
      </c>
      <c r="B315" t="s">
        <v>330</v>
      </c>
      <c r="C315" t="s">
        <v>25</v>
      </c>
      <c r="D315">
        <v>1066.4000000000001</v>
      </c>
      <c r="E315" t="s">
        <v>7</v>
      </c>
    </row>
    <row r="316" spans="1:5" x14ac:dyDescent="0.25">
      <c r="A316" s="1">
        <v>44225</v>
      </c>
      <c r="B316" t="s">
        <v>331</v>
      </c>
      <c r="C316" t="s">
        <v>9</v>
      </c>
      <c r="D316">
        <v>521.37</v>
      </c>
      <c r="E316" t="s">
        <v>7</v>
      </c>
    </row>
    <row r="317" spans="1:5" x14ac:dyDescent="0.25">
      <c r="A317" s="1">
        <v>44229</v>
      </c>
      <c r="B317" t="s">
        <v>332</v>
      </c>
      <c r="C317" t="s">
        <v>27</v>
      </c>
      <c r="D317">
        <v>1935.09</v>
      </c>
      <c r="E317" t="s">
        <v>7</v>
      </c>
    </row>
    <row r="318" spans="1:5" x14ac:dyDescent="0.25">
      <c r="A318" s="1">
        <v>44232</v>
      </c>
      <c r="B318" t="s">
        <v>333</v>
      </c>
      <c r="C318" t="s">
        <v>25</v>
      </c>
      <c r="D318">
        <v>1610.42</v>
      </c>
      <c r="E318" t="s">
        <v>7</v>
      </c>
    </row>
    <row r="319" spans="1:5" x14ac:dyDescent="0.25">
      <c r="A319" s="1">
        <v>44232</v>
      </c>
      <c r="B319" t="s">
        <v>334</v>
      </c>
      <c r="C319" t="s">
        <v>11</v>
      </c>
      <c r="D319">
        <v>290.11</v>
      </c>
      <c r="E319" t="s">
        <v>7</v>
      </c>
    </row>
    <row r="320" spans="1:5" x14ac:dyDescent="0.25">
      <c r="A320" s="1">
        <v>44235</v>
      </c>
      <c r="B320" t="s">
        <v>335</v>
      </c>
      <c r="C320" t="s">
        <v>17</v>
      </c>
      <c r="D320">
        <v>1934.87</v>
      </c>
      <c r="E320" t="s">
        <v>7</v>
      </c>
    </row>
    <row r="321" spans="1:5" x14ac:dyDescent="0.25">
      <c r="A321" s="1">
        <v>44235</v>
      </c>
      <c r="B321" t="s">
        <v>336</v>
      </c>
      <c r="C321" t="s">
        <v>25</v>
      </c>
      <c r="D321">
        <v>189.7</v>
      </c>
      <c r="E321" t="s">
        <v>7</v>
      </c>
    </row>
    <row r="322" spans="1:5" x14ac:dyDescent="0.25">
      <c r="A322" s="1">
        <v>44236</v>
      </c>
      <c r="B322" t="s">
        <v>337</v>
      </c>
      <c r="C322" t="s">
        <v>35</v>
      </c>
      <c r="D322">
        <v>1077.78</v>
      </c>
      <c r="E322" t="s">
        <v>7</v>
      </c>
    </row>
    <row r="323" spans="1:5" x14ac:dyDescent="0.25">
      <c r="A323" s="1">
        <v>44236</v>
      </c>
      <c r="B323" t="s">
        <v>338</v>
      </c>
      <c r="C323" t="s">
        <v>35</v>
      </c>
      <c r="D323">
        <v>1173.27</v>
      </c>
      <c r="E323" t="s">
        <v>7</v>
      </c>
    </row>
    <row r="324" spans="1:5" x14ac:dyDescent="0.25">
      <c r="A324" s="1">
        <v>44238</v>
      </c>
      <c r="B324" t="s">
        <v>339</v>
      </c>
      <c r="C324" t="s">
        <v>25</v>
      </c>
      <c r="D324">
        <v>225.61</v>
      </c>
      <c r="E324" t="s">
        <v>7</v>
      </c>
    </row>
    <row r="325" spans="1:5" x14ac:dyDescent="0.25">
      <c r="A325" s="1">
        <v>44238</v>
      </c>
      <c r="B325" t="s">
        <v>340</v>
      </c>
      <c r="C325" t="s">
        <v>6</v>
      </c>
      <c r="D325">
        <v>1242.9000000000001</v>
      </c>
      <c r="E325" t="s">
        <v>7</v>
      </c>
    </row>
    <row r="326" spans="1:5" x14ac:dyDescent="0.25">
      <c r="A326" s="1">
        <v>44240</v>
      </c>
      <c r="B326" t="s">
        <v>341</v>
      </c>
      <c r="C326" t="s">
        <v>25</v>
      </c>
      <c r="D326">
        <v>1831.36</v>
      </c>
      <c r="E326" t="s">
        <v>7</v>
      </c>
    </row>
    <row r="327" spans="1:5" x14ac:dyDescent="0.25">
      <c r="A327" s="1">
        <v>44243</v>
      </c>
      <c r="B327" t="s">
        <v>342</v>
      </c>
      <c r="C327" t="s">
        <v>11</v>
      </c>
      <c r="D327">
        <v>1274.45</v>
      </c>
      <c r="E327" t="s">
        <v>7</v>
      </c>
    </row>
    <row r="328" spans="1:5" x14ac:dyDescent="0.25">
      <c r="A328" s="1">
        <v>44245</v>
      </c>
      <c r="B328" t="s">
        <v>343</v>
      </c>
      <c r="C328" t="s">
        <v>35</v>
      </c>
      <c r="D328">
        <v>1301.99</v>
      </c>
      <c r="E328" t="s">
        <v>7</v>
      </c>
    </row>
    <row r="329" spans="1:5" x14ac:dyDescent="0.25">
      <c r="A329" s="1">
        <v>44246</v>
      </c>
      <c r="B329" t="s">
        <v>344</v>
      </c>
      <c r="C329" t="s">
        <v>13</v>
      </c>
      <c r="D329">
        <v>804</v>
      </c>
      <c r="E329" t="s">
        <v>14</v>
      </c>
    </row>
    <row r="330" spans="1:5" x14ac:dyDescent="0.25">
      <c r="A330" s="1">
        <v>44247</v>
      </c>
      <c r="B330" t="s">
        <v>345</v>
      </c>
      <c r="C330" t="s">
        <v>27</v>
      </c>
      <c r="D330">
        <v>241.08</v>
      </c>
      <c r="E330" t="s">
        <v>7</v>
      </c>
    </row>
    <row r="331" spans="1:5" x14ac:dyDescent="0.25">
      <c r="A331" s="1">
        <v>44248</v>
      </c>
      <c r="B331" t="s">
        <v>346</v>
      </c>
      <c r="C331" t="s">
        <v>9</v>
      </c>
      <c r="D331">
        <v>783.41</v>
      </c>
      <c r="E331" t="s">
        <v>7</v>
      </c>
    </row>
    <row r="332" spans="1:5" x14ac:dyDescent="0.25">
      <c r="A332" s="1">
        <v>44250</v>
      </c>
      <c r="B332" t="s">
        <v>347</v>
      </c>
      <c r="C332" t="s">
        <v>17</v>
      </c>
      <c r="D332">
        <v>1178.81</v>
      </c>
      <c r="E332" t="s">
        <v>7</v>
      </c>
    </row>
    <row r="333" spans="1:5" x14ac:dyDescent="0.25">
      <c r="A333" s="1">
        <v>44251</v>
      </c>
      <c r="B333" t="s">
        <v>348</v>
      </c>
      <c r="C333" t="s">
        <v>17</v>
      </c>
      <c r="D333">
        <v>1313.29</v>
      </c>
      <c r="E333" t="s">
        <v>7</v>
      </c>
    </row>
    <row r="334" spans="1:5" x14ac:dyDescent="0.25">
      <c r="A334" s="1">
        <v>44254</v>
      </c>
      <c r="B334" t="s">
        <v>349</v>
      </c>
      <c r="C334" t="s">
        <v>17</v>
      </c>
      <c r="D334">
        <v>1878.72</v>
      </c>
      <c r="E334" t="s">
        <v>7</v>
      </c>
    </row>
    <row r="335" spans="1:5" x14ac:dyDescent="0.25">
      <c r="A335" s="1">
        <v>44255</v>
      </c>
      <c r="B335" t="s">
        <v>350</v>
      </c>
      <c r="C335" t="s">
        <v>25</v>
      </c>
      <c r="D335">
        <v>442.37</v>
      </c>
      <c r="E335" t="s">
        <v>7</v>
      </c>
    </row>
    <row r="336" spans="1:5" x14ac:dyDescent="0.25">
      <c r="A336" s="1">
        <v>44257</v>
      </c>
      <c r="B336" t="s">
        <v>351</v>
      </c>
      <c r="C336" t="s">
        <v>22</v>
      </c>
      <c r="D336">
        <v>1712.35</v>
      </c>
      <c r="E336" t="s">
        <v>7</v>
      </c>
    </row>
    <row r="337" spans="1:5" x14ac:dyDescent="0.25">
      <c r="A337" s="1">
        <v>44257</v>
      </c>
      <c r="B337" t="s">
        <v>352</v>
      </c>
      <c r="C337" t="s">
        <v>20</v>
      </c>
      <c r="D337">
        <v>4960</v>
      </c>
      <c r="E337" t="s">
        <v>14</v>
      </c>
    </row>
    <row r="338" spans="1:5" x14ac:dyDescent="0.25">
      <c r="A338" s="1">
        <v>44257</v>
      </c>
      <c r="B338" t="s">
        <v>353</v>
      </c>
      <c r="C338" t="s">
        <v>25</v>
      </c>
      <c r="D338">
        <v>130.49</v>
      </c>
      <c r="E338" t="s">
        <v>7</v>
      </c>
    </row>
    <row r="339" spans="1:5" x14ac:dyDescent="0.25">
      <c r="A339" s="1">
        <v>44259</v>
      </c>
      <c r="B339" t="s">
        <v>354</v>
      </c>
      <c r="C339" t="s">
        <v>11</v>
      </c>
      <c r="D339">
        <v>1898.53</v>
      </c>
      <c r="E339" t="s">
        <v>7</v>
      </c>
    </row>
    <row r="340" spans="1:5" x14ac:dyDescent="0.25">
      <c r="A340" s="1">
        <v>44260</v>
      </c>
      <c r="B340" t="s">
        <v>355</v>
      </c>
      <c r="C340" t="s">
        <v>11</v>
      </c>
      <c r="D340">
        <v>1328.91</v>
      </c>
      <c r="E340" t="s">
        <v>7</v>
      </c>
    </row>
    <row r="341" spans="1:5" x14ac:dyDescent="0.25">
      <c r="A341" s="1">
        <v>44260</v>
      </c>
      <c r="B341" t="s">
        <v>356</v>
      </c>
      <c r="C341" t="s">
        <v>6</v>
      </c>
      <c r="D341">
        <v>110.65</v>
      </c>
      <c r="E341" t="s">
        <v>7</v>
      </c>
    </row>
    <row r="342" spans="1:5" x14ac:dyDescent="0.25">
      <c r="A342" s="1">
        <v>44262</v>
      </c>
      <c r="B342" t="s">
        <v>357</v>
      </c>
      <c r="C342" t="s">
        <v>9</v>
      </c>
      <c r="D342">
        <v>1576.09</v>
      </c>
      <c r="E342" t="s">
        <v>7</v>
      </c>
    </row>
    <row r="343" spans="1:5" x14ac:dyDescent="0.25">
      <c r="A343" s="1">
        <v>44262</v>
      </c>
      <c r="B343" t="s">
        <v>358</v>
      </c>
      <c r="C343" t="s">
        <v>22</v>
      </c>
      <c r="D343">
        <v>1176.9000000000001</v>
      </c>
      <c r="E343" t="s">
        <v>7</v>
      </c>
    </row>
    <row r="344" spans="1:5" x14ac:dyDescent="0.25">
      <c r="A344" s="1">
        <v>44263</v>
      </c>
      <c r="B344" t="s">
        <v>359</v>
      </c>
      <c r="C344" t="s">
        <v>22</v>
      </c>
      <c r="D344">
        <v>663.83</v>
      </c>
      <c r="E344" t="s">
        <v>7</v>
      </c>
    </row>
    <row r="345" spans="1:5" x14ac:dyDescent="0.25">
      <c r="A345" s="1">
        <v>44264</v>
      </c>
      <c r="B345" t="s">
        <v>360</v>
      </c>
      <c r="C345" t="s">
        <v>13</v>
      </c>
      <c r="D345">
        <v>2771</v>
      </c>
      <c r="E345" t="s">
        <v>14</v>
      </c>
    </row>
    <row r="346" spans="1:5" x14ac:dyDescent="0.25">
      <c r="A346" s="1">
        <v>44264</v>
      </c>
      <c r="B346" t="s">
        <v>361</v>
      </c>
      <c r="C346" t="s">
        <v>9</v>
      </c>
      <c r="D346">
        <v>1975.18</v>
      </c>
      <c r="E346" t="s">
        <v>7</v>
      </c>
    </row>
    <row r="347" spans="1:5" x14ac:dyDescent="0.25">
      <c r="A347" s="1">
        <v>44265</v>
      </c>
      <c r="B347" t="s">
        <v>362</v>
      </c>
      <c r="C347" t="s">
        <v>9</v>
      </c>
      <c r="D347">
        <v>228.75</v>
      </c>
      <c r="E347" t="s">
        <v>7</v>
      </c>
    </row>
    <row r="348" spans="1:5" x14ac:dyDescent="0.25">
      <c r="A348" s="1">
        <v>44267</v>
      </c>
      <c r="B348" t="s">
        <v>363</v>
      </c>
      <c r="C348" t="s">
        <v>9</v>
      </c>
      <c r="D348">
        <v>39.57</v>
      </c>
      <c r="E348" t="s">
        <v>7</v>
      </c>
    </row>
    <row r="349" spans="1:5" x14ac:dyDescent="0.25">
      <c r="A349" s="1">
        <v>44270</v>
      </c>
      <c r="B349" t="s">
        <v>364</v>
      </c>
      <c r="C349" t="s">
        <v>22</v>
      </c>
      <c r="D349">
        <v>1181.82</v>
      </c>
      <c r="E349" t="s">
        <v>7</v>
      </c>
    </row>
    <row r="350" spans="1:5" x14ac:dyDescent="0.25">
      <c r="A350" s="1">
        <v>44270</v>
      </c>
      <c r="B350" t="s">
        <v>365</v>
      </c>
      <c r="C350" t="s">
        <v>20</v>
      </c>
      <c r="D350">
        <v>929</v>
      </c>
      <c r="E350" t="s">
        <v>14</v>
      </c>
    </row>
    <row r="351" spans="1:5" x14ac:dyDescent="0.25">
      <c r="A351" s="1">
        <v>44271</v>
      </c>
      <c r="B351" t="s">
        <v>366</v>
      </c>
      <c r="C351" t="s">
        <v>20</v>
      </c>
      <c r="D351">
        <v>4809</v>
      </c>
      <c r="E351" t="s">
        <v>14</v>
      </c>
    </row>
    <row r="352" spans="1:5" x14ac:dyDescent="0.25">
      <c r="A352" s="1">
        <v>44271</v>
      </c>
      <c r="B352" t="s">
        <v>367</v>
      </c>
      <c r="C352" t="s">
        <v>13</v>
      </c>
      <c r="D352">
        <v>4401</v>
      </c>
      <c r="E352" t="s">
        <v>14</v>
      </c>
    </row>
    <row r="353" spans="1:5" x14ac:dyDescent="0.25">
      <c r="A353" s="1">
        <v>44272</v>
      </c>
      <c r="B353" t="s">
        <v>368</v>
      </c>
      <c r="C353" t="s">
        <v>25</v>
      </c>
      <c r="D353">
        <v>1031.3399999999999</v>
      </c>
      <c r="E353" t="s">
        <v>7</v>
      </c>
    </row>
    <row r="354" spans="1:5" x14ac:dyDescent="0.25">
      <c r="A354" s="1">
        <v>44272</v>
      </c>
      <c r="B354" t="s">
        <v>369</v>
      </c>
      <c r="C354" t="s">
        <v>13</v>
      </c>
      <c r="D354">
        <v>855</v>
      </c>
      <c r="E354" t="s">
        <v>14</v>
      </c>
    </row>
    <row r="355" spans="1:5" x14ac:dyDescent="0.25">
      <c r="A355" s="1">
        <v>44273</v>
      </c>
      <c r="B355" t="s">
        <v>370</v>
      </c>
      <c r="C355" t="s">
        <v>35</v>
      </c>
      <c r="D355">
        <v>921.5</v>
      </c>
      <c r="E355" t="s">
        <v>7</v>
      </c>
    </row>
    <row r="356" spans="1:5" x14ac:dyDescent="0.25">
      <c r="A356" s="1">
        <v>44274</v>
      </c>
      <c r="B356" t="s">
        <v>371</v>
      </c>
      <c r="C356" t="s">
        <v>6</v>
      </c>
      <c r="D356">
        <v>1997.19</v>
      </c>
      <c r="E356" t="s">
        <v>7</v>
      </c>
    </row>
    <row r="357" spans="1:5" x14ac:dyDescent="0.25">
      <c r="A357" s="1">
        <v>44275</v>
      </c>
      <c r="B357" t="s">
        <v>372</v>
      </c>
      <c r="C357" t="s">
        <v>17</v>
      </c>
      <c r="D357">
        <v>1375.33</v>
      </c>
      <c r="E357" t="s">
        <v>7</v>
      </c>
    </row>
    <row r="358" spans="1:5" x14ac:dyDescent="0.25">
      <c r="A358" s="1">
        <v>44276</v>
      </c>
      <c r="B358" t="s">
        <v>373</v>
      </c>
      <c r="C358" t="s">
        <v>27</v>
      </c>
      <c r="D358">
        <v>156.25</v>
      </c>
      <c r="E358" t="s">
        <v>7</v>
      </c>
    </row>
    <row r="359" spans="1:5" x14ac:dyDescent="0.25">
      <c r="A359" s="1">
        <v>44277</v>
      </c>
      <c r="B359" t="s">
        <v>374</v>
      </c>
      <c r="C359" t="s">
        <v>13</v>
      </c>
      <c r="D359">
        <v>1038</v>
      </c>
      <c r="E359" t="s">
        <v>14</v>
      </c>
    </row>
    <row r="360" spans="1:5" x14ac:dyDescent="0.25">
      <c r="A360" s="1">
        <v>44277</v>
      </c>
      <c r="B360" t="s">
        <v>375</v>
      </c>
      <c r="C360" t="s">
        <v>20</v>
      </c>
      <c r="D360">
        <v>3620</v>
      </c>
      <c r="E360" t="s">
        <v>14</v>
      </c>
    </row>
    <row r="361" spans="1:5" x14ac:dyDescent="0.25">
      <c r="A361" s="1">
        <v>44277</v>
      </c>
      <c r="B361" t="s">
        <v>376</v>
      </c>
      <c r="C361" t="s">
        <v>35</v>
      </c>
      <c r="D361">
        <v>912.89</v>
      </c>
      <c r="E361" t="s">
        <v>7</v>
      </c>
    </row>
    <row r="362" spans="1:5" x14ac:dyDescent="0.25">
      <c r="A362" s="1">
        <v>44278</v>
      </c>
      <c r="B362" t="s">
        <v>377</v>
      </c>
      <c r="C362" t="s">
        <v>11</v>
      </c>
      <c r="D362">
        <v>1588.26</v>
      </c>
      <c r="E362" t="s">
        <v>7</v>
      </c>
    </row>
    <row r="363" spans="1:5" x14ac:dyDescent="0.25">
      <c r="A363" s="1">
        <v>44278</v>
      </c>
      <c r="B363" t="s">
        <v>378</v>
      </c>
      <c r="C363" t="s">
        <v>13</v>
      </c>
      <c r="D363">
        <v>4023</v>
      </c>
      <c r="E363" t="s">
        <v>14</v>
      </c>
    </row>
    <row r="364" spans="1:5" x14ac:dyDescent="0.25">
      <c r="A364" s="1">
        <v>44279</v>
      </c>
      <c r="B364" t="s">
        <v>379</v>
      </c>
      <c r="C364" t="s">
        <v>22</v>
      </c>
      <c r="D364">
        <v>833.49</v>
      </c>
      <c r="E364" t="s">
        <v>7</v>
      </c>
    </row>
    <row r="365" spans="1:5" x14ac:dyDescent="0.25">
      <c r="A365" s="1">
        <v>44280</v>
      </c>
      <c r="B365" t="s">
        <v>380</v>
      </c>
      <c r="C365" t="s">
        <v>17</v>
      </c>
      <c r="D365">
        <v>837.82</v>
      </c>
      <c r="E365" t="s">
        <v>7</v>
      </c>
    </row>
    <row r="366" spans="1:5" x14ac:dyDescent="0.25">
      <c r="A366" s="1">
        <v>44281</v>
      </c>
      <c r="B366" t="s">
        <v>381</v>
      </c>
      <c r="C366" t="s">
        <v>20</v>
      </c>
      <c r="D366">
        <v>3060</v>
      </c>
      <c r="E366" t="s">
        <v>14</v>
      </c>
    </row>
    <row r="367" spans="1:5" x14ac:dyDescent="0.25">
      <c r="A367" s="1">
        <v>44282</v>
      </c>
      <c r="B367" t="s">
        <v>382</v>
      </c>
      <c r="C367" t="s">
        <v>25</v>
      </c>
      <c r="D367">
        <v>1907.65</v>
      </c>
      <c r="E367" t="s">
        <v>7</v>
      </c>
    </row>
    <row r="368" spans="1:5" x14ac:dyDescent="0.25">
      <c r="A368" s="1">
        <v>44283</v>
      </c>
      <c r="B368" t="s">
        <v>383</v>
      </c>
      <c r="C368" t="s">
        <v>27</v>
      </c>
      <c r="D368">
        <v>143.6</v>
      </c>
      <c r="E368" t="s">
        <v>7</v>
      </c>
    </row>
    <row r="369" spans="1:5" x14ac:dyDescent="0.25">
      <c r="A369" s="1">
        <v>44284</v>
      </c>
      <c r="B369" t="s">
        <v>384</v>
      </c>
      <c r="C369" t="s">
        <v>11</v>
      </c>
      <c r="D369">
        <v>869.43</v>
      </c>
      <c r="E369" t="s">
        <v>7</v>
      </c>
    </row>
    <row r="370" spans="1:5" x14ac:dyDescent="0.25">
      <c r="A370" s="1">
        <v>44285</v>
      </c>
      <c r="B370" t="s">
        <v>385</v>
      </c>
      <c r="C370" t="s">
        <v>25</v>
      </c>
      <c r="D370">
        <v>1625.42</v>
      </c>
      <c r="E370" t="s">
        <v>7</v>
      </c>
    </row>
    <row r="371" spans="1:5" x14ac:dyDescent="0.25">
      <c r="A371" s="1">
        <v>44287</v>
      </c>
      <c r="B371" t="s">
        <v>386</v>
      </c>
      <c r="C371" t="s">
        <v>25</v>
      </c>
      <c r="D371">
        <v>1343.33</v>
      </c>
      <c r="E371" t="s">
        <v>7</v>
      </c>
    </row>
    <row r="372" spans="1:5" x14ac:dyDescent="0.25">
      <c r="A372" s="1">
        <v>44288</v>
      </c>
      <c r="B372" t="s">
        <v>387</v>
      </c>
      <c r="C372" t="s">
        <v>17</v>
      </c>
      <c r="D372">
        <v>1737.5</v>
      </c>
      <c r="E372" t="s">
        <v>7</v>
      </c>
    </row>
    <row r="373" spans="1:5" x14ac:dyDescent="0.25">
      <c r="A373" s="1">
        <v>44289</v>
      </c>
      <c r="B373" t="s">
        <v>388</v>
      </c>
      <c r="C373" t="s">
        <v>35</v>
      </c>
      <c r="D373">
        <v>1204.82</v>
      </c>
      <c r="E373" t="s">
        <v>7</v>
      </c>
    </row>
    <row r="374" spans="1:5" x14ac:dyDescent="0.25">
      <c r="A374" s="1">
        <v>44289</v>
      </c>
      <c r="B374" t="s">
        <v>389</v>
      </c>
      <c r="C374" t="s">
        <v>22</v>
      </c>
      <c r="D374">
        <v>317.91000000000003</v>
      </c>
      <c r="E374" t="s">
        <v>7</v>
      </c>
    </row>
    <row r="375" spans="1:5" x14ac:dyDescent="0.25">
      <c r="A375" s="1">
        <v>44289</v>
      </c>
      <c r="B375" t="s">
        <v>390</v>
      </c>
      <c r="C375" t="s">
        <v>11</v>
      </c>
      <c r="D375">
        <v>706.73</v>
      </c>
      <c r="E375" t="s">
        <v>7</v>
      </c>
    </row>
    <row r="376" spans="1:5" x14ac:dyDescent="0.25">
      <c r="A376" s="1">
        <v>44294</v>
      </c>
      <c r="B376" t="s">
        <v>391</v>
      </c>
      <c r="C376" t="s">
        <v>11</v>
      </c>
      <c r="D376">
        <v>1527.59</v>
      </c>
      <c r="E376" t="s">
        <v>7</v>
      </c>
    </row>
    <row r="377" spans="1:5" x14ac:dyDescent="0.25">
      <c r="A377" s="1">
        <v>44294</v>
      </c>
      <c r="B377" t="s">
        <v>392</v>
      </c>
      <c r="C377" t="s">
        <v>17</v>
      </c>
      <c r="D377">
        <v>1691.86</v>
      </c>
      <c r="E377" t="s">
        <v>7</v>
      </c>
    </row>
    <row r="378" spans="1:5" x14ac:dyDescent="0.25">
      <c r="A378" s="1">
        <v>44295</v>
      </c>
      <c r="B378" t="s">
        <v>393</v>
      </c>
      <c r="C378" t="s">
        <v>6</v>
      </c>
      <c r="D378">
        <v>1221.9000000000001</v>
      </c>
      <c r="E378" t="s">
        <v>7</v>
      </c>
    </row>
    <row r="379" spans="1:5" x14ac:dyDescent="0.25">
      <c r="A379" s="1">
        <v>44297</v>
      </c>
      <c r="B379" t="s">
        <v>394</v>
      </c>
      <c r="C379" t="s">
        <v>35</v>
      </c>
      <c r="D379">
        <v>67.62</v>
      </c>
      <c r="E379" t="s">
        <v>7</v>
      </c>
    </row>
    <row r="380" spans="1:5" x14ac:dyDescent="0.25">
      <c r="A380" s="1">
        <v>44297</v>
      </c>
      <c r="B380" t="s">
        <v>395</v>
      </c>
      <c r="C380" t="s">
        <v>35</v>
      </c>
      <c r="D380">
        <v>1843.86</v>
      </c>
      <c r="E380" t="s">
        <v>7</v>
      </c>
    </row>
    <row r="381" spans="1:5" x14ac:dyDescent="0.25">
      <c r="A381" s="1">
        <v>44298</v>
      </c>
      <c r="B381" t="s">
        <v>396</v>
      </c>
      <c r="C381" t="s">
        <v>9</v>
      </c>
      <c r="D381">
        <v>1741.03</v>
      </c>
      <c r="E381" t="s">
        <v>7</v>
      </c>
    </row>
    <row r="382" spans="1:5" x14ac:dyDescent="0.25">
      <c r="A382" s="1">
        <v>44299</v>
      </c>
      <c r="B382" t="s">
        <v>397</v>
      </c>
      <c r="C382" t="s">
        <v>17</v>
      </c>
      <c r="D382">
        <v>148.47</v>
      </c>
      <c r="E382" t="s">
        <v>7</v>
      </c>
    </row>
    <row r="383" spans="1:5" x14ac:dyDescent="0.25">
      <c r="A383" s="1">
        <v>44304</v>
      </c>
      <c r="B383" t="s">
        <v>398</v>
      </c>
      <c r="C383" t="s">
        <v>6</v>
      </c>
      <c r="D383">
        <v>192.6</v>
      </c>
      <c r="E383" t="s">
        <v>7</v>
      </c>
    </row>
    <row r="384" spans="1:5" x14ac:dyDescent="0.25">
      <c r="A384" s="1">
        <v>44305</v>
      </c>
      <c r="B384" t="s">
        <v>399</v>
      </c>
      <c r="C384" t="s">
        <v>17</v>
      </c>
      <c r="D384">
        <v>845.47</v>
      </c>
      <c r="E384" t="s">
        <v>7</v>
      </c>
    </row>
    <row r="385" spans="1:5" x14ac:dyDescent="0.25">
      <c r="A385" s="1">
        <v>44305</v>
      </c>
      <c r="B385" t="s">
        <v>400</v>
      </c>
      <c r="C385" t="s">
        <v>25</v>
      </c>
      <c r="D385">
        <v>630.16</v>
      </c>
      <c r="E385" t="s">
        <v>7</v>
      </c>
    </row>
    <row r="386" spans="1:5" x14ac:dyDescent="0.25">
      <c r="A386" s="1">
        <v>44305</v>
      </c>
      <c r="B386" t="s">
        <v>401</v>
      </c>
      <c r="C386" t="s">
        <v>11</v>
      </c>
      <c r="D386">
        <v>1767.85</v>
      </c>
      <c r="E386" t="s">
        <v>7</v>
      </c>
    </row>
    <row r="387" spans="1:5" x14ac:dyDescent="0.25">
      <c r="A387" s="1">
        <v>44305</v>
      </c>
      <c r="B387" t="s">
        <v>402</v>
      </c>
      <c r="C387" t="s">
        <v>13</v>
      </c>
      <c r="D387">
        <v>1168</v>
      </c>
      <c r="E387" t="s">
        <v>14</v>
      </c>
    </row>
    <row r="388" spans="1:5" x14ac:dyDescent="0.25">
      <c r="A388" s="1">
        <v>44307</v>
      </c>
      <c r="B388" t="s">
        <v>403</v>
      </c>
      <c r="C388" t="s">
        <v>17</v>
      </c>
      <c r="D388">
        <v>976.47</v>
      </c>
      <c r="E388" t="s">
        <v>7</v>
      </c>
    </row>
    <row r="389" spans="1:5" x14ac:dyDescent="0.25">
      <c r="A389" s="1">
        <v>44309</v>
      </c>
      <c r="B389" t="s">
        <v>404</v>
      </c>
      <c r="C389" t="s">
        <v>35</v>
      </c>
      <c r="D389">
        <v>438.98</v>
      </c>
      <c r="E389" t="s">
        <v>7</v>
      </c>
    </row>
    <row r="390" spans="1:5" x14ac:dyDescent="0.25">
      <c r="A390" s="1">
        <v>44309</v>
      </c>
      <c r="B390" t="s">
        <v>405</v>
      </c>
      <c r="C390" t="s">
        <v>25</v>
      </c>
      <c r="D390">
        <v>865.53</v>
      </c>
      <c r="E390" t="s">
        <v>7</v>
      </c>
    </row>
    <row r="391" spans="1:5" x14ac:dyDescent="0.25">
      <c r="A391" s="1">
        <v>44310</v>
      </c>
      <c r="B391" t="s">
        <v>406</v>
      </c>
      <c r="C391" t="s">
        <v>27</v>
      </c>
      <c r="D391">
        <v>1058.5999999999999</v>
      </c>
      <c r="E391" t="s">
        <v>7</v>
      </c>
    </row>
    <row r="392" spans="1:5" x14ac:dyDescent="0.25">
      <c r="A392" s="1">
        <v>44313</v>
      </c>
      <c r="B392" t="s">
        <v>407</v>
      </c>
      <c r="C392" t="s">
        <v>22</v>
      </c>
      <c r="D392">
        <v>796.57</v>
      </c>
      <c r="E392" t="s">
        <v>7</v>
      </c>
    </row>
    <row r="393" spans="1:5" x14ac:dyDescent="0.25">
      <c r="A393" s="1">
        <v>44313</v>
      </c>
      <c r="B393" t="s">
        <v>408</v>
      </c>
      <c r="C393" t="s">
        <v>6</v>
      </c>
      <c r="D393">
        <v>416.8</v>
      </c>
      <c r="E393" t="s">
        <v>7</v>
      </c>
    </row>
    <row r="394" spans="1:5" x14ac:dyDescent="0.25">
      <c r="A394" s="1">
        <v>44313</v>
      </c>
      <c r="B394" t="s">
        <v>409</v>
      </c>
      <c r="C394" t="s">
        <v>9</v>
      </c>
      <c r="D394">
        <v>1530.68</v>
      </c>
      <c r="E394" t="s">
        <v>7</v>
      </c>
    </row>
    <row r="395" spans="1:5" x14ac:dyDescent="0.25">
      <c r="A395" s="1">
        <v>44316</v>
      </c>
      <c r="B395" t="s">
        <v>410</v>
      </c>
      <c r="C395" t="s">
        <v>11</v>
      </c>
      <c r="D395">
        <v>25.38</v>
      </c>
      <c r="E395" t="s">
        <v>7</v>
      </c>
    </row>
    <row r="396" spans="1:5" x14ac:dyDescent="0.25">
      <c r="A396" s="1">
        <v>44318</v>
      </c>
      <c r="B396" t="s">
        <v>411</v>
      </c>
      <c r="C396" t="s">
        <v>9</v>
      </c>
      <c r="D396">
        <v>267.08</v>
      </c>
      <c r="E396" t="s">
        <v>7</v>
      </c>
    </row>
    <row r="397" spans="1:5" x14ac:dyDescent="0.25">
      <c r="A397" s="1">
        <v>44320</v>
      </c>
      <c r="B397" t="s">
        <v>412</v>
      </c>
      <c r="C397" t="s">
        <v>22</v>
      </c>
      <c r="D397">
        <v>1005.52</v>
      </c>
      <c r="E397" t="s">
        <v>7</v>
      </c>
    </row>
    <row r="398" spans="1:5" x14ac:dyDescent="0.25">
      <c r="A398" s="1">
        <v>44320</v>
      </c>
      <c r="B398" t="s">
        <v>413</v>
      </c>
      <c r="C398" t="s">
        <v>25</v>
      </c>
      <c r="D398">
        <v>153.43</v>
      </c>
      <c r="E398" t="s">
        <v>7</v>
      </c>
    </row>
    <row r="399" spans="1:5" x14ac:dyDescent="0.25">
      <c r="A399" s="1">
        <v>44322</v>
      </c>
      <c r="B399" t="s">
        <v>414</v>
      </c>
      <c r="C399" t="s">
        <v>6</v>
      </c>
      <c r="D399">
        <v>878.08</v>
      </c>
      <c r="E399" t="s">
        <v>7</v>
      </c>
    </row>
    <row r="400" spans="1:5" x14ac:dyDescent="0.25">
      <c r="A400" s="1">
        <v>44323</v>
      </c>
      <c r="B400" t="s">
        <v>415</v>
      </c>
      <c r="C400" t="s">
        <v>11</v>
      </c>
      <c r="D400">
        <v>1725.6</v>
      </c>
      <c r="E400" t="s">
        <v>7</v>
      </c>
    </row>
    <row r="401" spans="1:5" x14ac:dyDescent="0.25">
      <c r="A401" s="1">
        <v>44323</v>
      </c>
      <c r="B401" t="s">
        <v>416</v>
      </c>
      <c r="C401" t="s">
        <v>17</v>
      </c>
      <c r="D401">
        <v>1421.9</v>
      </c>
      <c r="E401" t="s">
        <v>7</v>
      </c>
    </row>
    <row r="402" spans="1:5" x14ac:dyDescent="0.25">
      <c r="A402" s="1">
        <v>44323</v>
      </c>
      <c r="B402" t="s">
        <v>417</v>
      </c>
      <c r="C402" t="s">
        <v>11</v>
      </c>
      <c r="D402">
        <v>816.01</v>
      </c>
      <c r="E402" t="s">
        <v>7</v>
      </c>
    </row>
    <row r="403" spans="1:5" x14ac:dyDescent="0.25">
      <c r="A403" s="1">
        <v>44326</v>
      </c>
      <c r="B403" t="s">
        <v>418</v>
      </c>
      <c r="C403" t="s">
        <v>9</v>
      </c>
      <c r="D403">
        <v>1604.63</v>
      </c>
      <c r="E403" t="s">
        <v>7</v>
      </c>
    </row>
    <row r="404" spans="1:5" x14ac:dyDescent="0.25">
      <c r="A404" s="1">
        <v>44327</v>
      </c>
      <c r="B404" t="s">
        <v>419</v>
      </c>
      <c r="C404" t="s">
        <v>25</v>
      </c>
      <c r="D404">
        <v>185.38</v>
      </c>
      <c r="E404" t="s">
        <v>7</v>
      </c>
    </row>
    <row r="405" spans="1:5" x14ac:dyDescent="0.25">
      <c r="A405" s="1">
        <v>44327</v>
      </c>
      <c r="B405" t="s">
        <v>420</v>
      </c>
      <c r="C405" t="s">
        <v>22</v>
      </c>
      <c r="D405">
        <v>877</v>
      </c>
      <c r="E405" t="s">
        <v>7</v>
      </c>
    </row>
    <row r="406" spans="1:5" x14ac:dyDescent="0.25">
      <c r="A406" s="1">
        <v>44328</v>
      </c>
      <c r="B406" t="s">
        <v>421</v>
      </c>
      <c r="C406" t="s">
        <v>11</v>
      </c>
      <c r="D406">
        <v>797.58</v>
      </c>
      <c r="E406" t="s">
        <v>7</v>
      </c>
    </row>
    <row r="407" spans="1:5" x14ac:dyDescent="0.25">
      <c r="A407" s="1">
        <v>44330</v>
      </c>
      <c r="B407" t="s">
        <v>422</v>
      </c>
      <c r="C407" t="s">
        <v>25</v>
      </c>
      <c r="D407">
        <v>450.93</v>
      </c>
      <c r="E407" t="s">
        <v>7</v>
      </c>
    </row>
    <row r="408" spans="1:5" x14ac:dyDescent="0.25">
      <c r="A408" s="1">
        <v>44330</v>
      </c>
      <c r="B408" t="s">
        <v>423</v>
      </c>
      <c r="C408" t="s">
        <v>11</v>
      </c>
      <c r="D408">
        <v>1025.8599999999999</v>
      </c>
      <c r="E408" t="s">
        <v>7</v>
      </c>
    </row>
    <row r="409" spans="1:5" x14ac:dyDescent="0.25">
      <c r="A409" s="1">
        <v>44331</v>
      </c>
      <c r="B409" t="s">
        <v>424</v>
      </c>
      <c r="C409" t="s">
        <v>13</v>
      </c>
      <c r="D409">
        <v>3362</v>
      </c>
      <c r="E409" t="s">
        <v>14</v>
      </c>
    </row>
    <row r="410" spans="1:5" x14ac:dyDescent="0.25">
      <c r="A410" s="1">
        <v>44333</v>
      </c>
      <c r="B410" t="s">
        <v>425</v>
      </c>
      <c r="C410" t="s">
        <v>9</v>
      </c>
      <c r="D410">
        <v>480.18</v>
      </c>
      <c r="E410" t="s">
        <v>7</v>
      </c>
    </row>
    <row r="411" spans="1:5" x14ac:dyDescent="0.25">
      <c r="A411" s="1">
        <v>44335</v>
      </c>
      <c r="B411" t="s">
        <v>426</v>
      </c>
      <c r="C411" t="s">
        <v>13</v>
      </c>
      <c r="D411">
        <v>1921</v>
      </c>
      <c r="E411" t="s">
        <v>14</v>
      </c>
    </row>
    <row r="412" spans="1:5" x14ac:dyDescent="0.25">
      <c r="A412" s="1">
        <v>44338</v>
      </c>
      <c r="B412" t="s">
        <v>427</v>
      </c>
      <c r="C412" t="s">
        <v>11</v>
      </c>
      <c r="D412">
        <v>362.52</v>
      </c>
      <c r="E412" t="s">
        <v>7</v>
      </c>
    </row>
    <row r="413" spans="1:5" x14ac:dyDescent="0.25">
      <c r="A413" s="1">
        <v>44339</v>
      </c>
      <c r="B413" t="s">
        <v>428</v>
      </c>
      <c r="C413" t="s">
        <v>27</v>
      </c>
      <c r="D413">
        <v>933.27</v>
      </c>
      <c r="E413" t="s">
        <v>7</v>
      </c>
    </row>
    <row r="414" spans="1:5" x14ac:dyDescent="0.25">
      <c r="A414" s="1">
        <v>44340</v>
      </c>
      <c r="B414" t="s">
        <v>429</v>
      </c>
      <c r="C414" t="s">
        <v>27</v>
      </c>
      <c r="D414">
        <v>1365.46</v>
      </c>
      <c r="E414" t="s">
        <v>7</v>
      </c>
    </row>
    <row r="415" spans="1:5" x14ac:dyDescent="0.25">
      <c r="A415" s="1">
        <v>44340</v>
      </c>
      <c r="B415" t="s">
        <v>430</v>
      </c>
      <c r="C415" t="s">
        <v>25</v>
      </c>
      <c r="D415">
        <v>1729.85</v>
      </c>
      <c r="E415" t="s">
        <v>7</v>
      </c>
    </row>
    <row r="416" spans="1:5" x14ac:dyDescent="0.25">
      <c r="A416" s="1">
        <v>44340</v>
      </c>
      <c r="B416" t="s">
        <v>431</v>
      </c>
      <c r="C416" t="s">
        <v>9</v>
      </c>
      <c r="D416">
        <v>885.13</v>
      </c>
      <c r="E416" t="s">
        <v>7</v>
      </c>
    </row>
    <row r="417" spans="1:5" x14ac:dyDescent="0.25">
      <c r="A417" s="1">
        <v>44341</v>
      </c>
      <c r="B417" t="s">
        <v>432</v>
      </c>
      <c r="C417" t="s">
        <v>35</v>
      </c>
      <c r="D417">
        <v>1594.7</v>
      </c>
      <c r="E417" t="s">
        <v>7</v>
      </c>
    </row>
    <row r="418" spans="1:5" x14ac:dyDescent="0.25">
      <c r="A418" s="1">
        <v>44341</v>
      </c>
      <c r="B418" t="s">
        <v>433</v>
      </c>
      <c r="C418" t="s">
        <v>25</v>
      </c>
      <c r="D418">
        <v>1019.6</v>
      </c>
      <c r="E418" t="s">
        <v>7</v>
      </c>
    </row>
    <row r="419" spans="1:5" x14ac:dyDescent="0.25">
      <c r="A419" s="1">
        <v>44343</v>
      </c>
      <c r="B419" t="s">
        <v>434</v>
      </c>
      <c r="C419" t="s">
        <v>27</v>
      </c>
      <c r="D419">
        <v>84.84</v>
      </c>
      <c r="E419" t="s">
        <v>7</v>
      </c>
    </row>
    <row r="420" spans="1:5" x14ac:dyDescent="0.25">
      <c r="A420" s="1">
        <v>44343</v>
      </c>
      <c r="B420" t="s">
        <v>435</v>
      </c>
      <c r="C420" t="s">
        <v>35</v>
      </c>
      <c r="D420">
        <v>162.69</v>
      </c>
      <c r="E420" t="s">
        <v>7</v>
      </c>
    </row>
    <row r="421" spans="1:5" x14ac:dyDescent="0.25">
      <c r="A421" s="1">
        <v>44345</v>
      </c>
      <c r="B421" t="s">
        <v>436</v>
      </c>
      <c r="C421" t="s">
        <v>11</v>
      </c>
      <c r="D421">
        <v>1233.8699999999999</v>
      </c>
      <c r="E421" t="s">
        <v>7</v>
      </c>
    </row>
    <row r="422" spans="1:5" x14ac:dyDescent="0.25">
      <c r="A422" s="1">
        <v>44346</v>
      </c>
      <c r="B422" t="s">
        <v>437</v>
      </c>
      <c r="C422" t="s">
        <v>27</v>
      </c>
      <c r="D422">
        <v>1164.8599999999999</v>
      </c>
      <c r="E422" t="s">
        <v>7</v>
      </c>
    </row>
    <row r="423" spans="1:5" x14ac:dyDescent="0.25">
      <c r="A423" s="1">
        <v>44347</v>
      </c>
      <c r="B423" t="s">
        <v>438</v>
      </c>
      <c r="C423" t="s">
        <v>6</v>
      </c>
      <c r="D423">
        <v>904.97</v>
      </c>
      <c r="E423" t="s">
        <v>7</v>
      </c>
    </row>
    <row r="424" spans="1:5" x14ac:dyDescent="0.25">
      <c r="A424" s="1">
        <v>44347</v>
      </c>
      <c r="B424" t="s">
        <v>439</v>
      </c>
      <c r="C424" t="s">
        <v>22</v>
      </c>
      <c r="D424">
        <v>649.84</v>
      </c>
      <c r="E424" t="s">
        <v>7</v>
      </c>
    </row>
    <row r="425" spans="1:5" x14ac:dyDescent="0.25">
      <c r="A425" s="1">
        <v>44349</v>
      </c>
      <c r="B425" t="s">
        <v>440</v>
      </c>
      <c r="C425" t="s">
        <v>9</v>
      </c>
      <c r="D425">
        <v>1915.87</v>
      </c>
      <c r="E425" t="s">
        <v>7</v>
      </c>
    </row>
    <row r="426" spans="1:5" x14ac:dyDescent="0.25">
      <c r="A426" s="1">
        <v>44349</v>
      </c>
      <c r="B426" t="s">
        <v>441</v>
      </c>
      <c r="C426" t="s">
        <v>25</v>
      </c>
      <c r="D426">
        <v>1964.95</v>
      </c>
      <c r="E426" t="s">
        <v>7</v>
      </c>
    </row>
    <row r="427" spans="1:5" x14ac:dyDescent="0.25">
      <c r="A427" s="1">
        <v>44350</v>
      </c>
      <c r="B427" t="s">
        <v>442</v>
      </c>
      <c r="C427" t="s">
        <v>13</v>
      </c>
      <c r="D427">
        <v>820</v>
      </c>
      <c r="E427" t="s">
        <v>14</v>
      </c>
    </row>
    <row r="428" spans="1:5" x14ac:dyDescent="0.25">
      <c r="A428" s="1">
        <v>44353</v>
      </c>
      <c r="B428" t="s">
        <v>443</v>
      </c>
      <c r="C428" t="s">
        <v>27</v>
      </c>
      <c r="D428">
        <v>1982.06</v>
      </c>
      <c r="E428" t="s">
        <v>7</v>
      </c>
    </row>
    <row r="429" spans="1:5" x14ac:dyDescent="0.25">
      <c r="A429" s="1">
        <v>44353</v>
      </c>
      <c r="B429" t="s">
        <v>444</v>
      </c>
      <c r="C429" t="s">
        <v>9</v>
      </c>
      <c r="D429">
        <v>734.16</v>
      </c>
      <c r="E429" t="s">
        <v>7</v>
      </c>
    </row>
    <row r="430" spans="1:5" x14ac:dyDescent="0.25">
      <c r="A430" s="1">
        <v>44353</v>
      </c>
      <c r="B430" t="s">
        <v>445</v>
      </c>
      <c r="C430" t="s">
        <v>17</v>
      </c>
      <c r="D430">
        <v>823.45</v>
      </c>
      <c r="E430" t="s">
        <v>7</v>
      </c>
    </row>
    <row r="431" spans="1:5" x14ac:dyDescent="0.25">
      <c r="A431" s="1">
        <v>44356</v>
      </c>
      <c r="B431" t="s">
        <v>446</v>
      </c>
      <c r="C431" t="s">
        <v>6</v>
      </c>
      <c r="D431">
        <v>1580.56</v>
      </c>
      <c r="E431" t="s">
        <v>7</v>
      </c>
    </row>
    <row r="432" spans="1:5" x14ac:dyDescent="0.25">
      <c r="A432" s="1">
        <v>44358</v>
      </c>
      <c r="B432" t="s">
        <v>447</v>
      </c>
      <c r="C432" t="s">
        <v>11</v>
      </c>
      <c r="D432">
        <v>666.08</v>
      </c>
      <c r="E432" t="s">
        <v>7</v>
      </c>
    </row>
    <row r="433" spans="1:5" x14ac:dyDescent="0.25">
      <c r="A433" s="1">
        <v>44358</v>
      </c>
      <c r="B433" t="s">
        <v>448</v>
      </c>
      <c r="C433" t="s">
        <v>17</v>
      </c>
      <c r="D433">
        <v>575.45000000000005</v>
      </c>
      <c r="E433" t="s">
        <v>7</v>
      </c>
    </row>
    <row r="434" spans="1:5" x14ac:dyDescent="0.25">
      <c r="A434" s="1">
        <v>44361</v>
      </c>
      <c r="B434" t="s">
        <v>449</v>
      </c>
      <c r="C434" t="s">
        <v>9</v>
      </c>
      <c r="D434">
        <v>673.39</v>
      </c>
      <c r="E434" t="s">
        <v>7</v>
      </c>
    </row>
    <row r="435" spans="1:5" x14ac:dyDescent="0.25">
      <c r="A435" s="1">
        <v>44362</v>
      </c>
      <c r="B435" t="s">
        <v>450</v>
      </c>
      <c r="C435" t="s">
        <v>9</v>
      </c>
      <c r="D435">
        <v>1834.33</v>
      </c>
      <c r="E435" t="s">
        <v>7</v>
      </c>
    </row>
    <row r="436" spans="1:5" x14ac:dyDescent="0.25">
      <c r="A436" s="1">
        <v>44363</v>
      </c>
      <c r="B436" t="s">
        <v>451</v>
      </c>
      <c r="C436" t="s">
        <v>17</v>
      </c>
      <c r="D436">
        <v>266.61</v>
      </c>
      <c r="E436" t="s">
        <v>7</v>
      </c>
    </row>
    <row r="437" spans="1:5" x14ac:dyDescent="0.25">
      <c r="A437" s="1">
        <v>44367</v>
      </c>
      <c r="B437" t="s">
        <v>452</v>
      </c>
      <c r="C437" t="s">
        <v>11</v>
      </c>
      <c r="D437">
        <v>626.07000000000005</v>
      </c>
      <c r="E437" t="s">
        <v>7</v>
      </c>
    </row>
    <row r="438" spans="1:5" x14ac:dyDescent="0.25">
      <c r="A438" s="1">
        <v>44367</v>
      </c>
      <c r="B438" t="s">
        <v>453</v>
      </c>
      <c r="C438" t="s">
        <v>25</v>
      </c>
      <c r="D438">
        <v>1628.24</v>
      </c>
      <c r="E438" t="s">
        <v>7</v>
      </c>
    </row>
    <row r="439" spans="1:5" x14ac:dyDescent="0.25">
      <c r="A439" s="1">
        <v>44369</v>
      </c>
      <c r="B439" t="s">
        <v>454</v>
      </c>
      <c r="C439" t="s">
        <v>11</v>
      </c>
      <c r="D439">
        <v>1295.5899999999999</v>
      </c>
      <c r="E439" t="s">
        <v>7</v>
      </c>
    </row>
    <row r="440" spans="1:5" x14ac:dyDescent="0.25">
      <c r="A440" s="1">
        <v>44370</v>
      </c>
      <c r="B440" t="s">
        <v>455</v>
      </c>
      <c r="C440" t="s">
        <v>25</v>
      </c>
      <c r="D440">
        <v>46.28</v>
      </c>
      <c r="E440" t="s">
        <v>7</v>
      </c>
    </row>
    <row r="441" spans="1:5" x14ac:dyDescent="0.25">
      <c r="A441" s="1">
        <v>44371</v>
      </c>
      <c r="B441" t="s">
        <v>456</v>
      </c>
      <c r="C441" t="s">
        <v>22</v>
      </c>
      <c r="D441">
        <v>690.05</v>
      </c>
      <c r="E441" t="s">
        <v>7</v>
      </c>
    </row>
    <row r="442" spans="1:5" x14ac:dyDescent="0.25">
      <c r="A442" s="1">
        <v>44373</v>
      </c>
      <c r="B442" t="s">
        <v>457</v>
      </c>
      <c r="C442" t="s">
        <v>22</v>
      </c>
      <c r="D442">
        <v>460.82</v>
      </c>
      <c r="E442" t="s">
        <v>7</v>
      </c>
    </row>
    <row r="443" spans="1:5" x14ac:dyDescent="0.25">
      <c r="A443" s="1">
        <v>44374</v>
      </c>
      <c r="B443" t="s">
        <v>458</v>
      </c>
      <c r="C443" t="s">
        <v>13</v>
      </c>
      <c r="D443">
        <v>2923</v>
      </c>
      <c r="E443" t="s">
        <v>14</v>
      </c>
    </row>
    <row r="444" spans="1:5" x14ac:dyDescent="0.25">
      <c r="A444" s="1">
        <v>44375</v>
      </c>
      <c r="B444" t="s">
        <v>459</v>
      </c>
      <c r="C444" t="s">
        <v>11</v>
      </c>
      <c r="D444">
        <v>1020.3</v>
      </c>
      <c r="E444" t="s">
        <v>7</v>
      </c>
    </row>
    <row r="445" spans="1:5" x14ac:dyDescent="0.25">
      <c r="A445" s="1">
        <v>44375</v>
      </c>
      <c r="B445" t="s">
        <v>460</v>
      </c>
      <c r="C445" t="s">
        <v>6</v>
      </c>
      <c r="D445">
        <v>1327.24</v>
      </c>
      <c r="E445" t="s">
        <v>7</v>
      </c>
    </row>
    <row r="446" spans="1:5" x14ac:dyDescent="0.25">
      <c r="A446" s="1">
        <v>44375</v>
      </c>
      <c r="B446" t="s">
        <v>461</v>
      </c>
      <c r="C446" t="s">
        <v>9</v>
      </c>
      <c r="D446">
        <v>1198.52</v>
      </c>
      <c r="E446" t="s">
        <v>7</v>
      </c>
    </row>
    <row r="447" spans="1:5" x14ac:dyDescent="0.25">
      <c r="A447" s="1">
        <v>44375</v>
      </c>
      <c r="B447" t="s">
        <v>462</v>
      </c>
      <c r="C447" t="s">
        <v>13</v>
      </c>
      <c r="D447">
        <v>1856</v>
      </c>
      <c r="E447" t="s">
        <v>14</v>
      </c>
    </row>
    <row r="448" spans="1:5" x14ac:dyDescent="0.25">
      <c r="A448" s="1">
        <v>44376</v>
      </c>
      <c r="B448" t="s">
        <v>463</v>
      </c>
      <c r="C448" t="s">
        <v>6</v>
      </c>
      <c r="D448">
        <v>827.61</v>
      </c>
      <c r="E448" t="s">
        <v>7</v>
      </c>
    </row>
    <row r="449" spans="1:5" x14ac:dyDescent="0.25">
      <c r="A449" s="1">
        <v>44381</v>
      </c>
      <c r="B449" t="s">
        <v>464</v>
      </c>
      <c r="C449" t="s">
        <v>22</v>
      </c>
      <c r="D449">
        <v>1939.48</v>
      </c>
      <c r="E449" t="s">
        <v>7</v>
      </c>
    </row>
    <row r="450" spans="1:5" x14ac:dyDescent="0.25">
      <c r="A450" s="1">
        <v>44381</v>
      </c>
      <c r="B450" t="s">
        <v>465</v>
      </c>
      <c r="C450" t="s">
        <v>27</v>
      </c>
      <c r="D450">
        <v>475.67</v>
      </c>
      <c r="E450" t="s">
        <v>7</v>
      </c>
    </row>
    <row r="451" spans="1:5" x14ac:dyDescent="0.25">
      <c r="A451" s="1">
        <v>44381</v>
      </c>
      <c r="B451" t="s">
        <v>466</v>
      </c>
      <c r="C451" t="s">
        <v>27</v>
      </c>
      <c r="D451">
        <v>1808.91</v>
      </c>
      <c r="E451" t="s">
        <v>7</v>
      </c>
    </row>
    <row r="452" spans="1:5" x14ac:dyDescent="0.25">
      <c r="A452" s="1">
        <v>44383</v>
      </c>
      <c r="B452" t="s">
        <v>467</v>
      </c>
      <c r="C452" t="s">
        <v>20</v>
      </c>
      <c r="D452">
        <v>4282</v>
      </c>
      <c r="E452" t="s">
        <v>14</v>
      </c>
    </row>
    <row r="453" spans="1:5" x14ac:dyDescent="0.25">
      <c r="A453" s="1">
        <v>44384</v>
      </c>
      <c r="B453" t="s">
        <v>468</v>
      </c>
      <c r="C453" t="s">
        <v>17</v>
      </c>
      <c r="D453">
        <v>1010.78</v>
      </c>
      <c r="E453" t="s">
        <v>7</v>
      </c>
    </row>
    <row r="454" spans="1:5" x14ac:dyDescent="0.25">
      <c r="A454" s="1">
        <v>44386</v>
      </c>
      <c r="B454" t="s">
        <v>469</v>
      </c>
      <c r="C454" t="s">
        <v>9</v>
      </c>
      <c r="D454">
        <v>1635.61</v>
      </c>
      <c r="E454" t="s">
        <v>7</v>
      </c>
    </row>
    <row r="455" spans="1:5" x14ac:dyDescent="0.25">
      <c r="A455" s="1">
        <v>44386</v>
      </c>
      <c r="B455" t="s">
        <v>470</v>
      </c>
      <c r="C455" t="s">
        <v>9</v>
      </c>
      <c r="D455">
        <v>1747.27</v>
      </c>
      <c r="E455" t="s">
        <v>7</v>
      </c>
    </row>
    <row r="456" spans="1:5" x14ac:dyDescent="0.25">
      <c r="A456" s="1">
        <v>44387</v>
      </c>
      <c r="B456" t="s">
        <v>471</v>
      </c>
      <c r="C456" t="s">
        <v>20</v>
      </c>
      <c r="D456">
        <v>3540</v>
      </c>
      <c r="E456" t="s">
        <v>14</v>
      </c>
    </row>
    <row r="457" spans="1:5" x14ac:dyDescent="0.25">
      <c r="A457" s="1">
        <v>44387</v>
      </c>
      <c r="B457" t="s">
        <v>472</v>
      </c>
      <c r="C457" t="s">
        <v>11</v>
      </c>
      <c r="D457">
        <v>1425.69</v>
      </c>
      <c r="E457" t="s">
        <v>7</v>
      </c>
    </row>
    <row r="458" spans="1:5" x14ac:dyDescent="0.25">
      <c r="A458" s="1">
        <v>44388</v>
      </c>
      <c r="B458" t="s">
        <v>473</v>
      </c>
      <c r="C458" t="s">
        <v>11</v>
      </c>
      <c r="D458">
        <v>577.28</v>
      </c>
      <c r="E458" t="s">
        <v>7</v>
      </c>
    </row>
    <row r="459" spans="1:5" x14ac:dyDescent="0.25">
      <c r="A459" s="1">
        <v>44388</v>
      </c>
      <c r="B459" t="s">
        <v>474</v>
      </c>
      <c r="C459" t="s">
        <v>35</v>
      </c>
      <c r="D459">
        <v>904.15</v>
      </c>
      <c r="E459" t="s">
        <v>7</v>
      </c>
    </row>
    <row r="460" spans="1:5" x14ac:dyDescent="0.25">
      <c r="A460" s="1">
        <v>44388</v>
      </c>
      <c r="B460" t="s">
        <v>475</v>
      </c>
      <c r="C460" t="s">
        <v>17</v>
      </c>
      <c r="D460">
        <v>192.51</v>
      </c>
      <c r="E460" t="s">
        <v>7</v>
      </c>
    </row>
    <row r="461" spans="1:5" x14ac:dyDescent="0.25">
      <c r="A461" s="1">
        <v>44389</v>
      </c>
      <c r="B461" t="s">
        <v>476</v>
      </c>
      <c r="C461" t="s">
        <v>27</v>
      </c>
      <c r="D461">
        <v>1770.41</v>
      </c>
      <c r="E461" t="s">
        <v>7</v>
      </c>
    </row>
    <row r="462" spans="1:5" x14ac:dyDescent="0.25">
      <c r="A462" s="1">
        <v>44390</v>
      </c>
      <c r="B462" t="s">
        <v>477</v>
      </c>
      <c r="C462" t="s">
        <v>17</v>
      </c>
      <c r="D462">
        <v>115.98</v>
      </c>
      <c r="E462" t="s">
        <v>7</v>
      </c>
    </row>
    <row r="463" spans="1:5" x14ac:dyDescent="0.25">
      <c r="A463" s="1">
        <v>44391</v>
      </c>
      <c r="B463" t="s">
        <v>478</v>
      </c>
      <c r="C463" t="s">
        <v>22</v>
      </c>
      <c r="D463">
        <v>778.47</v>
      </c>
      <c r="E463" t="s">
        <v>7</v>
      </c>
    </row>
    <row r="464" spans="1:5" x14ac:dyDescent="0.25">
      <c r="A464" s="1">
        <v>44392</v>
      </c>
      <c r="B464" t="s">
        <v>479</v>
      </c>
      <c r="C464" t="s">
        <v>13</v>
      </c>
      <c r="D464">
        <v>730</v>
      </c>
      <c r="E464" t="s">
        <v>14</v>
      </c>
    </row>
    <row r="465" spans="1:5" x14ac:dyDescent="0.25">
      <c r="A465" s="1">
        <v>44396</v>
      </c>
      <c r="B465" t="s">
        <v>480</v>
      </c>
      <c r="C465" t="s">
        <v>11</v>
      </c>
      <c r="D465">
        <v>1679.96</v>
      </c>
      <c r="E465" t="s">
        <v>7</v>
      </c>
    </row>
    <row r="466" spans="1:5" x14ac:dyDescent="0.25">
      <c r="A466" s="1">
        <v>44396</v>
      </c>
      <c r="B466" t="s">
        <v>481</v>
      </c>
      <c r="C466" t="s">
        <v>9</v>
      </c>
      <c r="D466">
        <v>283.82</v>
      </c>
      <c r="E466" t="s">
        <v>7</v>
      </c>
    </row>
    <row r="467" spans="1:5" x14ac:dyDescent="0.25">
      <c r="A467" s="1">
        <v>44400</v>
      </c>
      <c r="B467" t="s">
        <v>482</v>
      </c>
      <c r="C467" t="s">
        <v>27</v>
      </c>
      <c r="D467">
        <v>1395.18</v>
      </c>
      <c r="E467" t="s">
        <v>7</v>
      </c>
    </row>
    <row r="468" spans="1:5" x14ac:dyDescent="0.25">
      <c r="A468" s="1">
        <v>44400</v>
      </c>
      <c r="B468" t="s">
        <v>483</v>
      </c>
      <c r="C468" t="s">
        <v>20</v>
      </c>
      <c r="D468">
        <v>4174</v>
      </c>
      <c r="E468" t="s">
        <v>14</v>
      </c>
    </row>
    <row r="469" spans="1:5" x14ac:dyDescent="0.25">
      <c r="A469" s="1">
        <v>44401</v>
      </c>
      <c r="B469" t="s">
        <v>484</v>
      </c>
      <c r="C469" t="s">
        <v>11</v>
      </c>
      <c r="D469">
        <v>47.82</v>
      </c>
      <c r="E469" t="s">
        <v>7</v>
      </c>
    </row>
    <row r="470" spans="1:5" x14ac:dyDescent="0.25">
      <c r="A470" s="1">
        <v>44405</v>
      </c>
      <c r="B470" t="s">
        <v>485</v>
      </c>
      <c r="C470" t="s">
        <v>9</v>
      </c>
      <c r="D470">
        <v>1102.1199999999999</v>
      </c>
      <c r="E470" t="s">
        <v>7</v>
      </c>
    </row>
    <row r="471" spans="1:5" x14ac:dyDescent="0.25">
      <c r="A471" s="1">
        <v>44406</v>
      </c>
      <c r="B471" t="s">
        <v>486</v>
      </c>
      <c r="C471" t="s">
        <v>17</v>
      </c>
      <c r="D471">
        <v>231.26</v>
      </c>
      <c r="E471" t="s">
        <v>7</v>
      </c>
    </row>
    <row r="472" spans="1:5" x14ac:dyDescent="0.25">
      <c r="A472" s="1">
        <v>44410</v>
      </c>
      <c r="B472" t="s">
        <v>487</v>
      </c>
      <c r="C472" t="s">
        <v>35</v>
      </c>
      <c r="D472">
        <v>252.48</v>
      </c>
      <c r="E472" t="s">
        <v>7</v>
      </c>
    </row>
    <row r="473" spans="1:5" x14ac:dyDescent="0.25">
      <c r="A473" s="1">
        <v>44414</v>
      </c>
      <c r="B473" t="s">
        <v>488</v>
      </c>
      <c r="C473" t="s">
        <v>27</v>
      </c>
      <c r="D473">
        <v>134.99</v>
      </c>
      <c r="E473" t="s">
        <v>7</v>
      </c>
    </row>
    <row r="474" spans="1:5" x14ac:dyDescent="0.25">
      <c r="A474" s="1">
        <v>44415</v>
      </c>
      <c r="B474" t="s">
        <v>489</v>
      </c>
      <c r="C474" t="s">
        <v>27</v>
      </c>
      <c r="D474">
        <v>1197.51</v>
      </c>
      <c r="E474" t="s">
        <v>7</v>
      </c>
    </row>
    <row r="475" spans="1:5" x14ac:dyDescent="0.25">
      <c r="A475" s="1">
        <v>44415</v>
      </c>
      <c r="B475" t="s">
        <v>490</v>
      </c>
      <c r="C475" t="s">
        <v>13</v>
      </c>
      <c r="D475">
        <v>1676</v>
      </c>
      <c r="E475" t="s">
        <v>14</v>
      </c>
    </row>
    <row r="476" spans="1:5" x14ac:dyDescent="0.25">
      <c r="A476" s="1">
        <v>44416</v>
      </c>
      <c r="B476" t="s">
        <v>491</v>
      </c>
      <c r="C476" t="s">
        <v>6</v>
      </c>
      <c r="D476">
        <v>1233.47</v>
      </c>
      <c r="E476" t="s">
        <v>7</v>
      </c>
    </row>
    <row r="477" spans="1:5" x14ac:dyDescent="0.25">
      <c r="A477" s="1">
        <v>44417</v>
      </c>
      <c r="B477" t="s">
        <v>492</v>
      </c>
      <c r="C477" t="s">
        <v>17</v>
      </c>
      <c r="D477">
        <v>382.75</v>
      </c>
      <c r="E477" t="s">
        <v>7</v>
      </c>
    </row>
    <row r="478" spans="1:5" x14ac:dyDescent="0.25">
      <c r="A478" s="1">
        <v>44419</v>
      </c>
      <c r="B478" t="s">
        <v>493</v>
      </c>
      <c r="C478" t="s">
        <v>25</v>
      </c>
      <c r="D478">
        <v>144.68</v>
      </c>
      <c r="E478" t="s">
        <v>7</v>
      </c>
    </row>
    <row r="479" spans="1:5" x14ac:dyDescent="0.25">
      <c r="A479" s="1">
        <v>44421</v>
      </c>
      <c r="B479" t="s">
        <v>494</v>
      </c>
      <c r="C479" t="s">
        <v>6</v>
      </c>
      <c r="D479">
        <v>787</v>
      </c>
      <c r="E479" t="s">
        <v>7</v>
      </c>
    </row>
    <row r="480" spans="1:5" x14ac:dyDescent="0.25">
      <c r="A480" s="1">
        <v>44421</v>
      </c>
      <c r="B480" t="s">
        <v>495</v>
      </c>
      <c r="C480" t="s">
        <v>17</v>
      </c>
      <c r="D480">
        <v>1962.27</v>
      </c>
      <c r="E480" t="s">
        <v>7</v>
      </c>
    </row>
    <row r="481" spans="1:5" x14ac:dyDescent="0.25">
      <c r="A481" s="1">
        <v>44423</v>
      </c>
      <c r="B481" t="s">
        <v>496</v>
      </c>
      <c r="C481" t="s">
        <v>6</v>
      </c>
      <c r="D481">
        <v>720.62</v>
      </c>
      <c r="E481" t="s">
        <v>7</v>
      </c>
    </row>
    <row r="482" spans="1:5" x14ac:dyDescent="0.25">
      <c r="A482" s="1">
        <v>44424</v>
      </c>
      <c r="B482" t="s">
        <v>497</v>
      </c>
      <c r="C482" t="s">
        <v>13</v>
      </c>
      <c r="D482">
        <v>1349</v>
      </c>
      <c r="E482" t="s">
        <v>14</v>
      </c>
    </row>
    <row r="483" spans="1:5" x14ac:dyDescent="0.25">
      <c r="A483" s="1">
        <v>44426</v>
      </c>
      <c r="B483" t="s">
        <v>498</v>
      </c>
      <c r="C483" t="s">
        <v>25</v>
      </c>
      <c r="D483">
        <v>275.49</v>
      </c>
      <c r="E483" t="s">
        <v>7</v>
      </c>
    </row>
    <row r="484" spans="1:5" x14ac:dyDescent="0.25">
      <c r="A484" s="1">
        <v>44428</v>
      </c>
      <c r="B484" t="s">
        <v>499</v>
      </c>
      <c r="C484" t="s">
        <v>25</v>
      </c>
      <c r="D484">
        <v>1628.88</v>
      </c>
      <c r="E484" t="s">
        <v>7</v>
      </c>
    </row>
    <row r="485" spans="1:5" x14ac:dyDescent="0.25">
      <c r="A485" s="1">
        <v>44429</v>
      </c>
      <c r="B485" t="s">
        <v>500</v>
      </c>
      <c r="C485" t="s">
        <v>20</v>
      </c>
      <c r="D485">
        <v>4420</v>
      </c>
      <c r="E485" t="s">
        <v>14</v>
      </c>
    </row>
    <row r="486" spans="1:5" x14ac:dyDescent="0.25">
      <c r="A486" s="1">
        <v>44429</v>
      </c>
      <c r="B486" t="s">
        <v>501</v>
      </c>
      <c r="C486" t="s">
        <v>9</v>
      </c>
      <c r="D486">
        <v>135.57</v>
      </c>
      <c r="E486" t="s">
        <v>7</v>
      </c>
    </row>
    <row r="487" spans="1:5" x14ac:dyDescent="0.25">
      <c r="A487" s="1">
        <v>44430</v>
      </c>
      <c r="B487" t="s">
        <v>502</v>
      </c>
      <c r="C487" t="s">
        <v>27</v>
      </c>
      <c r="D487">
        <v>83.6</v>
      </c>
      <c r="E487" t="s">
        <v>7</v>
      </c>
    </row>
    <row r="488" spans="1:5" x14ac:dyDescent="0.25">
      <c r="A488" s="1">
        <v>44431</v>
      </c>
      <c r="B488" t="s">
        <v>503</v>
      </c>
      <c r="C488" t="s">
        <v>22</v>
      </c>
      <c r="D488">
        <v>1772.72</v>
      </c>
      <c r="E488" t="s">
        <v>7</v>
      </c>
    </row>
    <row r="489" spans="1:5" x14ac:dyDescent="0.25">
      <c r="A489" s="1">
        <v>44432</v>
      </c>
      <c r="B489" t="s">
        <v>504</v>
      </c>
      <c r="C489" t="s">
        <v>35</v>
      </c>
      <c r="D489">
        <v>1035.6099999999999</v>
      </c>
      <c r="E489" t="s">
        <v>7</v>
      </c>
    </row>
    <row r="490" spans="1:5" x14ac:dyDescent="0.25">
      <c r="A490" s="1">
        <v>44433</v>
      </c>
      <c r="B490" t="s">
        <v>505</v>
      </c>
      <c r="C490" t="s">
        <v>27</v>
      </c>
      <c r="D490">
        <v>514.09</v>
      </c>
      <c r="E490" t="s">
        <v>7</v>
      </c>
    </row>
    <row r="491" spans="1:5" x14ac:dyDescent="0.25">
      <c r="A491" s="1">
        <v>44435</v>
      </c>
      <c r="B491" t="s">
        <v>506</v>
      </c>
      <c r="C491" t="s">
        <v>22</v>
      </c>
      <c r="D491">
        <v>579.36</v>
      </c>
      <c r="E491" t="s">
        <v>7</v>
      </c>
    </row>
    <row r="492" spans="1:5" x14ac:dyDescent="0.25">
      <c r="A492" s="1">
        <v>44437</v>
      </c>
      <c r="B492" t="s">
        <v>507</v>
      </c>
      <c r="C492" t="s">
        <v>6</v>
      </c>
      <c r="D492">
        <v>1732.94</v>
      </c>
      <c r="E492" t="s">
        <v>7</v>
      </c>
    </row>
    <row r="493" spans="1:5" x14ac:dyDescent="0.25">
      <c r="A493" s="1">
        <v>44444</v>
      </c>
      <c r="B493" t="s">
        <v>508</v>
      </c>
      <c r="C493" t="s">
        <v>11</v>
      </c>
      <c r="D493">
        <v>1600.69</v>
      </c>
      <c r="E493" t="s">
        <v>7</v>
      </c>
    </row>
    <row r="494" spans="1:5" x14ac:dyDescent="0.25">
      <c r="A494" s="1">
        <v>44445</v>
      </c>
      <c r="B494" t="s">
        <v>509</v>
      </c>
      <c r="C494" t="s">
        <v>17</v>
      </c>
      <c r="D494">
        <v>1489.18</v>
      </c>
      <c r="E494" t="s">
        <v>7</v>
      </c>
    </row>
    <row r="495" spans="1:5" x14ac:dyDescent="0.25">
      <c r="A495" s="1">
        <v>44448</v>
      </c>
      <c r="B495" t="s">
        <v>510</v>
      </c>
      <c r="C495" t="s">
        <v>17</v>
      </c>
      <c r="D495">
        <v>684.68</v>
      </c>
      <c r="E495" t="s">
        <v>7</v>
      </c>
    </row>
    <row r="496" spans="1:5" x14ac:dyDescent="0.25">
      <c r="A496" s="1">
        <v>44448</v>
      </c>
      <c r="B496" t="s">
        <v>511</v>
      </c>
      <c r="C496" t="s">
        <v>20</v>
      </c>
      <c r="D496">
        <v>3509</v>
      </c>
      <c r="E496" t="s">
        <v>14</v>
      </c>
    </row>
    <row r="497" spans="1:5" x14ac:dyDescent="0.25">
      <c r="A497" s="1">
        <v>44448</v>
      </c>
      <c r="B497" t="s">
        <v>512</v>
      </c>
      <c r="C497" t="s">
        <v>35</v>
      </c>
      <c r="D497">
        <v>1604.28</v>
      </c>
      <c r="E497" t="s">
        <v>7</v>
      </c>
    </row>
    <row r="498" spans="1:5" x14ac:dyDescent="0.25">
      <c r="A498" s="1">
        <v>44449</v>
      </c>
      <c r="B498" t="s">
        <v>513</v>
      </c>
      <c r="C498" t="s">
        <v>11</v>
      </c>
      <c r="D498">
        <v>866.91</v>
      </c>
      <c r="E498" t="s">
        <v>7</v>
      </c>
    </row>
    <row r="499" spans="1:5" x14ac:dyDescent="0.25">
      <c r="A499" s="1">
        <v>44450</v>
      </c>
      <c r="B499" t="s">
        <v>514</v>
      </c>
      <c r="C499" t="s">
        <v>9</v>
      </c>
      <c r="D499">
        <v>1095.49</v>
      </c>
      <c r="E499" t="s">
        <v>7</v>
      </c>
    </row>
    <row r="500" spans="1:5" x14ac:dyDescent="0.25">
      <c r="A500" s="1">
        <v>44450</v>
      </c>
      <c r="B500" t="s">
        <v>515</v>
      </c>
      <c r="C500" t="s">
        <v>11</v>
      </c>
      <c r="D500">
        <v>662.56</v>
      </c>
      <c r="E500" t="s">
        <v>7</v>
      </c>
    </row>
    <row r="501" spans="1:5" x14ac:dyDescent="0.25">
      <c r="A501" s="1">
        <v>44450</v>
      </c>
      <c r="B501" t="s">
        <v>516</v>
      </c>
      <c r="C501" t="s">
        <v>27</v>
      </c>
      <c r="D501">
        <v>1209.22</v>
      </c>
      <c r="E501" t="s">
        <v>7</v>
      </c>
    </row>
    <row r="502" spans="1:5" x14ac:dyDescent="0.25">
      <c r="A502" s="1">
        <v>44450</v>
      </c>
      <c r="B502" t="s">
        <v>517</v>
      </c>
      <c r="C502" t="s">
        <v>27</v>
      </c>
      <c r="D502">
        <v>709.58</v>
      </c>
      <c r="E502" t="s">
        <v>7</v>
      </c>
    </row>
    <row r="503" spans="1:5" x14ac:dyDescent="0.25">
      <c r="A503" s="1">
        <v>44454</v>
      </c>
      <c r="B503" t="s">
        <v>518</v>
      </c>
      <c r="C503" t="s">
        <v>20</v>
      </c>
      <c r="D503">
        <v>4063</v>
      </c>
      <c r="E503" t="s">
        <v>14</v>
      </c>
    </row>
    <row r="504" spans="1:5" x14ac:dyDescent="0.25">
      <c r="A504" s="1">
        <v>44455</v>
      </c>
      <c r="B504" t="s">
        <v>519</v>
      </c>
      <c r="C504" t="s">
        <v>6</v>
      </c>
      <c r="D504">
        <v>159.33000000000001</v>
      </c>
      <c r="E504" t="s">
        <v>7</v>
      </c>
    </row>
    <row r="505" spans="1:5" x14ac:dyDescent="0.25">
      <c r="A505" s="1">
        <v>44455</v>
      </c>
      <c r="B505" t="s">
        <v>520</v>
      </c>
      <c r="C505" t="s">
        <v>25</v>
      </c>
      <c r="D505">
        <v>1031.04</v>
      </c>
      <c r="E505" t="s">
        <v>7</v>
      </c>
    </row>
    <row r="506" spans="1:5" x14ac:dyDescent="0.25">
      <c r="A506" s="1">
        <v>44456</v>
      </c>
      <c r="B506" t="s">
        <v>521</v>
      </c>
      <c r="C506" t="s">
        <v>9</v>
      </c>
      <c r="D506">
        <v>1906.05</v>
      </c>
      <c r="E506" t="s">
        <v>7</v>
      </c>
    </row>
    <row r="507" spans="1:5" x14ac:dyDescent="0.25">
      <c r="A507" s="1">
        <v>44456</v>
      </c>
      <c r="B507" t="s">
        <v>522</v>
      </c>
      <c r="C507" t="s">
        <v>20</v>
      </c>
      <c r="D507">
        <v>785</v>
      </c>
      <c r="E507" t="s">
        <v>14</v>
      </c>
    </row>
    <row r="508" spans="1:5" x14ac:dyDescent="0.25">
      <c r="A508" s="1">
        <v>44458</v>
      </c>
      <c r="B508" t="s">
        <v>523</v>
      </c>
      <c r="C508" t="s">
        <v>13</v>
      </c>
      <c r="D508">
        <v>3500</v>
      </c>
      <c r="E508" t="s">
        <v>14</v>
      </c>
    </row>
    <row r="509" spans="1:5" x14ac:dyDescent="0.25">
      <c r="A509" s="1">
        <v>44458</v>
      </c>
      <c r="B509" t="s">
        <v>524</v>
      </c>
      <c r="C509" t="s">
        <v>6</v>
      </c>
      <c r="D509">
        <v>1214.1400000000001</v>
      </c>
      <c r="E509" t="s">
        <v>7</v>
      </c>
    </row>
    <row r="510" spans="1:5" x14ac:dyDescent="0.25">
      <c r="A510" s="1">
        <v>44458</v>
      </c>
      <c r="B510" t="s">
        <v>525</v>
      </c>
      <c r="C510" t="s">
        <v>25</v>
      </c>
      <c r="D510">
        <v>750.31</v>
      </c>
      <c r="E510" t="s">
        <v>7</v>
      </c>
    </row>
    <row r="511" spans="1:5" x14ac:dyDescent="0.25">
      <c r="A511" s="1">
        <v>44458</v>
      </c>
      <c r="B511" t="s">
        <v>526</v>
      </c>
      <c r="C511" t="s">
        <v>9</v>
      </c>
      <c r="D511">
        <v>1063.6300000000001</v>
      </c>
      <c r="E511" t="s">
        <v>7</v>
      </c>
    </row>
    <row r="512" spans="1:5" x14ac:dyDescent="0.25">
      <c r="A512" s="1">
        <v>44459</v>
      </c>
      <c r="B512" t="s">
        <v>527</v>
      </c>
      <c r="C512" t="s">
        <v>35</v>
      </c>
      <c r="D512">
        <v>506.73</v>
      </c>
      <c r="E512" t="s">
        <v>7</v>
      </c>
    </row>
    <row r="513" spans="1:5" x14ac:dyDescent="0.25">
      <c r="A513" s="1">
        <v>44460</v>
      </c>
      <c r="B513" t="s">
        <v>528</v>
      </c>
      <c r="C513" t="s">
        <v>13</v>
      </c>
      <c r="D513">
        <v>4588</v>
      </c>
      <c r="E513" t="s">
        <v>14</v>
      </c>
    </row>
    <row r="514" spans="1:5" x14ac:dyDescent="0.25">
      <c r="A514" s="1">
        <v>44467</v>
      </c>
      <c r="B514" t="s">
        <v>529</v>
      </c>
      <c r="C514" t="s">
        <v>11</v>
      </c>
      <c r="D514">
        <v>530.94000000000005</v>
      </c>
      <c r="E514" t="s">
        <v>7</v>
      </c>
    </row>
    <row r="515" spans="1:5" x14ac:dyDescent="0.25">
      <c r="A515" s="1">
        <v>44470</v>
      </c>
      <c r="B515" t="s">
        <v>530</v>
      </c>
      <c r="C515" t="s">
        <v>27</v>
      </c>
      <c r="D515">
        <v>437</v>
      </c>
      <c r="E515" t="s">
        <v>7</v>
      </c>
    </row>
    <row r="516" spans="1:5" x14ac:dyDescent="0.25">
      <c r="A516" s="1">
        <v>44476</v>
      </c>
      <c r="B516" t="s">
        <v>531</v>
      </c>
      <c r="C516" t="s">
        <v>27</v>
      </c>
      <c r="D516">
        <v>408.35</v>
      </c>
      <c r="E516" t="s">
        <v>7</v>
      </c>
    </row>
    <row r="517" spans="1:5" x14ac:dyDescent="0.25">
      <c r="A517" s="1">
        <v>44477</v>
      </c>
      <c r="B517" t="s">
        <v>532</v>
      </c>
      <c r="C517" t="s">
        <v>13</v>
      </c>
      <c r="D517">
        <v>4203</v>
      </c>
      <c r="E517" t="s">
        <v>14</v>
      </c>
    </row>
    <row r="518" spans="1:5" x14ac:dyDescent="0.25">
      <c r="A518" s="1">
        <v>44482</v>
      </c>
      <c r="B518" t="s">
        <v>533</v>
      </c>
      <c r="C518" t="s">
        <v>20</v>
      </c>
      <c r="D518">
        <v>1219</v>
      </c>
      <c r="E518" t="s">
        <v>14</v>
      </c>
    </row>
    <row r="519" spans="1:5" x14ac:dyDescent="0.25">
      <c r="A519" s="1">
        <v>44482</v>
      </c>
      <c r="B519" t="s">
        <v>534</v>
      </c>
      <c r="C519" t="s">
        <v>25</v>
      </c>
      <c r="D519">
        <v>1339</v>
      </c>
      <c r="E519" t="s">
        <v>7</v>
      </c>
    </row>
    <row r="520" spans="1:5" x14ac:dyDescent="0.25">
      <c r="A520" s="1">
        <v>44482</v>
      </c>
      <c r="B520" t="s">
        <v>535</v>
      </c>
      <c r="C520" t="s">
        <v>35</v>
      </c>
      <c r="D520">
        <v>1783.75</v>
      </c>
      <c r="E520" t="s">
        <v>7</v>
      </c>
    </row>
    <row r="521" spans="1:5" x14ac:dyDescent="0.25">
      <c r="A521" s="1">
        <v>44485</v>
      </c>
      <c r="B521" t="s">
        <v>536</v>
      </c>
      <c r="C521" t="s">
        <v>9</v>
      </c>
      <c r="D521">
        <v>1589.46</v>
      </c>
      <c r="E521" t="s">
        <v>7</v>
      </c>
    </row>
    <row r="522" spans="1:5" x14ac:dyDescent="0.25">
      <c r="A522" s="1">
        <v>44489</v>
      </c>
      <c r="B522" t="s">
        <v>537</v>
      </c>
      <c r="C522" t="s">
        <v>11</v>
      </c>
      <c r="D522">
        <v>1970.41</v>
      </c>
      <c r="E522" t="s">
        <v>7</v>
      </c>
    </row>
    <row r="523" spans="1:5" x14ac:dyDescent="0.25">
      <c r="A523" s="1">
        <v>44490</v>
      </c>
      <c r="B523" t="s">
        <v>538</v>
      </c>
      <c r="C523" t="s">
        <v>22</v>
      </c>
      <c r="D523">
        <v>1582.84</v>
      </c>
      <c r="E523" t="s">
        <v>7</v>
      </c>
    </row>
    <row r="524" spans="1:5" x14ac:dyDescent="0.25">
      <c r="A524" s="1">
        <v>44491</v>
      </c>
      <c r="B524" t="s">
        <v>539</v>
      </c>
      <c r="C524" t="s">
        <v>20</v>
      </c>
      <c r="D524">
        <v>4328</v>
      </c>
      <c r="E524" t="s">
        <v>14</v>
      </c>
    </row>
    <row r="525" spans="1:5" x14ac:dyDescent="0.25">
      <c r="A525" s="1">
        <v>44493</v>
      </c>
      <c r="B525" t="s">
        <v>540</v>
      </c>
      <c r="C525" t="s">
        <v>9</v>
      </c>
      <c r="D525">
        <v>1227.78</v>
      </c>
      <c r="E525" t="s">
        <v>7</v>
      </c>
    </row>
    <row r="526" spans="1:5" x14ac:dyDescent="0.25">
      <c r="A526" s="1">
        <v>44493</v>
      </c>
      <c r="B526" t="s">
        <v>541</v>
      </c>
      <c r="C526" t="s">
        <v>20</v>
      </c>
      <c r="D526">
        <v>3761</v>
      </c>
      <c r="E526" t="s">
        <v>14</v>
      </c>
    </row>
    <row r="527" spans="1:5" x14ac:dyDescent="0.25">
      <c r="A527" s="1">
        <v>44496</v>
      </c>
      <c r="B527" t="s">
        <v>542</v>
      </c>
      <c r="C527" t="s">
        <v>27</v>
      </c>
      <c r="D527">
        <v>1056.1300000000001</v>
      </c>
      <c r="E527" t="s">
        <v>7</v>
      </c>
    </row>
    <row r="528" spans="1:5" x14ac:dyDescent="0.25">
      <c r="A528" s="1">
        <v>44496</v>
      </c>
      <c r="B528" t="s">
        <v>543</v>
      </c>
      <c r="C528" t="s">
        <v>11</v>
      </c>
      <c r="D528">
        <v>259.39999999999998</v>
      </c>
      <c r="E528" t="s">
        <v>7</v>
      </c>
    </row>
    <row r="529" spans="1:5" x14ac:dyDescent="0.25">
      <c r="A529" s="1">
        <v>44499</v>
      </c>
      <c r="B529" t="s">
        <v>544</v>
      </c>
      <c r="C529" t="s">
        <v>11</v>
      </c>
      <c r="D529">
        <v>905.45</v>
      </c>
      <c r="E529" t="s">
        <v>7</v>
      </c>
    </row>
    <row r="530" spans="1:5" x14ac:dyDescent="0.25">
      <c r="A530" s="1">
        <v>44503</v>
      </c>
      <c r="B530" t="s">
        <v>545</v>
      </c>
      <c r="C530" t="s">
        <v>25</v>
      </c>
      <c r="D530">
        <v>265.39</v>
      </c>
      <c r="E530" t="s">
        <v>7</v>
      </c>
    </row>
    <row r="531" spans="1:5" x14ac:dyDescent="0.25">
      <c r="A531" s="1">
        <v>44504</v>
      </c>
      <c r="B531" t="s">
        <v>546</v>
      </c>
      <c r="C531" t="s">
        <v>9</v>
      </c>
      <c r="D531">
        <v>1537.89</v>
      </c>
      <c r="E531" t="s">
        <v>7</v>
      </c>
    </row>
    <row r="532" spans="1:5" x14ac:dyDescent="0.25">
      <c r="A532" s="1">
        <v>44505</v>
      </c>
      <c r="B532" t="s">
        <v>547</v>
      </c>
      <c r="C532" t="s">
        <v>13</v>
      </c>
      <c r="D532">
        <v>1517</v>
      </c>
      <c r="E532" t="s">
        <v>14</v>
      </c>
    </row>
    <row r="533" spans="1:5" x14ac:dyDescent="0.25">
      <c r="A533" s="1">
        <v>44505</v>
      </c>
      <c r="B533" t="s">
        <v>548</v>
      </c>
      <c r="C533" t="s">
        <v>35</v>
      </c>
      <c r="D533">
        <v>337.67</v>
      </c>
      <c r="E533" t="s">
        <v>7</v>
      </c>
    </row>
    <row r="534" spans="1:5" x14ac:dyDescent="0.25">
      <c r="A534" s="1">
        <v>44506</v>
      </c>
      <c r="B534" t="s">
        <v>549</v>
      </c>
      <c r="C534" t="s">
        <v>22</v>
      </c>
      <c r="D534">
        <v>698.59</v>
      </c>
      <c r="E534" t="s">
        <v>7</v>
      </c>
    </row>
    <row r="535" spans="1:5" x14ac:dyDescent="0.25">
      <c r="A535" s="1">
        <v>44507</v>
      </c>
      <c r="B535" t="s">
        <v>550</v>
      </c>
      <c r="C535" t="s">
        <v>35</v>
      </c>
      <c r="D535">
        <v>1693.41</v>
      </c>
      <c r="E535" t="s">
        <v>7</v>
      </c>
    </row>
    <row r="536" spans="1:5" x14ac:dyDescent="0.25">
      <c r="A536" s="1">
        <v>44510</v>
      </c>
      <c r="B536" t="s">
        <v>551</v>
      </c>
      <c r="C536" t="s">
        <v>35</v>
      </c>
      <c r="D536">
        <v>259.08999999999997</v>
      </c>
      <c r="E536" t="s">
        <v>7</v>
      </c>
    </row>
    <row r="537" spans="1:5" x14ac:dyDescent="0.25">
      <c r="A537" s="1">
        <v>44515</v>
      </c>
      <c r="B537" t="s">
        <v>552</v>
      </c>
      <c r="C537" t="s">
        <v>11</v>
      </c>
      <c r="D537">
        <v>1010.12</v>
      </c>
      <c r="E537" t="s">
        <v>7</v>
      </c>
    </row>
    <row r="538" spans="1:5" x14ac:dyDescent="0.25">
      <c r="A538" s="1">
        <v>44516</v>
      </c>
      <c r="B538" t="s">
        <v>553</v>
      </c>
      <c r="C538" t="s">
        <v>13</v>
      </c>
      <c r="D538">
        <v>1902</v>
      </c>
      <c r="E538" t="s">
        <v>14</v>
      </c>
    </row>
    <row r="539" spans="1:5" x14ac:dyDescent="0.25">
      <c r="A539" s="1">
        <v>44517</v>
      </c>
      <c r="B539" t="s">
        <v>554</v>
      </c>
      <c r="C539" t="s">
        <v>25</v>
      </c>
      <c r="D539">
        <v>1686.63</v>
      </c>
      <c r="E539" t="s">
        <v>7</v>
      </c>
    </row>
    <row r="540" spans="1:5" x14ac:dyDescent="0.25">
      <c r="A540" s="1">
        <v>44518</v>
      </c>
      <c r="B540" t="s">
        <v>555</v>
      </c>
      <c r="C540" t="s">
        <v>6</v>
      </c>
      <c r="D540">
        <v>171.63</v>
      </c>
      <c r="E540" t="s">
        <v>7</v>
      </c>
    </row>
    <row r="541" spans="1:5" x14ac:dyDescent="0.25">
      <c r="A541" s="1">
        <v>44518</v>
      </c>
      <c r="B541" t="s">
        <v>556</v>
      </c>
      <c r="C541" t="s">
        <v>35</v>
      </c>
      <c r="D541">
        <v>1305.75</v>
      </c>
      <c r="E541" t="s">
        <v>7</v>
      </c>
    </row>
    <row r="542" spans="1:5" x14ac:dyDescent="0.25">
      <c r="A542" s="1">
        <v>44519</v>
      </c>
      <c r="B542" t="s">
        <v>557</v>
      </c>
      <c r="C542" t="s">
        <v>17</v>
      </c>
      <c r="D542">
        <v>1240.04</v>
      </c>
      <c r="E542" t="s">
        <v>7</v>
      </c>
    </row>
    <row r="543" spans="1:5" x14ac:dyDescent="0.25">
      <c r="A543" s="1">
        <v>44521</v>
      </c>
      <c r="B543" t="s">
        <v>558</v>
      </c>
      <c r="C543" t="s">
        <v>20</v>
      </c>
      <c r="D543">
        <v>2974</v>
      </c>
      <c r="E543" t="s">
        <v>14</v>
      </c>
    </row>
    <row r="544" spans="1:5" x14ac:dyDescent="0.25">
      <c r="A544" s="1">
        <v>44521</v>
      </c>
      <c r="B544" t="s">
        <v>559</v>
      </c>
      <c r="C544" t="s">
        <v>17</v>
      </c>
      <c r="D544">
        <v>601.89</v>
      </c>
      <c r="E544" t="s">
        <v>7</v>
      </c>
    </row>
    <row r="545" spans="1:5" x14ac:dyDescent="0.25">
      <c r="A545" s="1">
        <v>44521</v>
      </c>
      <c r="B545" t="s">
        <v>560</v>
      </c>
      <c r="C545" t="s">
        <v>13</v>
      </c>
      <c r="D545">
        <v>1794</v>
      </c>
      <c r="E545" t="s">
        <v>14</v>
      </c>
    </row>
    <row r="546" spans="1:5" x14ac:dyDescent="0.25">
      <c r="A546" s="1">
        <v>44523</v>
      </c>
      <c r="B546" t="s">
        <v>561</v>
      </c>
      <c r="C546" t="s">
        <v>27</v>
      </c>
      <c r="D546">
        <v>934.24</v>
      </c>
      <c r="E546" t="s">
        <v>7</v>
      </c>
    </row>
    <row r="547" spans="1:5" x14ac:dyDescent="0.25">
      <c r="A547" s="1">
        <v>44526</v>
      </c>
      <c r="B547" t="s">
        <v>562</v>
      </c>
      <c r="C547" t="s">
        <v>9</v>
      </c>
      <c r="D547">
        <v>632.04</v>
      </c>
      <c r="E547" t="s">
        <v>7</v>
      </c>
    </row>
    <row r="548" spans="1:5" x14ac:dyDescent="0.25">
      <c r="A548" s="1">
        <v>44527</v>
      </c>
      <c r="B548" t="s">
        <v>563</v>
      </c>
      <c r="C548" t="s">
        <v>25</v>
      </c>
      <c r="D548">
        <v>1950.99</v>
      </c>
      <c r="E548" t="s">
        <v>7</v>
      </c>
    </row>
    <row r="549" spans="1:5" x14ac:dyDescent="0.25">
      <c r="A549" s="1">
        <v>44528</v>
      </c>
      <c r="B549" t="s">
        <v>564</v>
      </c>
      <c r="C549" t="s">
        <v>20</v>
      </c>
      <c r="D549">
        <v>4718</v>
      </c>
      <c r="E549" t="s">
        <v>14</v>
      </c>
    </row>
    <row r="550" spans="1:5" x14ac:dyDescent="0.25">
      <c r="A550" s="1">
        <v>44531</v>
      </c>
      <c r="B550" t="s">
        <v>565</v>
      </c>
      <c r="C550" t="s">
        <v>25</v>
      </c>
      <c r="D550">
        <v>491.06</v>
      </c>
      <c r="E550" t="s">
        <v>7</v>
      </c>
    </row>
    <row r="551" spans="1:5" x14ac:dyDescent="0.25">
      <c r="A551" s="1">
        <v>44532</v>
      </c>
      <c r="B551" t="s">
        <v>566</v>
      </c>
      <c r="C551" t="s">
        <v>20</v>
      </c>
      <c r="D551">
        <v>2530</v>
      </c>
      <c r="E551" t="s">
        <v>14</v>
      </c>
    </row>
    <row r="552" spans="1:5" x14ac:dyDescent="0.25">
      <c r="A552" s="1">
        <v>44533</v>
      </c>
      <c r="B552" t="s">
        <v>567</v>
      </c>
      <c r="C552" t="s">
        <v>13</v>
      </c>
      <c r="D552">
        <v>2877</v>
      </c>
      <c r="E552" t="s">
        <v>14</v>
      </c>
    </row>
    <row r="553" spans="1:5" x14ac:dyDescent="0.25">
      <c r="A553" s="1">
        <v>44533</v>
      </c>
      <c r="B553" t="s">
        <v>568</v>
      </c>
      <c r="C553" t="s">
        <v>17</v>
      </c>
      <c r="D553">
        <v>504.06</v>
      </c>
      <c r="E553" t="s">
        <v>7</v>
      </c>
    </row>
    <row r="554" spans="1:5" x14ac:dyDescent="0.25">
      <c r="A554" s="1">
        <v>44538</v>
      </c>
      <c r="B554" t="s">
        <v>569</v>
      </c>
      <c r="C554" t="s">
        <v>9</v>
      </c>
      <c r="D554">
        <v>1628.82</v>
      </c>
      <c r="E554" t="s">
        <v>7</v>
      </c>
    </row>
    <row r="555" spans="1:5" x14ac:dyDescent="0.25">
      <c r="A555" s="1">
        <v>44539</v>
      </c>
      <c r="B555" t="s">
        <v>570</v>
      </c>
      <c r="C555" t="s">
        <v>25</v>
      </c>
      <c r="D555">
        <v>387.77</v>
      </c>
      <c r="E555" t="s">
        <v>7</v>
      </c>
    </row>
    <row r="556" spans="1:5" x14ac:dyDescent="0.25">
      <c r="A556" s="1">
        <v>44539</v>
      </c>
      <c r="B556" t="s">
        <v>571</v>
      </c>
      <c r="C556" t="s">
        <v>20</v>
      </c>
      <c r="D556">
        <v>4585</v>
      </c>
      <c r="E556" t="s">
        <v>14</v>
      </c>
    </row>
    <row r="557" spans="1:5" x14ac:dyDescent="0.25">
      <c r="A557" s="1">
        <v>44541</v>
      </c>
      <c r="B557" t="s">
        <v>572</v>
      </c>
      <c r="C557" t="s">
        <v>27</v>
      </c>
      <c r="D557">
        <v>56.12</v>
      </c>
      <c r="E557" t="s">
        <v>7</v>
      </c>
    </row>
    <row r="558" spans="1:5" x14ac:dyDescent="0.25">
      <c r="A558" s="1">
        <v>44542</v>
      </c>
      <c r="B558" t="s">
        <v>573</v>
      </c>
      <c r="C558" t="s">
        <v>27</v>
      </c>
      <c r="D558">
        <v>1933.71</v>
      </c>
      <c r="E558" t="s">
        <v>7</v>
      </c>
    </row>
    <row r="559" spans="1:5" x14ac:dyDescent="0.25">
      <c r="A559" s="1">
        <v>44543</v>
      </c>
      <c r="B559" t="s">
        <v>574</v>
      </c>
      <c r="C559" t="s">
        <v>25</v>
      </c>
      <c r="D559">
        <v>106.83</v>
      </c>
      <c r="E559" t="s">
        <v>7</v>
      </c>
    </row>
    <row r="560" spans="1:5" x14ac:dyDescent="0.25">
      <c r="A560" s="1">
        <v>44543</v>
      </c>
      <c r="B560" t="s">
        <v>575</v>
      </c>
      <c r="C560" t="s">
        <v>27</v>
      </c>
      <c r="D560">
        <v>578.64</v>
      </c>
      <c r="E560" t="s">
        <v>7</v>
      </c>
    </row>
    <row r="561" spans="1:5" x14ac:dyDescent="0.25">
      <c r="A561" s="1">
        <v>44545</v>
      </c>
      <c r="B561" t="s">
        <v>576</v>
      </c>
      <c r="C561" t="s">
        <v>13</v>
      </c>
      <c r="D561">
        <v>4030</v>
      </c>
      <c r="E561" t="s">
        <v>14</v>
      </c>
    </row>
    <row r="562" spans="1:5" x14ac:dyDescent="0.25">
      <c r="A562" s="1">
        <v>44545</v>
      </c>
      <c r="B562" t="s">
        <v>577</v>
      </c>
      <c r="C562" t="s">
        <v>20</v>
      </c>
      <c r="D562">
        <v>3496</v>
      </c>
      <c r="E562" t="s">
        <v>14</v>
      </c>
    </row>
    <row r="563" spans="1:5" x14ac:dyDescent="0.25">
      <c r="A563" s="1">
        <v>44546</v>
      </c>
      <c r="B563" t="s">
        <v>578</v>
      </c>
      <c r="C563" t="s">
        <v>25</v>
      </c>
      <c r="D563">
        <v>100.03</v>
      </c>
      <c r="E563" t="s">
        <v>7</v>
      </c>
    </row>
    <row r="564" spans="1:5" x14ac:dyDescent="0.25">
      <c r="A564" s="1">
        <v>44549</v>
      </c>
      <c r="B564" t="s">
        <v>579</v>
      </c>
      <c r="C564" t="s">
        <v>13</v>
      </c>
      <c r="D564">
        <v>3469</v>
      </c>
      <c r="E564" t="s">
        <v>14</v>
      </c>
    </row>
    <row r="565" spans="1:5" x14ac:dyDescent="0.25">
      <c r="A565" s="1">
        <v>44550</v>
      </c>
      <c r="B565" t="s">
        <v>580</v>
      </c>
      <c r="C565" t="s">
        <v>11</v>
      </c>
      <c r="D565">
        <v>778.83</v>
      </c>
      <c r="E565" t="s">
        <v>7</v>
      </c>
    </row>
    <row r="566" spans="1:5" x14ac:dyDescent="0.25">
      <c r="A566" s="1">
        <v>44550</v>
      </c>
      <c r="B566" t="s">
        <v>581</v>
      </c>
      <c r="C566" t="s">
        <v>35</v>
      </c>
      <c r="D566">
        <v>1652.37</v>
      </c>
      <c r="E566" t="s">
        <v>7</v>
      </c>
    </row>
    <row r="567" spans="1:5" x14ac:dyDescent="0.25">
      <c r="A567" s="1">
        <v>44553</v>
      </c>
      <c r="B567" t="s">
        <v>582</v>
      </c>
      <c r="C567" t="s">
        <v>11</v>
      </c>
      <c r="D567">
        <v>266.04000000000002</v>
      </c>
      <c r="E567" t="s">
        <v>7</v>
      </c>
    </row>
    <row r="568" spans="1:5" x14ac:dyDescent="0.25">
      <c r="A568" s="1">
        <v>44554</v>
      </c>
      <c r="B568" t="s">
        <v>583</v>
      </c>
      <c r="C568" t="s">
        <v>20</v>
      </c>
      <c r="D568">
        <v>3277</v>
      </c>
      <c r="E568" t="s">
        <v>14</v>
      </c>
    </row>
    <row r="569" spans="1:5" x14ac:dyDescent="0.25">
      <c r="A569" s="1">
        <v>44556</v>
      </c>
      <c r="B569" t="s">
        <v>584</v>
      </c>
      <c r="C569" t="s">
        <v>25</v>
      </c>
      <c r="D569">
        <v>1512.38</v>
      </c>
      <c r="E569" t="s">
        <v>7</v>
      </c>
    </row>
    <row r="570" spans="1:5" x14ac:dyDescent="0.25">
      <c r="A570" s="1">
        <v>44558</v>
      </c>
      <c r="B570" t="s">
        <v>585</v>
      </c>
      <c r="C570" t="s">
        <v>20</v>
      </c>
      <c r="D570">
        <v>4596</v>
      </c>
      <c r="E570" t="s">
        <v>14</v>
      </c>
    </row>
    <row r="571" spans="1:5" x14ac:dyDescent="0.25">
      <c r="A571" s="1">
        <v>44561</v>
      </c>
      <c r="B571" t="s">
        <v>586</v>
      </c>
      <c r="C571" t="s">
        <v>13</v>
      </c>
      <c r="D571">
        <v>1622</v>
      </c>
      <c r="E571" t="s">
        <v>14</v>
      </c>
    </row>
    <row r="572" spans="1:5" x14ac:dyDescent="0.25">
      <c r="A572" s="1">
        <v>44562</v>
      </c>
      <c r="B572" t="s">
        <v>587</v>
      </c>
      <c r="C572" t="s">
        <v>27</v>
      </c>
      <c r="D572">
        <v>1043.47</v>
      </c>
      <c r="E572" t="s">
        <v>7</v>
      </c>
    </row>
    <row r="573" spans="1:5" x14ac:dyDescent="0.25">
      <c r="A573" s="1">
        <v>44564</v>
      </c>
      <c r="B573" t="s">
        <v>588</v>
      </c>
      <c r="C573" t="s">
        <v>13</v>
      </c>
      <c r="D573">
        <v>3186</v>
      </c>
      <c r="E573" t="s">
        <v>14</v>
      </c>
    </row>
    <row r="574" spans="1:5" x14ac:dyDescent="0.25">
      <c r="A574" s="1">
        <v>44564</v>
      </c>
      <c r="B574" t="s">
        <v>589</v>
      </c>
      <c r="C574" t="s">
        <v>25</v>
      </c>
      <c r="D574">
        <v>333.38</v>
      </c>
      <c r="E574" t="s">
        <v>7</v>
      </c>
    </row>
    <row r="575" spans="1:5" x14ac:dyDescent="0.25">
      <c r="A575" s="1">
        <v>44564</v>
      </c>
      <c r="B575" t="s">
        <v>590</v>
      </c>
      <c r="C575" t="s">
        <v>35</v>
      </c>
      <c r="D575">
        <v>1191.51</v>
      </c>
      <c r="E575" t="s">
        <v>7</v>
      </c>
    </row>
    <row r="576" spans="1:5" x14ac:dyDescent="0.25">
      <c r="A576" s="1">
        <v>44565</v>
      </c>
      <c r="B576" t="s">
        <v>591</v>
      </c>
      <c r="C576" t="s">
        <v>27</v>
      </c>
      <c r="D576">
        <v>1420.39</v>
      </c>
      <c r="E576" t="s">
        <v>7</v>
      </c>
    </row>
    <row r="577" spans="1:5" x14ac:dyDescent="0.25">
      <c r="A577" s="1">
        <v>44566</v>
      </c>
      <c r="B577" t="s">
        <v>592</v>
      </c>
      <c r="C577" t="s">
        <v>6</v>
      </c>
      <c r="D577">
        <v>743.03</v>
      </c>
      <c r="E577" t="s">
        <v>7</v>
      </c>
    </row>
    <row r="578" spans="1:5" x14ac:dyDescent="0.25">
      <c r="A578" s="1">
        <v>44567</v>
      </c>
      <c r="B578" t="s">
        <v>593</v>
      </c>
      <c r="C578" t="s">
        <v>17</v>
      </c>
      <c r="D578">
        <v>1171.57</v>
      </c>
      <c r="E578" t="s">
        <v>7</v>
      </c>
    </row>
    <row r="579" spans="1:5" x14ac:dyDescent="0.25">
      <c r="A579" s="1">
        <v>44569</v>
      </c>
      <c r="B579" t="s">
        <v>594</v>
      </c>
      <c r="C579" t="s">
        <v>6</v>
      </c>
      <c r="D579">
        <v>1197.8499999999999</v>
      </c>
      <c r="E579" t="s">
        <v>7</v>
      </c>
    </row>
    <row r="580" spans="1:5" x14ac:dyDescent="0.25">
      <c r="A580" s="1">
        <v>44570</v>
      </c>
      <c r="B580" t="s">
        <v>595</v>
      </c>
      <c r="C580" t="s">
        <v>22</v>
      </c>
      <c r="D580">
        <v>1445.59</v>
      </c>
      <c r="E580" t="s">
        <v>7</v>
      </c>
    </row>
    <row r="581" spans="1:5" x14ac:dyDescent="0.25">
      <c r="A581" s="1">
        <v>44574</v>
      </c>
      <c r="B581" t="s">
        <v>596</v>
      </c>
      <c r="C581" t="s">
        <v>9</v>
      </c>
      <c r="D581">
        <v>1053.22</v>
      </c>
      <c r="E581" t="s">
        <v>7</v>
      </c>
    </row>
    <row r="582" spans="1:5" x14ac:dyDescent="0.25">
      <c r="A582" s="1">
        <v>44574</v>
      </c>
      <c r="B582" t="s">
        <v>597</v>
      </c>
      <c r="C582" t="s">
        <v>17</v>
      </c>
      <c r="D582">
        <v>304.07</v>
      </c>
      <c r="E582" t="s">
        <v>7</v>
      </c>
    </row>
    <row r="583" spans="1:5" x14ac:dyDescent="0.25">
      <c r="A583" s="1">
        <v>44575</v>
      </c>
      <c r="B583" t="s">
        <v>598</v>
      </c>
      <c r="C583" t="s">
        <v>6</v>
      </c>
      <c r="D583">
        <v>1149.4100000000001</v>
      </c>
      <c r="E583" t="s">
        <v>7</v>
      </c>
    </row>
    <row r="584" spans="1:5" x14ac:dyDescent="0.25">
      <c r="A584" s="1">
        <v>44577</v>
      </c>
      <c r="B584" t="s">
        <v>599</v>
      </c>
      <c r="C584" t="s">
        <v>22</v>
      </c>
      <c r="D584">
        <v>47.69</v>
      </c>
      <c r="E584" t="s">
        <v>7</v>
      </c>
    </row>
    <row r="585" spans="1:5" x14ac:dyDescent="0.25">
      <c r="A585" s="1">
        <v>44577</v>
      </c>
      <c r="B585" t="s">
        <v>600</v>
      </c>
      <c r="C585" t="s">
        <v>9</v>
      </c>
      <c r="D585">
        <v>831.79</v>
      </c>
      <c r="E585" t="s">
        <v>7</v>
      </c>
    </row>
    <row r="586" spans="1:5" x14ac:dyDescent="0.25">
      <c r="A586" s="1">
        <v>44579</v>
      </c>
      <c r="B586" t="s">
        <v>601</v>
      </c>
      <c r="C586" t="s">
        <v>27</v>
      </c>
      <c r="D586">
        <v>1746.91</v>
      </c>
      <c r="E586" t="s">
        <v>7</v>
      </c>
    </row>
    <row r="587" spans="1:5" x14ac:dyDescent="0.25">
      <c r="A587" s="1">
        <v>44579</v>
      </c>
      <c r="B587" t="s">
        <v>602</v>
      </c>
      <c r="C587" t="s">
        <v>6</v>
      </c>
      <c r="D587">
        <v>1414.49</v>
      </c>
      <c r="E587" t="s">
        <v>7</v>
      </c>
    </row>
    <row r="588" spans="1:5" x14ac:dyDescent="0.25">
      <c r="A588" s="1">
        <v>44582</v>
      </c>
      <c r="B588" t="s">
        <v>603</v>
      </c>
      <c r="C588" t="s">
        <v>25</v>
      </c>
      <c r="D588">
        <v>1996.26</v>
      </c>
      <c r="E588" t="s">
        <v>7</v>
      </c>
    </row>
    <row r="589" spans="1:5" x14ac:dyDescent="0.25">
      <c r="A589" s="1">
        <v>44582</v>
      </c>
      <c r="B589" t="s">
        <v>604</v>
      </c>
      <c r="C589" t="s">
        <v>17</v>
      </c>
      <c r="D589">
        <v>634.37</v>
      </c>
      <c r="E589" t="s">
        <v>7</v>
      </c>
    </row>
    <row r="590" spans="1:5" x14ac:dyDescent="0.25">
      <c r="A590" s="1">
        <v>44583</v>
      </c>
      <c r="B590" t="s">
        <v>605</v>
      </c>
      <c r="C590" t="s">
        <v>20</v>
      </c>
      <c r="D590">
        <v>4975</v>
      </c>
      <c r="E590" t="s">
        <v>14</v>
      </c>
    </row>
    <row r="591" spans="1:5" x14ac:dyDescent="0.25">
      <c r="A591" s="1">
        <v>44584</v>
      </c>
      <c r="B591" t="s">
        <v>606</v>
      </c>
      <c r="C591" t="s">
        <v>35</v>
      </c>
      <c r="D591">
        <v>1224.05</v>
      </c>
      <c r="E591" t="s">
        <v>7</v>
      </c>
    </row>
    <row r="592" spans="1:5" x14ac:dyDescent="0.25">
      <c r="A592" s="1">
        <v>44585</v>
      </c>
      <c r="B592" t="s">
        <v>607</v>
      </c>
      <c r="C592" t="s">
        <v>13</v>
      </c>
      <c r="D592">
        <v>2785</v>
      </c>
      <c r="E592" t="s">
        <v>14</v>
      </c>
    </row>
    <row r="593" spans="1:5" x14ac:dyDescent="0.25">
      <c r="A593" s="1">
        <v>44589</v>
      </c>
      <c r="B593" t="s">
        <v>608</v>
      </c>
      <c r="C593" t="s">
        <v>22</v>
      </c>
      <c r="D593">
        <v>1883.56</v>
      </c>
      <c r="E593" t="s">
        <v>7</v>
      </c>
    </row>
    <row r="594" spans="1:5" x14ac:dyDescent="0.25">
      <c r="A594" s="1">
        <v>44593</v>
      </c>
      <c r="B594" t="s">
        <v>609</v>
      </c>
      <c r="C594" t="s">
        <v>35</v>
      </c>
      <c r="D594">
        <v>1412.75</v>
      </c>
      <c r="E594" t="s">
        <v>7</v>
      </c>
    </row>
    <row r="595" spans="1:5" x14ac:dyDescent="0.25">
      <c r="A595" s="1">
        <v>44594</v>
      </c>
      <c r="B595" t="s">
        <v>610</v>
      </c>
      <c r="C595" t="s">
        <v>27</v>
      </c>
      <c r="D595">
        <v>640.91</v>
      </c>
      <c r="E595" t="s">
        <v>7</v>
      </c>
    </row>
    <row r="596" spans="1:5" x14ac:dyDescent="0.25">
      <c r="A596" s="1">
        <v>44597</v>
      </c>
      <c r="B596" t="s">
        <v>611</v>
      </c>
      <c r="C596" t="s">
        <v>35</v>
      </c>
      <c r="D596">
        <v>582.70000000000005</v>
      </c>
      <c r="E596" t="s">
        <v>7</v>
      </c>
    </row>
    <row r="597" spans="1:5" x14ac:dyDescent="0.25">
      <c r="A597" s="1">
        <v>44597</v>
      </c>
      <c r="B597" t="s">
        <v>612</v>
      </c>
      <c r="C597" t="s">
        <v>17</v>
      </c>
      <c r="D597">
        <v>1792.56</v>
      </c>
      <c r="E597" t="s">
        <v>7</v>
      </c>
    </row>
    <row r="598" spans="1:5" x14ac:dyDescent="0.25">
      <c r="A598" s="1">
        <v>44598</v>
      </c>
      <c r="B598" t="s">
        <v>613</v>
      </c>
      <c r="C598" t="s">
        <v>25</v>
      </c>
      <c r="D598">
        <v>1909.67</v>
      </c>
      <c r="E598" t="s">
        <v>7</v>
      </c>
    </row>
    <row r="599" spans="1:5" x14ac:dyDescent="0.25">
      <c r="A599" s="1">
        <v>44600</v>
      </c>
      <c r="B599" t="s">
        <v>614</v>
      </c>
      <c r="C599" t="s">
        <v>35</v>
      </c>
      <c r="D599">
        <v>93.71</v>
      </c>
      <c r="E599" t="s">
        <v>7</v>
      </c>
    </row>
    <row r="600" spans="1:5" x14ac:dyDescent="0.25">
      <c r="A600" s="1">
        <v>44600</v>
      </c>
      <c r="B600" t="s">
        <v>615</v>
      </c>
      <c r="C600" t="s">
        <v>11</v>
      </c>
      <c r="D600">
        <v>699.26</v>
      </c>
      <c r="E600" t="s">
        <v>7</v>
      </c>
    </row>
    <row r="601" spans="1:5" x14ac:dyDescent="0.25">
      <c r="A601" s="1">
        <v>44601</v>
      </c>
      <c r="B601" t="s">
        <v>616</v>
      </c>
      <c r="C601" t="s">
        <v>35</v>
      </c>
      <c r="D601">
        <v>1497.2</v>
      </c>
      <c r="E601" t="s">
        <v>7</v>
      </c>
    </row>
    <row r="602" spans="1:5" x14ac:dyDescent="0.25">
      <c r="A602" s="1">
        <v>44602</v>
      </c>
      <c r="B602" t="s">
        <v>617</v>
      </c>
      <c r="C602" t="s">
        <v>35</v>
      </c>
      <c r="D602">
        <v>1866.72</v>
      </c>
      <c r="E602" t="s">
        <v>7</v>
      </c>
    </row>
    <row r="603" spans="1:5" x14ac:dyDescent="0.25">
      <c r="A603" s="1">
        <v>44602</v>
      </c>
      <c r="B603" t="s">
        <v>618</v>
      </c>
      <c r="C603" t="s">
        <v>9</v>
      </c>
      <c r="D603">
        <v>227.36</v>
      </c>
      <c r="E603" t="s">
        <v>7</v>
      </c>
    </row>
    <row r="604" spans="1:5" x14ac:dyDescent="0.25">
      <c r="A604" s="1">
        <v>44602</v>
      </c>
      <c r="B604" t="s">
        <v>619</v>
      </c>
      <c r="C604" t="s">
        <v>22</v>
      </c>
      <c r="D604">
        <v>492.49</v>
      </c>
      <c r="E604" t="s">
        <v>7</v>
      </c>
    </row>
    <row r="605" spans="1:5" x14ac:dyDescent="0.25">
      <c r="A605" s="1">
        <v>44602</v>
      </c>
      <c r="B605" t="s">
        <v>620</v>
      </c>
      <c r="C605" t="s">
        <v>22</v>
      </c>
      <c r="D605">
        <v>1279.51</v>
      </c>
      <c r="E605" t="s">
        <v>7</v>
      </c>
    </row>
    <row r="606" spans="1:5" x14ac:dyDescent="0.25">
      <c r="A606" s="1">
        <v>44603</v>
      </c>
      <c r="B606" t="s">
        <v>621</v>
      </c>
      <c r="C606" t="s">
        <v>20</v>
      </c>
      <c r="D606">
        <v>3205</v>
      </c>
      <c r="E606" t="s">
        <v>14</v>
      </c>
    </row>
    <row r="607" spans="1:5" x14ac:dyDescent="0.25">
      <c r="A607" s="1">
        <v>44606</v>
      </c>
      <c r="B607" t="s">
        <v>622</v>
      </c>
      <c r="C607" t="s">
        <v>11</v>
      </c>
      <c r="D607">
        <v>1365.57</v>
      </c>
      <c r="E607" t="s">
        <v>7</v>
      </c>
    </row>
    <row r="608" spans="1:5" x14ac:dyDescent="0.25">
      <c r="A608" s="1">
        <v>44609</v>
      </c>
      <c r="B608" t="s">
        <v>623</v>
      </c>
      <c r="C608" t="s">
        <v>13</v>
      </c>
      <c r="D608">
        <v>3833</v>
      </c>
      <c r="E608" t="s">
        <v>14</v>
      </c>
    </row>
    <row r="609" spans="1:5" x14ac:dyDescent="0.25">
      <c r="A609" s="1">
        <v>44609</v>
      </c>
      <c r="B609" t="s">
        <v>624</v>
      </c>
      <c r="C609" t="s">
        <v>27</v>
      </c>
      <c r="D609">
        <v>960.12</v>
      </c>
      <c r="E609" t="s">
        <v>7</v>
      </c>
    </row>
    <row r="610" spans="1:5" x14ac:dyDescent="0.25">
      <c r="A610" s="1">
        <v>44609</v>
      </c>
      <c r="B610" t="s">
        <v>625</v>
      </c>
      <c r="C610" t="s">
        <v>20</v>
      </c>
      <c r="D610">
        <v>3131</v>
      </c>
      <c r="E610" t="s">
        <v>14</v>
      </c>
    </row>
    <row r="611" spans="1:5" x14ac:dyDescent="0.25">
      <c r="A611" s="1">
        <v>44609</v>
      </c>
      <c r="B611" t="s">
        <v>626</v>
      </c>
      <c r="C611" t="s">
        <v>6</v>
      </c>
      <c r="D611">
        <v>1816.79</v>
      </c>
      <c r="E611" t="s">
        <v>7</v>
      </c>
    </row>
    <row r="612" spans="1:5" x14ac:dyDescent="0.25">
      <c r="A612" s="1">
        <v>44610</v>
      </c>
      <c r="B612" t="s">
        <v>627</v>
      </c>
      <c r="C612" t="s">
        <v>13</v>
      </c>
      <c r="D612">
        <v>4883</v>
      </c>
      <c r="E612" t="s">
        <v>14</v>
      </c>
    </row>
    <row r="613" spans="1:5" x14ac:dyDescent="0.25">
      <c r="A613" s="1">
        <v>44613</v>
      </c>
      <c r="B613" t="s">
        <v>628</v>
      </c>
      <c r="C613" t="s">
        <v>6</v>
      </c>
      <c r="D613">
        <v>1827.33</v>
      </c>
      <c r="E613" t="s">
        <v>7</v>
      </c>
    </row>
    <row r="614" spans="1:5" x14ac:dyDescent="0.25">
      <c r="A614" s="1">
        <v>44614</v>
      </c>
      <c r="B614" t="s">
        <v>629</v>
      </c>
      <c r="C614" t="s">
        <v>13</v>
      </c>
      <c r="D614">
        <v>797</v>
      </c>
      <c r="E614" t="s">
        <v>14</v>
      </c>
    </row>
    <row r="615" spans="1:5" x14ac:dyDescent="0.25">
      <c r="A615" s="1">
        <v>44614</v>
      </c>
      <c r="B615" t="s">
        <v>630</v>
      </c>
      <c r="C615" t="s">
        <v>17</v>
      </c>
      <c r="D615">
        <v>1578.04</v>
      </c>
      <c r="E615" t="s">
        <v>7</v>
      </c>
    </row>
    <row r="616" spans="1:5" x14ac:dyDescent="0.25">
      <c r="A616" s="1">
        <v>44617</v>
      </c>
      <c r="B616" t="s">
        <v>631</v>
      </c>
      <c r="C616" t="s">
        <v>20</v>
      </c>
      <c r="D616">
        <v>806</v>
      </c>
      <c r="E616" t="s">
        <v>14</v>
      </c>
    </row>
    <row r="617" spans="1:5" x14ac:dyDescent="0.25">
      <c r="A617" s="1">
        <v>44619</v>
      </c>
      <c r="B617" t="s">
        <v>632</v>
      </c>
      <c r="C617" t="s">
        <v>13</v>
      </c>
      <c r="D617">
        <v>3244</v>
      </c>
      <c r="E617" t="s">
        <v>14</v>
      </c>
    </row>
    <row r="618" spans="1:5" x14ac:dyDescent="0.25">
      <c r="A618" s="1">
        <v>44621</v>
      </c>
      <c r="B618" t="s">
        <v>633</v>
      </c>
      <c r="C618" t="s">
        <v>27</v>
      </c>
      <c r="D618">
        <v>1779.63</v>
      </c>
      <c r="E618" t="s">
        <v>7</v>
      </c>
    </row>
    <row r="619" spans="1:5" x14ac:dyDescent="0.25">
      <c r="A619" s="1">
        <v>44622</v>
      </c>
      <c r="B619" t="s">
        <v>634</v>
      </c>
      <c r="C619" t="s">
        <v>20</v>
      </c>
      <c r="D619">
        <v>2735</v>
      </c>
      <c r="E619" t="s">
        <v>14</v>
      </c>
    </row>
    <row r="620" spans="1:5" x14ac:dyDescent="0.25">
      <c r="A620" s="1">
        <v>44624</v>
      </c>
      <c r="B620" t="s">
        <v>635</v>
      </c>
      <c r="C620" t="s">
        <v>13</v>
      </c>
      <c r="D620">
        <v>3208</v>
      </c>
      <c r="E620" t="s">
        <v>14</v>
      </c>
    </row>
    <row r="621" spans="1:5" x14ac:dyDescent="0.25">
      <c r="A621" s="1">
        <v>44625</v>
      </c>
      <c r="B621" t="s">
        <v>636</v>
      </c>
      <c r="C621" t="s">
        <v>20</v>
      </c>
      <c r="D621">
        <v>2607</v>
      </c>
      <c r="E621" t="s">
        <v>14</v>
      </c>
    </row>
    <row r="622" spans="1:5" x14ac:dyDescent="0.25">
      <c r="A622" s="1">
        <v>44627</v>
      </c>
      <c r="B622" t="s">
        <v>637</v>
      </c>
      <c r="C622" t="s">
        <v>6</v>
      </c>
      <c r="D622">
        <v>1475.87</v>
      </c>
      <c r="E622" t="s">
        <v>7</v>
      </c>
    </row>
    <row r="623" spans="1:5" x14ac:dyDescent="0.25">
      <c r="A623" s="1">
        <v>44627</v>
      </c>
      <c r="B623" t="s">
        <v>638</v>
      </c>
      <c r="C623" t="s">
        <v>22</v>
      </c>
      <c r="D623">
        <v>359.23</v>
      </c>
      <c r="E623" t="s">
        <v>7</v>
      </c>
    </row>
    <row r="624" spans="1:5" x14ac:dyDescent="0.25">
      <c r="A624" s="1">
        <v>44632</v>
      </c>
      <c r="B624" t="s">
        <v>639</v>
      </c>
      <c r="C624" t="s">
        <v>17</v>
      </c>
      <c r="D624">
        <v>1655.71</v>
      </c>
      <c r="E624" t="s">
        <v>7</v>
      </c>
    </row>
    <row r="625" spans="1:5" x14ac:dyDescent="0.25">
      <c r="A625" s="1">
        <v>44634</v>
      </c>
      <c r="B625" t="s">
        <v>640</v>
      </c>
      <c r="C625" t="s">
        <v>11</v>
      </c>
      <c r="D625">
        <v>807.66</v>
      </c>
      <c r="E625" t="s">
        <v>7</v>
      </c>
    </row>
    <row r="626" spans="1:5" x14ac:dyDescent="0.25">
      <c r="A626" s="1">
        <v>44637</v>
      </c>
      <c r="B626" t="s">
        <v>641</v>
      </c>
      <c r="C626" t="s">
        <v>13</v>
      </c>
      <c r="D626">
        <v>4411</v>
      </c>
      <c r="E626" t="s">
        <v>14</v>
      </c>
    </row>
    <row r="627" spans="1:5" x14ac:dyDescent="0.25">
      <c r="A627" s="1">
        <v>44637</v>
      </c>
      <c r="B627" t="s">
        <v>642</v>
      </c>
      <c r="C627" t="s">
        <v>22</v>
      </c>
      <c r="D627">
        <v>23.59</v>
      </c>
      <c r="E627" t="s">
        <v>7</v>
      </c>
    </row>
    <row r="628" spans="1:5" x14ac:dyDescent="0.25">
      <c r="A628" s="1">
        <v>44638</v>
      </c>
      <c r="B628" t="s">
        <v>643</v>
      </c>
      <c r="C628" t="s">
        <v>27</v>
      </c>
      <c r="D628">
        <v>1509.98</v>
      </c>
      <c r="E628" t="s">
        <v>7</v>
      </c>
    </row>
    <row r="629" spans="1:5" x14ac:dyDescent="0.25">
      <c r="A629" s="1">
        <v>44638</v>
      </c>
      <c r="B629" t="s">
        <v>644</v>
      </c>
      <c r="C629" t="s">
        <v>35</v>
      </c>
      <c r="D629">
        <v>1169.0999999999999</v>
      </c>
      <c r="E629" t="s">
        <v>7</v>
      </c>
    </row>
    <row r="630" spans="1:5" x14ac:dyDescent="0.25">
      <c r="A630" s="1">
        <v>44638</v>
      </c>
      <c r="B630" t="s">
        <v>645</v>
      </c>
      <c r="C630" t="s">
        <v>35</v>
      </c>
      <c r="D630">
        <v>1310.83</v>
      </c>
      <c r="E630" t="s">
        <v>7</v>
      </c>
    </row>
    <row r="631" spans="1:5" x14ac:dyDescent="0.25">
      <c r="A631" s="1">
        <v>44640</v>
      </c>
      <c r="B631" t="s">
        <v>646</v>
      </c>
      <c r="C631" t="s">
        <v>6</v>
      </c>
      <c r="D631">
        <v>1338.89</v>
      </c>
      <c r="E631" t="s">
        <v>7</v>
      </c>
    </row>
    <row r="632" spans="1:5" x14ac:dyDescent="0.25">
      <c r="A632" s="1">
        <v>44640</v>
      </c>
      <c r="B632" t="s">
        <v>647</v>
      </c>
      <c r="C632" t="s">
        <v>9</v>
      </c>
      <c r="D632">
        <v>816.78</v>
      </c>
      <c r="E632" t="s">
        <v>7</v>
      </c>
    </row>
    <row r="633" spans="1:5" x14ac:dyDescent="0.25">
      <c r="A633" s="1">
        <v>44642</v>
      </c>
      <c r="B633" t="s">
        <v>648</v>
      </c>
      <c r="C633" t="s">
        <v>35</v>
      </c>
      <c r="D633">
        <v>1383.68</v>
      </c>
      <c r="E633" t="s">
        <v>7</v>
      </c>
    </row>
    <row r="634" spans="1:5" x14ac:dyDescent="0.25">
      <c r="A634" s="1">
        <v>44643</v>
      </c>
      <c r="B634" t="s">
        <v>649</v>
      </c>
      <c r="C634" t="s">
        <v>35</v>
      </c>
      <c r="D634">
        <v>741.41</v>
      </c>
      <c r="E634" t="s">
        <v>7</v>
      </c>
    </row>
    <row r="635" spans="1:5" x14ac:dyDescent="0.25">
      <c r="A635" s="1">
        <v>44643</v>
      </c>
      <c r="B635" t="s">
        <v>650</v>
      </c>
      <c r="C635" t="s">
        <v>9</v>
      </c>
      <c r="D635">
        <v>961.58</v>
      </c>
      <c r="E635" t="s">
        <v>7</v>
      </c>
    </row>
    <row r="636" spans="1:5" x14ac:dyDescent="0.25">
      <c r="A636" s="1">
        <v>44644</v>
      </c>
      <c r="B636" t="s">
        <v>651</v>
      </c>
      <c r="C636" t="s">
        <v>25</v>
      </c>
      <c r="D636">
        <v>837.53</v>
      </c>
      <c r="E636" t="s">
        <v>7</v>
      </c>
    </row>
    <row r="637" spans="1:5" x14ac:dyDescent="0.25">
      <c r="A637" s="1">
        <v>44645</v>
      </c>
      <c r="B637" t="s">
        <v>652</v>
      </c>
      <c r="C637" t="s">
        <v>27</v>
      </c>
      <c r="D637">
        <v>1517.13</v>
      </c>
      <c r="E637" t="s">
        <v>7</v>
      </c>
    </row>
    <row r="638" spans="1:5" x14ac:dyDescent="0.25">
      <c r="A638" s="1">
        <v>44646</v>
      </c>
      <c r="B638" t="s">
        <v>653</v>
      </c>
      <c r="C638" t="s">
        <v>22</v>
      </c>
      <c r="D638">
        <v>1526.1</v>
      </c>
      <c r="E638" t="s">
        <v>7</v>
      </c>
    </row>
    <row r="639" spans="1:5" x14ac:dyDescent="0.25">
      <c r="A639" s="1">
        <v>44647</v>
      </c>
      <c r="B639" t="s">
        <v>654</v>
      </c>
      <c r="C639" t="s">
        <v>11</v>
      </c>
      <c r="D639">
        <v>1055.76</v>
      </c>
      <c r="E639" t="s">
        <v>7</v>
      </c>
    </row>
    <row r="640" spans="1:5" x14ac:dyDescent="0.25">
      <c r="A640" s="1">
        <v>44648</v>
      </c>
      <c r="B640" t="s">
        <v>655</v>
      </c>
      <c r="C640" t="s">
        <v>25</v>
      </c>
      <c r="D640">
        <v>165.42</v>
      </c>
      <c r="E640" t="s">
        <v>7</v>
      </c>
    </row>
    <row r="641" spans="1:5" x14ac:dyDescent="0.25">
      <c r="A641" s="1">
        <v>44648</v>
      </c>
      <c r="B641" t="s">
        <v>656</v>
      </c>
      <c r="C641" t="s">
        <v>6</v>
      </c>
      <c r="D641">
        <v>1659.26</v>
      </c>
      <c r="E641" t="s">
        <v>7</v>
      </c>
    </row>
    <row r="642" spans="1:5" x14ac:dyDescent="0.25">
      <c r="A642" s="1">
        <v>44648</v>
      </c>
      <c r="B642" t="s">
        <v>657</v>
      </c>
      <c r="C642" t="s">
        <v>22</v>
      </c>
      <c r="D642">
        <v>1149.68</v>
      </c>
      <c r="E642" t="s">
        <v>7</v>
      </c>
    </row>
    <row r="643" spans="1:5" x14ac:dyDescent="0.25">
      <c r="A643" s="1">
        <v>44648</v>
      </c>
      <c r="B643" t="s">
        <v>658</v>
      </c>
      <c r="C643" t="s">
        <v>20</v>
      </c>
      <c r="D643">
        <v>4762</v>
      </c>
      <c r="E643" t="s">
        <v>14</v>
      </c>
    </row>
    <row r="644" spans="1:5" x14ac:dyDescent="0.25">
      <c r="A644" s="1">
        <v>44649</v>
      </c>
      <c r="B644" t="s">
        <v>659</v>
      </c>
      <c r="C644" t="s">
        <v>22</v>
      </c>
      <c r="D644">
        <v>1436.67</v>
      </c>
      <c r="E644" t="s">
        <v>7</v>
      </c>
    </row>
    <row r="645" spans="1:5" x14ac:dyDescent="0.25">
      <c r="A645" s="1">
        <v>44649</v>
      </c>
      <c r="B645" t="s">
        <v>660</v>
      </c>
      <c r="C645" t="s">
        <v>27</v>
      </c>
      <c r="D645">
        <v>1619.3</v>
      </c>
      <c r="E645" t="s">
        <v>7</v>
      </c>
    </row>
    <row r="646" spans="1:5" x14ac:dyDescent="0.25">
      <c r="A646" s="1">
        <v>44651</v>
      </c>
      <c r="B646" t="s">
        <v>661</v>
      </c>
      <c r="C646" t="s">
        <v>17</v>
      </c>
      <c r="D646">
        <v>919.03</v>
      </c>
      <c r="E646" t="s">
        <v>7</v>
      </c>
    </row>
    <row r="647" spans="1:5" x14ac:dyDescent="0.25">
      <c r="A647" s="1">
        <v>44651</v>
      </c>
      <c r="B647" t="s">
        <v>662</v>
      </c>
      <c r="C647" t="s">
        <v>20</v>
      </c>
      <c r="D647">
        <v>3024</v>
      </c>
      <c r="E647" t="s">
        <v>14</v>
      </c>
    </row>
    <row r="648" spans="1:5" x14ac:dyDescent="0.25">
      <c r="A648" s="1">
        <v>44651</v>
      </c>
      <c r="B648" t="s">
        <v>663</v>
      </c>
      <c r="C648" t="s">
        <v>17</v>
      </c>
      <c r="D648">
        <v>516.37</v>
      </c>
      <c r="E648" t="s">
        <v>7</v>
      </c>
    </row>
    <row r="649" spans="1:5" x14ac:dyDescent="0.25">
      <c r="A649" s="1">
        <v>44652</v>
      </c>
      <c r="B649" t="s">
        <v>664</v>
      </c>
      <c r="C649" t="s">
        <v>13</v>
      </c>
      <c r="D649">
        <v>1098</v>
      </c>
      <c r="E649" t="s">
        <v>14</v>
      </c>
    </row>
    <row r="650" spans="1:5" x14ac:dyDescent="0.25">
      <c r="A650" s="1">
        <v>44652</v>
      </c>
      <c r="B650" t="s">
        <v>665</v>
      </c>
      <c r="C650" t="s">
        <v>20</v>
      </c>
      <c r="D650">
        <v>1022</v>
      </c>
      <c r="E650" t="s">
        <v>14</v>
      </c>
    </row>
    <row r="651" spans="1:5" x14ac:dyDescent="0.25">
      <c r="A651" s="1">
        <v>44652</v>
      </c>
      <c r="B651" t="s">
        <v>666</v>
      </c>
      <c r="C651" t="s">
        <v>6</v>
      </c>
      <c r="D651">
        <v>1869.82</v>
      </c>
      <c r="E651" t="s">
        <v>7</v>
      </c>
    </row>
    <row r="652" spans="1:5" x14ac:dyDescent="0.25">
      <c r="A652" s="1">
        <v>44652</v>
      </c>
      <c r="B652" t="s">
        <v>667</v>
      </c>
      <c r="C652" t="s">
        <v>20</v>
      </c>
      <c r="D652">
        <v>759</v>
      </c>
      <c r="E652" t="s">
        <v>14</v>
      </c>
    </row>
    <row r="653" spans="1:5" x14ac:dyDescent="0.25">
      <c r="A653" s="1">
        <v>44653</v>
      </c>
      <c r="B653" t="s">
        <v>668</v>
      </c>
      <c r="C653" t="s">
        <v>9</v>
      </c>
      <c r="D653">
        <v>1540.25</v>
      </c>
      <c r="E653" t="s">
        <v>7</v>
      </c>
    </row>
    <row r="654" spans="1:5" x14ac:dyDescent="0.25">
      <c r="A654" s="1">
        <v>44653</v>
      </c>
      <c r="B654" t="s">
        <v>669</v>
      </c>
      <c r="C654" t="s">
        <v>17</v>
      </c>
      <c r="D654">
        <v>755.18</v>
      </c>
      <c r="E654" t="s">
        <v>7</v>
      </c>
    </row>
    <row r="655" spans="1:5" x14ac:dyDescent="0.25">
      <c r="A655" s="1">
        <v>44654</v>
      </c>
      <c r="B655" t="s">
        <v>670</v>
      </c>
      <c r="C655" t="s">
        <v>27</v>
      </c>
      <c r="D655">
        <v>1740.54</v>
      </c>
      <c r="E655" t="s">
        <v>7</v>
      </c>
    </row>
    <row r="656" spans="1:5" x14ac:dyDescent="0.25">
      <c r="A656" s="1">
        <v>44654</v>
      </c>
      <c r="B656" t="s">
        <v>671</v>
      </c>
      <c r="C656" t="s">
        <v>17</v>
      </c>
      <c r="D656">
        <v>169.7</v>
      </c>
      <c r="E656" t="s">
        <v>7</v>
      </c>
    </row>
    <row r="657" spans="1:5" x14ac:dyDescent="0.25">
      <c r="A657" s="1">
        <v>44655</v>
      </c>
      <c r="B657" t="s">
        <v>672</v>
      </c>
      <c r="C657" t="s">
        <v>9</v>
      </c>
      <c r="D657">
        <v>1310.53</v>
      </c>
      <c r="E657" t="s">
        <v>7</v>
      </c>
    </row>
    <row r="658" spans="1:5" x14ac:dyDescent="0.25">
      <c r="A658" s="1">
        <v>44656</v>
      </c>
      <c r="B658" t="s">
        <v>673</v>
      </c>
      <c r="C658" t="s">
        <v>9</v>
      </c>
      <c r="D658">
        <v>1985.77</v>
      </c>
      <c r="E658" t="s">
        <v>7</v>
      </c>
    </row>
    <row r="659" spans="1:5" x14ac:dyDescent="0.25">
      <c r="A659" s="1">
        <v>44659</v>
      </c>
      <c r="B659" t="s">
        <v>674</v>
      </c>
      <c r="C659" t="s">
        <v>9</v>
      </c>
      <c r="D659">
        <v>1458.44</v>
      </c>
      <c r="E659" t="s">
        <v>7</v>
      </c>
    </row>
    <row r="660" spans="1:5" x14ac:dyDescent="0.25">
      <c r="A660" s="1">
        <v>44660</v>
      </c>
      <c r="B660" t="s">
        <v>675</v>
      </c>
      <c r="C660" t="s">
        <v>6</v>
      </c>
      <c r="D660">
        <v>1514.8</v>
      </c>
      <c r="E660" t="s">
        <v>7</v>
      </c>
    </row>
    <row r="661" spans="1:5" x14ac:dyDescent="0.25">
      <c r="A661" s="1">
        <v>44660</v>
      </c>
      <c r="B661" t="s">
        <v>676</v>
      </c>
      <c r="C661" t="s">
        <v>27</v>
      </c>
      <c r="D661">
        <v>1350.26</v>
      </c>
      <c r="E661" t="s">
        <v>7</v>
      </c>
    </row>
    <row r="662" spans="1:5" x14ac:dyDescent="0.25">
      <c r="A662" s="1">
        <v>44661</v>
      </c>
      <c r="B662" t="s">
        <v>677</v>
      </c>
      <c r="C662" t="s">
        <v>17</v>
      </c>
      <c r="D662">
        <v>1648.49</v>
      </c>
      <c r="E662" t="s">
        <v>7</v>
      </c>
    </row>
    <row r="663" spans="1:5" x14ac:dyDescent="0.25">
      <c r="A663" s="1">
        <v>44661</v>
      </c>
      <c r="B663" t="s">
        <v>678</v>
      </c>
      <c r="C663" t="s">
        <v>25</v>
      </c>
      <c r="D663">
        <v>318.69</v>
      </c>
      <c r="E663" t="s">
        <v>7</v>
      </c>
    </row>
    <row r="664" spans="1:5" x14ac:dyDescent="0.25">
      <c r="A664" s="1">
        <v>44667</v>
      </c>
      <c r="B664" t="s">
        <v>679</v>
      </c>
      <c r="C664" t="s">
        <v>13</v>
      </c>
      <c r="D664">
        <v>763</v>
      </c>
      <c r="E664" t="s">
        <v>14</v>
      </c>
    </row>
    <row r="665" spans="1:5" x14ac:dyDescent="0.25">
      <c r="A665" s="1">
        <v>44669</v>
      </c>
      <c r="B665" t="s">
        <v>680</v>
      </c>
      <c r="C665" t="s">
        <v>17</v>
      </c>
      <c r="D665">
        <v>1233.7</v>
      </c>
      <c r="E665" t="s">
        <v>7</v>
      </c>
    </row>
    <row r="666" spans="1:5" x14ac:dyDescent="0.25">
      <c r="A666" s="1">
        <v>44669</v>
      </c>
      <c r="B666" t="s">
        <v>681</v>
      </c>
      <c r="C666" t="s">
        <v>6</v>
      </c>
      <c r="D666">
        <v>488.93</v>
      </c>
      <c r="E666" t="s">
        <v>7</v>
      </c>
    </row>
    <row r="667" spans="1:5" x14ac:dyDescent="0.25">
      <c r="A667" s="1">
        <v>44672</v>
      </c>
      <c r="B667" t="s">
        <v>682</v>
      </c>
      <c r="C667" t="s">
        <v>13</v>
      </c>
      <c r="D667">
        <v>4157</v>
      </c>
      <c r="E667" t="s">
        <v>14</v>
      </c>
    </row>
    <row r="668" spans="1:5" x14ac:dyDescent="0.25">
      <c r="A668" s="1">
        <v>44673</v>
      </c>
      <c r="B668" t="s">
        <v>683</v>
      </c>
      <c r="C668" t="s">
        <v>6</v>
      </c>
      <c r="D668">
        <v>497.02</v>
      </c>
      <c r="E668" t="s">
        <v>7</v>
      </c>
    </row>
    <row r="669" spans="1:5" x14ac:dyDescent="0.25">
      <c r="A669" s="1">
        <v>44673</v>
      </c>
      <c r="B669" t="s">
        <v>684</v>
      </c>
      <c r="C669" t="s">
        <v>20</v>
      </c>
      <c r="D669">
        <v>2419</v>
      </c>
      <c r="E669" t="s">
        <v>14</v>
      </c>
    </row>
    <row r="670" spans="1:5" x14ac:dyDescent="0.25">
      <c r="A670" s="1">
        <v>44675</v>
      </c>
      <c r="B670" t="s">
        <v>685</v>
      </c>
      <c r="C670" t="s">
        <v>6</v>
      </c>
      <c r="D670">
        <v>288.87</v>
      </c>
      <c r="E670" t="s">
        <v>7</v>
      </c>
    </row>
    <row r="671" spans="1:5" x14ac:dyDescent="0.25">
      <c r="A671" s="1">
        <v>44675</v>
      </c>
      <c r="B671" t="s">
        <v>686</v>
      </c>
      <c r="C671" t="s">
        <v>22</v>
      </c>
      <c r="D671">
        <v>1633.41</v>
      </c>
      <c r="E671" t="s">
        <v>7</v>
      </c>
    </row>
    <row r="672" spans="1:5" x14ac:dyDescent="0.25">
      <c r="A672" s="1">
        <v>44680</v>
      </c>
      <c r="B672" t="s">
        <v>687</v>
      </c>
      <c r="C672" t="s">
        <v>25</v>
      </c>
      <c r="D672">
        <v>1159.17</v>
      </c>
      <c r="E672" t="s">
        <v>7</v>
      </c>
    </row>
    <row r="673" spans="1:5" x14ac:dyDescent="0.25">
      <c r="A673" s="1">
        <v>44681</v>
      </c>
      <c r="B673" t="s">
        <v>688</v>
      </c>
      <c r="C673" t="s">
        <v>25</v>
      </c>
      <c r="D673">
        <v>481.44</v>
      </c>
      <c r="E673" t="s">
        <v>7</v>
      </c>
    </row>
    <row r="674" spans="1:5" x14ac:dyDescent="0.25">
      <c r="A674" s="1">
        <v>44683</v>
      </c>
      <c r="B674" t="s">
        <v>689</v>
      </c>
      <c r="C674" t="s">
        <v>22</v>
      </c>
      <c r="D674">
        <v>832.98</v>
      </c>
      <c r="E674" t="s">
        <v>7</v>
      </c>
    </row>
    <row r="675" spans="1:5" x14ac:dyDescent="0.25">
      <c r="A675" s="1">
        <v>44683</v>
      </c>
      <c r="B675" t="s">
        <v>690</v>
      </c>
      <c r="C675" t="s">
        <v>9</v>
      </c>
      <c r="D675">
        <v>1255.73</v>
      </c>
      <c r="E675" t="s">
        <v>7</v>
      </c>
    </row>
    <row r="676" spans="1:5" x14ac:dyDescent="0.25">
      <c r="A676" s="1">
        <v>44684</v>
      </c>
      <c r="B676" t="s">
        <v>691</v>
      </c>
      <c r="C676" t="s">
        <v>27</v>
      </c>
      <c r="D676">
        <v>103.3</v>
      </c>
      <c r="E676" t="s">
        <v>7</v>
      </c>
    </row>
    <row r="677" spans="1:5" x14ac:dyDescent="0.25">
      <c r="A677" s="1">
        <v>44686</v>
      </c>
      <c r="B677" t="s">
        <v>692</v>
      </c>
      <c r="C677" t="s">
        <v>17</v>
      </c>
      <c r="D677">
        <v>1573.75</v>
      </c>
      <c r="E677" t="s">
        <v>7</v>
      </c>
    </row>
    <row r="678" spans="1:5" x14ac:dyDescent="0.25">
      <c r="A678" s="1">
        <v>44686</v>
      </c>
      <c r="B678" t="s">
        <v>693</v>
      </c>
      <c r="C678" t="s">
        <v>17</v>
      </c>
      <c r="D678">
        <v>822.44</v>
      </c>
      <c r="E678" t="s">
        <v>7</v>
      </c>
    </row>
    <row r="679" spans="1:5" x14ac:dyDescent="0.25">
      <c r="A679" s="1">
        <v>44687</v>
      </c>
      <c r="B679" t="s">
        <v>694</v>
      </c>
      <c r="C679" t="s">
        <v>9</v>
      </c>
      <c r="D679">
        <v>1511.29</v>
      </c>
      <c r="E679" t="s">
        <v>7</v>
      </c>
    </row>
    <row r="680" spans="1:5" x14ac:dyDescent="0.25">
      <c r="A680" s="1">
        <v>44688</v>
      </c>
      <c r="B680" t="s">
        <v>695</v>
      </c>
      <c r="C680" t="s">
        <v>22</v>
      </c>
      <c r="D680">
        <v>608.47</v>
      </c>
      <c r="E680" t="s">
        <v>7</v>
      </c>
    </row>
    <row r="681" spans="1:5" x14ac:dyDescent="0.25">
      <c r="A681" s="1">
        <v>44688</v>
      </c>
      <c r="B681" t="s">
        <v>696</v>
      </c>
      <c r="C681" t="s">
        <v>27</v>
      </c>
      <c r="D681">
        <v>1830.33</v>
      </c>
      <c r="E681" t="s">
        <v>7</v>
      </c>
    </row>
    <row r="682" spans="1:5" x14ac:dyDescent="0.25">
      <c r="A682" s="1">
        <v>44688</v>
      </c>
      <c r="B682" t="s">
        <v>697</v>
      </c>
      <c r="C682" t="s">
        <v>17</v>
      </c>
      <c r="D682">
        <v>1119</v>
      </c>
      <c r="E682" t="s">
        <v>7</v>
      </c>
    </row>
    <row r="683" spans="1:5" x14ac:dyDescent="0.25">
      <c r="A683" s="1">
        <v>44689</v>
      </c>
      <c r="B683" t="s">
        <v>698</v>
      </c>
      <c r="C683" t="s">
        <v>13</v>
      </c>
      <c r="D683">
        <v>2588</v>
      </c>
      <c r="E683" t="s">
        <v>14</v>
      </c>
    </row>
    <row r="684" spans="1:5" x14ac:dyDescent="0.25">
      <c r="A684" s="1">
        <v>44689</v>
      </c>
      <c r="B684" t="s">
        <v>699</v>
      </c>
      <c r="C684" t="s">
        <v>11</v>
      </c>
      <c r="D684">
        <v>1845.23</v>
      </c>
      <c r="E684" t="s">
        <v>7</v>
      </c>
    </row>
    <row r="685" spans="1:5" x14ac:dyDescent="0.25">
      <c r="A685" s="1">
        <v>44690</v>
      </c>
      <c r="B685" t="s">
        <v>700</v>
      </c>
      <c r="C685" t="s">
        <v>11</v>
      </c>
      <c r="D685">
        <v>1075.9100000000001</v>
      </c>
      <c r="E685" t="s">
        <v>7</v>
      </c>
    </row>
    <row r="686" spans="1:5" x14ac:dyDescent="0.25">
      <c r="A686" s="1">
        <v>44690</v>
      </c>
      <c r="B686" t="s">
        <v>701</v>
      </c>
      <c r="C686" t="s">
        <v>6</v>
      </c>
      <c r="D686">
        <v>544.24</v>
      </c>
      <c r="E686" t="s">
        <v>7</v>
      </c>
    </row>
    <row r="687" spans="1:5" x14ac:dyDescent="0.25">
      <c r="A687" s="1">
        <v>44692</v>
      </c>
      <c r="B687" t="s">
        <v>702</v>
      </c>
      <c r="C687" t="s">
        <v>6</v>
      </c>
      <c r="D687">
        <v>1748.5</v>
      </c>
      <c r="E687" t="s">
        <v>7</v>
      </c>
    </row>
    <row r="688" spans="1:5" x14ac:dyDescent="0.25">
      <c r="A688" s="1">
        <v>44694</v>
      </c>
      <c r="B688" t="s">
        <v>703</v>
      </c>
      <c r="C688" t="s">
        <v>13</v>
      </c>
      <c r="D688">
        <v>4427</v>
      </c>
      <c r="E688" t="s">
        <v>14</v>
      </c>
    </row>
    <row r="689" spans="1:5" x14ac:dyDescent="0.25">
      <c r="A689" s="1">
        <v>44694</v>
      </c>
      <c r="B689" t="s">
        <v>704</v>
      </c>
      <c r="C689" t="s">
        <v>25</v>
      </c>
      <c r="D689">
        <v>613.34</v>
      </c>
      <c r="E689" t="s">
        <v>7</v>
      </c>
    </row>
    <row r="690" spans="1:5" x14ac:dyDescent="0.25">
      <c r="A690" s="1">
        <v>44695</v>
      </c>
      <c r="B690" t="s">
        <v>705</v>
      </c>
      <c r="C690" t="s">
        <v>22</v>
      </c>
      <c r="D690">
        <v>1874.95</v>
      </c>
      <c r="E690" t="s">
        <v>7</v>
      </c>
    </row>
    <row r="691" spans="1:5" x14ac:dyDescent="0.25">
      <c r="A691" s="1">
        <v>44700</v>
      </c>
      <c r="B691" t="s">
        <v>706</v>
      </c>
      <c r="C691" t="s">
        <v>11</v>
      </c>
      <c r="D691">
        <v>1496.29</v>
      </c>
      <c r="E691" t="s">
        <v>7</v>
      </c>
    </row>
    <row r="692" spans="1:5" x14ac:dyDescent="0.25">
      <c r="A692" s="1">
        <v>44700</v>
      </c>
      <c r="B692" t="s">
        <v>707</v>
      </c>
      <c r="C692" t="s">
        <v>22</v>
      </c>
      <c r="D692">
        <v>1394.3</v>
      </c>
      <c r="E692" t="s">
        <v>7</v>
      </c>
    </row>
    <row r="693" spans="1:5" x14ac:dyDescent="0.25">
      <c r="A693" s="1">
        <v>44701</v>
      </c>
      <c r="B693" t="s">
        <v>708</v>
      </c>
      <c r="C693" t="s">
        <v>17</v>
      </c>
      <c r="D693">
        <v>1831.1</v>
      </c>
      <c r="E693" t="s">
        <v>7</v>
      </c>
    </row>
    <row r="694" spans="1:5" x14ac:dyDescent="0.25">
      <c r="A694" s="1">
        <v>44701</v>
      </c>
      <c r="B694" t="s">
        <v>709</v>
      </c>
      <c r="C694" t="s">
        <v>35</v>
      </c>
      <c r="D694">
        <v>767.52</v>
      </c>
      <c r="E694" t="s">
        <v>7</v>
      </c>
    </row>
    <row r="695" spans="1:5" x14ac:dyDescent="0.25">
      <c r="A695" s="1">
        <v>44703</v>
      </c>
      <c r="B695" t="s">
        <v>710</v>
      </c>
      <c r="C695" t="s">
        <v>25</v>
      </c>
      <c r="D695">
        <v>623.76</v>
      </c>
      <c r="E695" t="s">
        <v>7</v>
      </c>
    </row>
    <row r="696" spans="1:5" x14ac:dyDescent="0.25">
      <c r="A696" s="1">
        <v>44704</v>
      </c>
      <c r="B696" t="s">
        <v>711</v>
      </c>
      <c r="C696" t="s">
        <v>27</v>
      </c>
      <c r="D696">
        <v>937.35</v>
      </c>
      <c r="E696" t="s">
        <v>7</v>
      </c>
    </row>
    <row r="697" spans="1:5" x14ac:dyDescent="0.25">
      <c r="A697" s="1">
        <v>44705</v>
      </c>
      <c r="B697" t="s">
        <v>712</v>
      </c>
      <c r="C697" t="s">
        <v>27</v>
      </c>
      <c r="D697">
        <v>1525.64</v>
      </c>
      <c r="E697" t="s">
        <v>7</v>
      </c>
    </row>
    <row r="698" spans="1:5" x14ac:dyDescent="0.25">
      <c r="A698" s="1">
        <v>44705</v>
      </c>
      <c r="B698" t="s">
        <v>713</v>
      </c>
      <c r="C698" t="s">
        <v>22</v>
      </c>
      <c r="D698">
        <v>747.7</v>
      </c>
      <c r="E698" t="s">
        <v>7</v>
      </c>
    </row>
    <row r="699" spans="1:5" x14ac:dyDescent="0.25">
      <c r="A699" s="1">
        <v>44706</v>
      </c>
      <c r="B699" t="s">
        <v>714</v>
      </c>
      <c r="C699" t="s">
        <v>22</v>
      </c>
      <c r="D699">
        <v>1485.09</v>
      </c>
      <c r="E699" t="s">
        <v>7</v>
      </c>
    </row>
    <row r="700" spans="1:5" x14ac:dyDescent="0.25">
      <c r="A700" s="1">
        <v>44708</v>
      </c>
      <c r="B700" t="s">
        <v>715</v>
      </c>
      <c r="C700" t="s">
        <v>20</v>
      </c>
      <c r="D700">
        <v>2918</v>
      </c>
      <c r="E700" t="s">
        <v>14</v>
      </c>
    </row>
    <row r="701" spans="1:5" x14ac:dyDescent="0.25">
      <c r="A701" s="1">
        <v>44709</v>
      </c>
      <c r="B701" t="s">
        <v>716</v>
      </c>
      <c r="C701" t="s">
        <v>20</v>
      </c>
      <c r="D701">
        <v>2384</v>
      </c>
      <c r="E701" t="s">
        <v>14</v>
      </c>
    </row>
    <row r="702" spans="1:5" x14ac:dyDescent="0.25">
      <c r="A702" s="1">
        <v>44710</v>
      </c>
      <c r="B702" t="s">
        <v>717</v>
      </c>
      <c r="C702" t="s">
        <v>22</v>
      </c>
      <c r="D702">
        <v>1003.61</v>
      </c>
      <c r="E702" t="s">
        <v>7</v>
      </c>
    </row>
    <row r="703" spans="1:5" x14ac:dyDescent="0.25">
      <c r="A703" s="1">
        <v>44710</v>
      </c>
      <c r="B703" t="s">
        <v>718</v>
      </c>
      <c r="C703" t="s">
        <v>25</v>
      </c>
      <c r="D703">
        <v>522.08000000000004</v>
      </c>
      <c r="E703" t="s">
        <v>7</v>
      </c>
    </row>
    <row r="704" spans="1:5" x14ac:dyDescent="0.25">
      <c r="A704" s="1">
        <v>44711</v>
      </c>
      <c r="B704" t="s">
        <v>719</v>
      </c>
      <c r="C704" t="s">
        <v>27</v>
      </c>
      <c r="D704">
        <v>927.05</v>
      </c>
      <c r="E704" t="s">
        <v>7</v>
      </c>
    </row>
    <row r="705" spans="1:5" x14ac:dyDescent="0.25">
      <c r="A705" s="1">
        <v>44711</v>
      </c>
      <c r="B705" t="s">
        <v>720</v>
      </c>
      <c r="C705" t="s">
        <v>25</v>
      </c>
      <c r="D705">
        <v>346.84</v>
      </c>
      <c r="E705" t="s">
        <v>7</v>
      </c>
    </row>
    <row r="706" spans="1:5" x14ac:dyDescent="0.25">
      <c r="A706" s="1">
        <v>44712</v>
      </c>
      <c r="B706" t="s">
        <v>721</v>
      </c>
      <c r="C706" t="s">
        <v>27</v>
      </c>
      <c r="D706">
        <v>376.26</v>
      </c>
      <c r="E706" t="s">
        <v>7</v>
      </c>
    </row>
    <row r="707" spans="1:5" x14ac:dyDescent="0.25">
      <c r="A707" s="1">
        <v>44713</v>
      </c>
      <c r="B707" t="s">
        <v>722</v>
      </c>
      <c r="C707" t="s">
        <v>6</v>
      </c>
      <c r="D707">
        <v>1052.6500000000001</v>
      </c>
      <c r="E707" t="s">
        <v>7</v>
      </c>
    </row>
    <row r="708" spans="1:5" x14ac:dyDescent="0.25">
      <c r="A708" s="1">
        <v>44713</v>
      </c>
      <c r="B708" t="s">
        <v>723</v>
      </c>
      <c r="C708" t="s">
        <v>11</v>
      </c>
      <c r="D708">
        <v>1890.92</v>
      </c>
      <c r="E708" t="s">
        <v>7</v>
      </c>
    </row>
    <row r="709" spans="1:5" x14ac:dyDescent="0.25">
      <c r="A709" s="1">
        <v>44716</v>
      </c>
      <c r="B709" t="s">
        <v>724</v>
      </c>
      <c r="C709" t="s">
        <v>6</v>
      </c>
      <c r="D709">
        <v>830.66</v>
      </c>
      <c r="E709" t="s">
        <v>7</v>
      </c>
    </row>
    <row r="710" spans="1:5" x14ac:dyDescent="0.25">
      <c r="A710" s="1">
        <v>44716</v>
      </c>
      <c r="B710" t="s">
        <v>725</v>
      </c>
      <c r="C710" t="s">
        <v>22</v>
      </c>
      <c r="D710">
        <v>145.26</v>
      </c>
      <c r="E710" t="s">
        <v>7</v>
      </c>
    </row>
    <row r="711" spans="1:5" x14ac:dyDescent="0.25">
      <c r="A711" s="1">
        <v>44718</v>
      </c>
      <c r="B711" t="s">
        <v>726</v>
      </c>
      <c r="C711" t="s">
        <v>13</v>
      </c>
      <c r="D711">
        <v>4642</v>
      </c>
      <c r="E711" t="s">
        <v>14</v>
      </c>
    </row>
    <row r="712" spans="1:5" x14ac:dyDescent="0.25">
      <c r="A712" s="1">
        <v>44719</v>
      </c>
      <c r="B712" t="s">
        <v>727</v>
      </c>
      <c r="C712" t="s">
        <v>6</v>
      </c>
      <c r="D712">
        <v>1239.49</v>
      </c>
      <c r="E712" t="s">
        <v>7</v>
      </c>
    </row>
    <row r="713" spans="1:5" x14ac:dyDescent="0.25">
      <c r="A713" s="1">
        <v>44719</v>
      </c>
      <c r="B713" t="s">
        <v>728</v>
      </c>
      <c r="C713" t="s">
        <v>27</v>
      </c>
      <c r="D713">
        <v>1321.98</v>
      </c>
      <c r="E713" t="s">
        <v>7</v>
      </c>
    </row>
    <row r="714" spans="1:5" x14ac:dyDescent="0.25">
      <c r="A714" s="1">
        <v>44723</v>
      </c>
      <c r="B714" t="s">
        <v>729</v>
      </c>
      <c r="C714" t="s">
        <v>20</v>
      </c>
      <c r="D714">
        <v>597</v>
      </c>
      <c r="E714" t="s">
        <v>14</v>
      </c>
    </row>
    <row r="715" spans="1:5" x14ac:dyDescent="0.25">
      <c r="A715" s="1">
        <v>44723</v>
      </c>
      <c r="B715" t="s">
        <v>730</v>
      </c>
      <c r="C715" t="s">
        <v>20</v>
      </c>
      <c r="D715">
        <v>4888</v>
      </c>
      <c r="E715" t="s">
        <v>14</v>
      </c>
    </row>
    <row r="716" spans="1:5" x14ac:dyDescent="0.25">
      <c r="A716" s="1">
        <v>44724</v>
      </c>
      <c r="B716" t="s">
        <v>731</v>
      </c>
      <c r="C716" t="s">
        <v>6</v>
      </c>
      <c r="D716">
        <v>1009.41</v>
      </c>
      <c r="E716" t="s">
        <v>7</v>
      </c>
    </row>
    <row r="717" spans="1:5" x14ac:dyDescent="0.25">
      <c r="A717" s="1">
        <v>44724</v>
      </c>
      <c r="B717" t="s">
        <v>732</v>
      </c>
      <c r="C717" t="s">
        <v>17</v>
      </c>
      <c r="D717">
        <v>1614.27</v>
      </c>
      <c r="E717" t="s">
        <v>7</v>
      </c>
    </row>
    <row r="718" spans="1:5" x14ac:dyDescent="0.25">
      <c r="A718" s="1">
        <v>44724</v>
      </c>
      <c r="B718" t="s">
        <v>733</v>
      </c>
      <c r="C718" t="s">
        <v>11</v>
      </c>
      <c r="D718">
        <v>1836.92</v>
      </c>
      <c r="E718" t="s">
        <v>7</v>
      </c>
    </row>
    <row r="719" spans="1:5" x14ac:dyDescent="0.25">
      <c r="A719" s="1">
        <v>44725</v>
      </c>
      <c r="B719" t="s">
        <v>734</v>
      </c>
      <c r="C719" t="s">
        <v>22</v>
      </c>
      <c r="D719">
        <v>391.94</v>
      </c>
      <c r="E719" t="s">
        <v>7</v>
      </c>
    </row>
    <row r="720" spans="1:5" x14ac:dyDescent="0.25">
      <c r="A720" s="1">
        <v>44729</v>
      </c>
      <c r="B720" t="s">
        <v>735</v>
      </c>
      <c r="C720" t="s">
        <v>25</v>
      </c>
      <c r="D720">
        <v>541.98</v>
      </c>
      <c r="E720" t="s">
        <v>7</v>
      </c>
    </row>
    <row r="721" spans="1:5" x14ac:dyDescent="0.25">
      <c r="A721" s="1">
        <v>44729</v>
      </c>
      <c r="B721" t="s">
        <v>736</v>
      </c>
      <c r="C721" t="s">
        <v>25</v>
      </c>
      <c r="D721">
        <v>1919</v>
      </c>
      <c r="E721" t="s">
        <v>7</v>
      </c>
    </row>
    <row r="722" spans="1:5" x14ac:dyDescent="0.25">
      <c r="A722" s="1">
        <v>44730</v>
      </c>
      <c r="B722" t="s">
        <v>737</v>
      </c>
      <c r="C722" t="s">
        <v>22</v>
      </c>
      <c r="D722">
        <v>1980.56</v>
      </c>
      <c r="E722" t="s">
        <v>7</v>
      </c>
    </row>
    <row r="723" spans="1:5" x14ac:dyDescent="0.25">
      <c r="A723" s="1">
        <v>44731</v>
      </c>
      <c r="B723" t="s">
        <v>738</v>
      </c>
      <c r="C723" t="s">
        <v>11</v>
      </c>
      <c r="D723">
        <v>1310.93</v>
      </c>
      <c r="E723" t="s">
        <v>7</v>
      </c>
    </row>
    <row r="724" spans="1:5" x14ac:dyDescent="0.25">
      <c r="A724" s="1">
        <v>44732</v>
      </c>
      <c r="B724" t="s">
        <v>739</v>
      </c>
      <c r="C724" t="s">
        <v>6</v>
      </c>
      <c r="D724">
        <v>196.07</v>
      </c>
      <c r="E724" t="s">
        <v>7</v>
      </c>
    </row>
    <row r="725" spans="1:5" x14ac:dyDescent="0.25">
      <c r="A725" s="1">
        <v>44733</v>
      </c>
      <c r="B725" t="s">
        <v>740</v>
      </c>
      <c r="C725" t="s">
        <v>27</v>
      </c>
      <c r="D725">
        <v>121.67</v>
      </c>
      <c r="E725" t="s">
        <v>7</v>
      </c>
    </row>
    <row r="726" spans="1:5" x14ac:dyDescent="0.25">
      <c r="A726" s="1">
        <v>44733</v>
      </c>
      <c r="B726" t="s">
        <v>741</v>
      </c>
      <c r="C726" t="s">
        <v>13</v>
      </c>
      <c r="D726">
        <v>1177</v>
      </c>
      <c r="E726" t="s">
        <v>14</v>
      </c>
    </row>
    <row r="727" spans="1:5" x14ac:dyDescent="0.25">
      <c r="A727" s="1">
        <v>44735</v>
      </c>
      <c r="B727" t="s">
        <v>742</v>
      </c>
      <c r="C727" t="s">
        <v>17</v>
      </c>
      <c r="D727">
        <v>1293.3699999999999</v>
      </c>
      <c r="E727" t="s">
        <v>7</v>
      </c>
    </row>
    <row r="728" spans="1:5" x14ac:dyDescent="0.25">
      <c r="A728" s="1">
        <v>44735</v>
      </c>
      <c r="B728" t="s">
        <v>743</v>
      </c>
      <c r="C728" t="s">
        <v>11</v>
      </c>
      <c r="D728">
        <v>1790.63</v>
      </c>
      <c r="E728" t="s">
        <v>7</v>
      </c>
    </row>
    <row r="729" spans="1:5" x14ac:dyDescent="0.25">
      <c r="A729" s="1">
        <v>44737</v>
      </c>
      <c r="B729" t="s">
        <v>744</v>
      </c>
      <c r="C729" t="s">
        <v>22</v>
      </c>
      <c r="D729">
        <v>430.72</v>
      </c>
      <c r="E729" t="s">
        <v>7</v>
      </c>
    </row>
    <row r="730" spans="1:5" x14ac:dyDescent="0.25">
      <c r="A730" s="1">
        <v>44737</v>
      </c>
      <c r="B730" t="s">
        <v>745</v>
      </c>
      <c r="C730" t="s">
        <v>27</v>
      </c>
      <c r="D730">
        <v>549.48</v>
      </c>
      <c r="E730" t="s">
        <v>7</v>
      </c>
    </row>
    <row r="731" spans="1:5" x14ac:dyDescent="0.25">
      <c r="A731" s="1">
        <v>44738</v>
      </c>
      <c r="B731" t="s">
        <v>746</v>
      </c>
      <c r="C731" t="s">
        <v>35</v>
      </c>
      <c r="D731">
        <v>1799.63</v>
      </c>
      <c r="E731" t="s">
        <v>7</v>
      </c>
    </row>
    <row r="732" spans="1:5" x14ac:dyDescent="0.25">
      <c r="A732" s="1">
        <v>44738</v>
      </c>
      <c r="B732" t="s">
        <v>747</v>
      </c>
      <c r="C732" t="s">
        <v>6</v>
      </c>
      <c r="D732">
        <v>366.92</v>
      </c>
      <c r="E732" t="s">
        <v>7</v>
      </c>
    </row>
    <row r="733" spans="1:5" x14ac:dyDescent="0.25">
      <c r="A733" s="1">
        <v>44742</v>
      </c>
      <c r="B733" t="s">
        <v>748</v>
      </c>
      <c r="C733" t="s">
        <v>6</v>
      </c>
      <c r="D733">
        <v>1923.32</v>
      </c>
      <c r="E733" t="s">
        <v>7</v>
      </c>
    </row>
    <row r="734" spans="1:5" x14ac:dyDescent="0.25">
      <c r="A734" s="1">
        <v>44743</v>
      </c>
      <c r="B734" t="s">
        <v>749</v>
      </c>
      <c r="C734" t="s">
        <v>17</v>
      </c>
      <c r="D734">
        <v>1858.46</v>
      </c>
      <c r="E734" t="s">
        <v>7</v>
      </c>
    </row>
    <row r="735" spans="1:5" x14ac:dyDescent="0.25">
      <c r="A735" s="1">
        <v>44744</v>
      </c>
      <c r="B735" t="s">
        <v>750</v>
      </c>
      <c r="C735" t="s">
        <v>22</v>
      </c>
      <c r="D735">
        <v>1137.72</v>
      </c>
      <c r="E735" t="s">
        <v>7</v>
      </c>
    </row>
    <row r="736" spans="1:5" x14ac:dyDescent="0.25">
      <c r="A736" s="1">
        <v>44746</v>
      </c>
      <c r="B736" t="s">
        <v>751</v>
      </c>
      <c r="C736" t="s">
        <v>25</v>
      </c>
      <c r="D736">
        <v>773.85</v>
      </c>
      <c r="E736" t="s">
        <v>7</v>
      </c>
    </row>
    <row r="737" spans="1:5" x14ac:dyDescent="0.25">
      <c r="A737" s="1">
        <v>44746</v>
      </c>
      <c r="B737" t="s">
        <v>752</v>
      </c>
      <c r="C737" t="s">
        <v>11</v>
      </c>
      <c r="D737">
        <v>1006.58</v>
      </c>
      <c r="E737" t="s">
        <v>7</v>
      </c>
    </row>
    <row r="738" spans="1:5" x14ac:dyDescent="0.25">
      <c r="A738" s="1">
        <v>44746</v>
      </c>
      <c r="B738" t="s">
        <v>753</v>
      </c>
      <c r="C738" t="s">
        <v>6</v>
      </c>
      <c r="D738">
        <v>204.39</v>
      </c>
      <c r="E738" t="s">
        <v>7</v>
      </c>
    </row>
    <row r="739" spans="1:5" x14ac:dyDescent="0.25">
      <c r="A739" s="1">
        <v>44747</v>
      </c>
      <c r="B739" t="s">
        <v>754</v>
      </c>
      <c r="C739" t="s">
        <v>11</v>
      </c>
      <c r="D739">
        <v>687.78</v>
      </c>
      <c r="E739" t="s">
        <v>7</v>
      </c>
    </row>
    <row r="740" spans="1:5" x14ac:dyDescent="0.25">
      <c r="A740" s="1">
        <v>44748</v>
      </c>
      <c r="B740" t="s">
        <v>755</v>
      </c>
      <c r="C740" t="s">
        <v>17</v>
      </c>
      <c r="D740">
        <v>1938.15</v>
      </c>
      <c r="E740" t="s">
        <v>7</v>
      </c>
    </row>
    <row r="741" spans="1:5" x14ac:dyDescent="0.25">
      <c r="A741" s="1">
        <v>44755</v>
      </c>
      <c r="B741" t="s">
        <v>756</v>
      </c>
      <c r="C741" t="s">
        <v>35</v>
      </c>
      <c r="D741">
        <v>1569.26</v>
      </c>
      <c r="E741" t="s">
        <v>7</v>
      </c>
    </row>
    <row r="742" spans="1:5" x14ac:dyDescent="0.25">
      <c r="A742" s="1">
        <v>44759</v>
      </c>
      <c r="B742" t="s">
        <v>757</v>
      </c>
      <c r="C742" t="s">
        <v>22</v>
      </c>
      <c r="D742">
        <v>718.06</v>
      </c>
      <c r="E742" t="s">
        <v>7</v>
      </c>
    </row>
    <row r="743" spans="1:5" x14ac:dyDescent="0.25">
      <c r="A743" s="1">
        <v>44759</v>
      </c>
      <c r="B743" t="s">
        <v>758</v>
      </c>
      <c r="C743" t="s">
        <v>17</v>
      </c>
      <c r="D743">
        <v>379.62</v>
      </c>
      <c r="E743" t="s">
        <v>7</v>
      </c>
    </row>
    <row r="744" spans="1:5" x14ac:dyDescent="0.25">
      <c r="A744" s="1">
        <v>44759</v>
      </c>
      <c r="B744" t="s">
        <v>759</v>
      </c>
      <c r="C744" t="s">
        <v>17</v>
      </c>
      <c r="D744">
        <v>180.53</v>
      </c>
      <c r="E744" t="s">
        <v>7</v>
      </c>
    </row>
    <row r="745" spans="1:5" x14ac:dyDescent="0.25">
      <c r="A745" s="1">
        <v>44760</v>
      </c>
      <c r="B745" t="s">
        <v>760</v>
      </c>
      <c r="C745" t="s">
        <v>22</v>
      </c>
      <c r="D745">
        <v>1429.09</v>
      </c>
      <c r="E745" t="s">
        <v>7</v>
      </c>
    </row>
    <row r="746" spans="1:5" x14ac:dyDescent="0.25">
      <c r="A746" s="1">
        <v>44760</v>
      </c>
      <c r="B746" t="s">
        <v>761</v>
      </c>
      <c r="C746" t="s">
        <v>13</v>
      </c>
      <c r="D746">
        <v>3612</v>
      </c>
      <c r="E746" t="s">
        <v>14</v>
      </c>
    </row>
    <row r="747" spans="1:5" x14ac:dyDescent="0.25">
      <c r="A747" s="1">
        <v>44761</v>
      </c>
      <c r="B747" t="s">
        <v>762</v>
      </c>
      <c r="C747" t="s">
        <v>9</v>
      </c>
      <c r="D747">
        <v>1481.91</v>
      </c>
      <c r="E747" t="s">
        <v>7</v>
      </c>
    </row>
    <row r="748" spans="1:5" x14ac:dyDescent="0.25">
      <c r="A748" s="1">
        <v>44762</v>
      </c>
      <c r="B748" t="s">
        <v>763</v>
      </c>
      <c r="C748" t="s">
        <v>11</v>
      </c>
      <c r="D748">
        <v>192.13</v>
      </c>
      <c r="E748" t="s">
        <v>7</v>
      </c>
    </row>
    <row r="749" spans="1:5" x14ac:dyDescent="0.25">
      <c r="A749" s="1">
        <v>44764</v>
      </c>
      <c r="B749" t="s">
        <v>764</v>
      </c>
      <c r="C749" t="s">
        <v>27</v>
      </c>
      <c r="D749">
        <v>726.24</v>
      </c>
      <c r="E749" t="s">
        <v>7</v>
      </c>
    </row>
    <row r="750" spans="1:5" x14ac:dyDescent="0.25">
      <c r="A750" s="1">
        <v>44767</v>
      </c>
      <c r="B750" t="s">
        <v>765</v>
      </c>
      <c r="C750" t="s">
        <v>9</v>
      </c>
      <c r="D750">
        <v>183.72</v>
      </c>
      <c r="E750" t="s">
        <v>7</v>
      </c>
    </row>
    <row r="751" spans="1:5" x14ac:dyDescent="0.25">
      <c r="A751" s="1">
        <v>44769</v>
      </c>
      <c r="B751" t="s">
        <v>766</v>
      </c>
      <c r="C751" t="s">
        <v>17</v>
      </c>
      <c r="D751">
        <v>215.55</v>
      </c>
      <c r="E751" t="s">
        <v>7</v>
      </c>
    </row>
    <row r="752" spans="1:5" x14ac:dyDescent="0.25">
      <c r="A752" s="1">
        <v>44769</v>
      </c>
      <c r="B752" t="s">
        <v>767</v>
      </c>
      <c r="C752" t="s">
        <v>13</v>
      </c>
      <c r="D752">
        <v>3157</v>
      </c>
      <c r="E752" t="s">
        <v>14</v>
      </c>
    </row>
    <row r="753" spans="1:5" x14ac:dyDescent="0.25">
      <c r="A753" s="1">
        <v>44769</v>
      </c>
      <c r="B753" t="s">
        <v>768</v>
      </c>
      <c r="C753" t="s">
        <v>6</v>
      </c>
      <c r="D753">
        <v>590.78</v>
      </c>
      <c r="E753" t="s">
        <v>7</v>
      </c>
    </row>
    <row r="754" spans="1:5" x14ac:dyDescent="0.25">
      <c r="A754" s="1">
        <v>44769</v>
      </c>
      <c r="B754" t="s">
        <v>769</v>
      </c>
      <c r="C754" t="s">
        <v>11</v>
      </c>
      <c r="D754">
        <v>1452.44</v>
      </c>
      <c r="E754" t="s">
        <v>7</v>
      </c>
    </row>
    <row r="755" spans="1:5" x14ac:dyDescent="0.25">
      <c r="A755" s="1">
        <v>44770</v>
      </c>
      <c r="B755" t="s">
        <v>770</v>
      </c>
      <c r="C755" t="s">
        <v>22</v>
      </c>
      <c r="D755">
        <v>1148.2</v>
      </c>
      <c r="E755" t="s">
        <v>7</v>
      </c>
    </row>
    <row r="756" spans="1:5" x14ac:dyDescent="0.25">
      <c r="A756" s="1">
        <v>44770</v>
      </c>
      <c r="B756" t="s">
        <v>771</v>
      </c>
      <c r="C756" t="s">
        <v>20</v>
      </c>
      <c r="D756">
        <v>1888</v>
      </c>
      <c r="E756" t="s">
        <v>14</v>
      </c>
    </row>
    <row r="757" spans="1:5" x14ac:dyDescent="0.25">
      <c r="A757" s="1">
        <v>44771</v>
      </c>
      <c r="B757" t="s">
        <v>772</v>
      </c>
      <c r="C757" t="s">
        <v>20</v>
      </c>
      <c r="D757">
        <v>2698</v>
      </c>
      <c r="E757" t="s">
        <v>14</v>
      </c>
    </row>
    <row r="758" spans="1:5" x14ac:dyDescent="0.25">
      <c r="A758" s="1">
        <v>44772</v>
      </c>
      <c r="B758" t="s">
        <v>773</v>
      </c>
      <c r="C758" t="s">
        <v>11</v>
      </c>
      <c r="D758">
        <v>342.74</v>
      </c>
      <c r="E758" t="s">
        <v>7</v>
      </c>
    </row>
    <row r="759" spans="1:5" x14ac:dyDescent="0.25">
      <c r="A759" s="1">
        <v>44773</v>
      </c>
      <c r="B759" t="s">
        <v>774</v>
      </c>
      <c r="C759" t="s">
        <v>35</v>
      </c>
      <c r="D759">
        <v>973.62</v>
      </c>
      <c r="E759" t="s">
        <v>7</v>
      </c>
    </row>
    <row r="760" spans="1:5" x14ac:dyDescent="0.25">
      <c r="A760" s="1">
        <v>44775</v>
      </c>
      <c r="B760" t="s">
        <v>775</v>
      </c>
      <c r="C760" t="s">
        <v>20</v>
      </c>
      <c r="D760">
        <v>2520</v>
      </c>
      <c r="E760" t="s">
        <v>14</v>
      </c>
    </row>
    <row r="761" spans="1:5" x14ac:dyDescent="0.25">
      <c r="A761" s="1">
        <v>44775</v>
      </c>
      <c r="B761" t="s">
        <v>776</v>
      </c>
      <c r="C761" t="s">
        <v>27</v>
      </c>
      <c r="D761">
        <v>1191.67</v>
      </c>
      <c r="E761" t="s">
        <v>7</v>
      </c>
    </row>
    <row r="762" spans="1:5" x14ac:dyDescent="0.25">
      <c r="A762" s="1">
        <v>44776</v>
      </c>
      <c r="B762" t="s">
        <v>777</v>
      </c>
      <c r="C762" t="s">
        <v>13</v>
      </c>
      <c r="D762">
        <v>1609</v>
      </c>
      <c r="E762" t="s">
        <v>14</v>
      </c>
    </row>
    <row r="763" spans="1:5" x14ac:dyDescent="0.25">
      <c r="A763" s="1">
        <v>44777</v>
      </c>
      <c r="B763" t="s">
        <v>778</v>
      </c>
      <c r="C763" t="s">
        <v>17</v>
      </c>
      <c r="D763">
        <v>671.11</v>
      </c>
      <c r="E763" t="s">
        <v>7</v>
      </c>
    </row>
    <row r="764" spans="1:5" x14ac:dyDescent="0.25">
      <c r="A764" s="1">
        <v>44779</v>
      </c>
      <c r="B764" t="s">
        <v>779</v>
      </c>
      <c r="C764" t="s">
        <v>25</v>
      </c>
      <c r="D764">
        <v>886.04</v>
      </c>
      <c r="E764" t="s">
        <v>7</v>
      </c>
    </row>
    <row r="765" spans="1:5" x14ac:dyDescent="0.25">
      <c r="A765" s="1">
        <v>44780</v>
      </c>
      <c r="B765" t="s">
        <v>780</v>
      </c>
      <c r="C765" t="s">
        <v>9</v>
      </c>
      <c r="D765">
        <v>607.87</v>
      </c>
      <c r="E765" t="s">
        <v>7</v>
      </c>
    </row>
    <row r="766" spans="1:5" x14ac:dyDescent="0.25">
      <c r="A766" s="1">
        <v>44785</v>
      </c>
      <c r="B766" t="s">
        <v>781</v>
      </c>
      <c r="C766" t="s">
        <v>22</v>
      </c>
      <c r="D766">
        <v>963.23</v>
      </c>
      <c r="E766" t="s">
        <v>7</v>
      </c>
    </row>
    <row r="767" spans="1:5" x14ac:dyDescent="0.25">
      <c r="A767" s="1">
        <v>44786</v>
      </c>
      <c r="B767" t="s">
        <v>782</v>
      </c>
      <c r="C767" t="s">
        <v>20</v>
      </c>
      <c r="D767">
        <v>3114</v>
      </c>
      <c r="E767" t="s">
        <v>14</v>
      </c>
    </row>
    <row r="768" spans="1:5" x14ac:dyDescent="0.25">
      <c r="A768" s="1">
        <v>44788</v>
      </c>
      <c r="B768" t="s">
        <v>783</v>
      </c>
      <c r="C768" t="s">
        <v>27</v>
      </c>
      <c r="D768">
        <v>1935.85</v>
      </c>
      <c r="E768" t="s">
        <v>7</v>
      </c>
    </row>
    <row r="769" spans="1:5" x14ac:dyDescent="0.25">
      <c r="A769" s="1">
        <v>44788</v>
      </c>
      <c r="B769" t="s">
        <v>784</v>
      </c>
      <c r="C769" t="s">
        <v>25</v>
      </c>
      <c r="D769">
        <v>758.35</v>
      </c>
      <c r="E769" t="s">
        <v>7</v>
      </c>
    </row>
    <row r="770" spans="1:5" x14ac:dyDescent="0.25">
      <c r="A770" s="1">
        <v>44789</v>
      </c>
      <c r="B770" t="s">
        <v>785</v>
      </c>
      <c r="C770" t="s">
        <v>17</v>
      </c>
      <c r="D770">
        <v>736.38</v>
      </c>
      <c r="E770" t="s">
        <v>7</v>
      </c>
    </row>
    <row r="771" spans="1:5" x14ac:dyDescent="0.25">
      <c r="A771" s="1">
        <v>44789</v>
      </c>
      <c r="B771" t="s">
        <v>786</v>
      </c>
      <c r="C771" t="s">
        <v>22</v>
      </c>
      <c r="D771">
        <v>1188.53</v>
      </c>
      <c r="E771" t="s">
        <v>7</v>
      </c>
    </row>
    <row r="772" spans="1:5" x14ac:dyDescent="0.25">
      <c r="A772" s="1">
        <v>44790</v>
      </c>
      <c r="B772" t="s">
        <v>787</v>
      </c>
      <c r="C772" t="s">
        <v>6</v>
      </c>
      <c r="D772">
        <v>1906.48</v>
      </c>
      <c r="E772" t="s">
        <v>7</v>
      </c>
    </row>
    <row r="773" spans="1:5" x14ac:dyDescent="0.25">
      <c r="A773" s="1">
        <v>44791</v>
      </c>
      <c r="B773" t="s">
        <v>788</v>
      </c>
      <c r="C773" t="s">
        <v>22</v>
      </c>
      <c r="D773">
        <v>882.53</v>
      </c>
      <c r="E773" t="s">
        <v>7</v>
      </c>
    </row>
    <row r="774" spans="1:5" x14ac:dyDescent="0.25">
      <c r="A774" s="1">
        <v>44792</v>
      </c>
      <c r="B774" t="s">
        <v>789</v>
      </c>
      <c r="C774" t="s">
        <v>11</v>
      </c>
      <c r="D774">
        <v>1639.74</v>
      </c>
      <c r="E774" t="s">
        <v>7</v>
      </c>
    </row>
    <row r="775" spans="1:5" x14ac:dyDescent="0.25">
      <c r="A775" s="1">
        <v>44794</v>
      </c>
      <c r="B775" t="s">
        <v>790</v>
      </c>
      <c r="C775" t="s">
        <v>17</v>
      </c>
      <c r="D775">
        <v>1349.23</v>
      </c>
      <c r="E775" t="s">
        <v>7</v>
      </c>
    </row>
    <row r="776" spans="1:5" x14ac:dyDescent="0.25">
      <c r="A776" s="1">
        <v>44794</v>
      </c>
      <c r="B776" t="s">
        <v>791</v>
      </c>
      <c r="C776" t="s">
        <v>20</v>
      </c>
      <c r="D776">
        <v>2482</v>
      </c>
      <c r="E776" t="s">
        <v>14</v>
      </c>
    </row>
    <row r="777" spans="1:5" x14ac:dyDescent="0.25">
      <c r="A777" s="1">
        <v>44795</v>
      </c>
      <c r="B777" t="s">
        <v>792</v>
      </c>
      <c r="C777" t="s">
        <v>9</v>
      </c>
      <c r="D777">
        <v>1433.32</v>
      </c>
      <c r="E777" t="s">
        <v>7</v>
      </c>
    </row>
    <row r="778" spans="1:5" x14ac:dyDescent="0.25">
      <c r="A778" s="1">
        <v>44795</v>
      </c>
      <c r="B778" t="s">
        <v>793</v>
      </c>
      <c r="C778" t="s">
        <v>11</v>
      </c>
      <c r="D778">
        <v>903.64</v>
      </c>
      <c r="E778" t="s">
        <v>7</v>
      </c>
    </row>
    <row r="779" spans="1:5" x14ac:dyDescent="0.25">
      <c r="A779" s="1">
        <v>44796</v>
      </c>
      <c r="B779" t="s">
        <v>794</v>
      </c>
      <c r="C779" t="s">
        <v>17</v>
      </c>
      <c r="D779">
        <v>1073.3900000000001</v>
      </c>
      <c r="E779" t="s">
        <v>7</v>
      </c>
    </row>
    <row r="780" spans="1:5" x14ac:dyDescent="0.25">
      <c r="A780" s="1">
        <v>44797</v>
      </c>
      <c r="B780" t="s">
        <v>795</v>
      </c>
      <c r="C780" t="s">
        <v>17</v>
      </c>
      <c r="D780">
        <v>1091.8499999999999</v>
      </c>
      <c r="E780" t="s">
        <v>7</v>
      </c>
    </row>
    <row r="781" spans="1:5" x14ac:dyDescent="0.25">
      <c r="A781" s="1">
        <v>44799</v>
      </c>
      <c r="B781" t="s">
        <v>796</v>
      </c>
      <c r="C781" t="s">
        <v>25</v>
      </c>
      <c r="D781">
        <v>1406.25</v>
      </c>
      <c r="E781" t="s">
        <v>7</v>
      </c>
    </row>
    <row r="782" spans="1:5" x14ac:dyDescent="0.25">
      <c r="A782" s="1">
        <v>44799</v>
      </c>
      <c r="B782" t="s">
        <v>797</v>
      </c>
      <c r="C782" t="s">
        <v>11</v>
      </c>
      <c r="D782">
        <v>227.65</v>
      </c>
      <c r="E782" t="s">
        <v>7</v>
      </c>
    </row>
    <row r="783" spans="1:5" x14ac:dyDescent="0.25">
      <c r="A783" s="1">
        <v>44801</v>
      </c>
      <c r="B783" t="s">
        <v>798</v>
      </c>
      <c r="C783" t="s">
        <v>25</v>
      </c>
      <c r="D783">
        <v>341.01</v>
      </c>
      <c r="E783" t="s">
        <v>7</v>
      </c>
    </row>
    <row r="784" spans="1:5" x14ac:dyDescent="0.25">
      <c r="A784" s="1">
        <v>44802</v>
      </c>
      <c r="B784" t="s">
        <v>799</v>
      </c>
      <c r="C784" t="s">
        <v>17</v>
      </c>
      <c r="D784">
        <v>1933.95</v>
      </c>
      <c r="E784" t="s">
        <v>7</v>
      </c>
    </row>
    <row r="785" spans="1:5" x14ac:dyDescent="0.25">
      <c r="A785" s="1">
        <v>44803</v>
      </c>
      <c r="B785" t="s">
        <v>800</v>
      </c>
      <c r="C785" t="s">
        <v>17</v>
      </c>
      <c r="D785">
        <v>220.83</v>
      </c>
      <c r="E785" t="s">
        <v>7</v>
      </c>
    </row>
    <row r="786" spans="1:5" x14ac:dyDescent="0.25">
      <c r="A786" s="1">
        <v>44804</v>
      </c>
      <c r="B786" t="s">
        <v>801</v>
      </c>
      <c r="C786" t="s">
        <v>13</v>
      </c>
      <c r="D786">
        <v>4683</v>
      </c>
      <c r="E786" t="s">
        <v>14</v>
      </c>
    </row>
    <row r="787" spans="1:5" x14ac:dyDescent="0.25">
      <c r="A787" s="1">
        <v>44804</v>
      </c>
      <c r="B787" t="s">
        <v>802</v>
      </c>
      <c r="C787" t="s">
        <v>22</v>
      </c>
      <c r="D787">
        <v>897.1</v>
      </c>
      <c r="E787" t="s">
        <v>7</v>
      </c>
    </row>
    <row r="788" spans="1:5" x14ac:dyDescent="0.25">
      <c r="A788" s="1">
        <v>44805</v>
      </c>
      <c r="B788" t="s">
        <v>803</v>
      </c>
      <c r="C788" t="s">
        <v>9</v>
      </c>
      <c r="D788">
        <v>696.49</v>
      </c>
      <c r="E788" t="s">
        <v>7</v>
      </c>
    </row>
    <row r="789" spans="1:5" x14ac:dyDescent="0.25">
      <c r="A789" s="1">
        <v>44806</v>
      </c>
      <c r="B789" t="s">
        <v>804</v>
      </c>
      <c r="C789" t="s">
        <v>13</v>
      </c>
      <c r="D789">
        <v>2920</v>
      </c>
      <c r="E789" t="s">
        <v>14</v>
      </c>
    </row>
    <row r="790" spans="1:5" x14ac:dyDescent="0.25">
      <c r="A790" s="1">
        <v>44807</v>
      </c>
      <c r="B790" t="s">
        <v>805</v>
      </c>
      <c r="C790" t="s">
        <v>11</v>
      </c>
      <c r="D790">
        <v>240.98</v>
      </c>
      <c r="E790" t="s">
        <v>7</v>
      </c>
    </row>
    <row r="791" spans="1:5" x14ac:dyDescent="0.25">
      <c r="A791" s="1">
        <v>44807</v>
      </c>
      <c r="B791" t="s">
        <v>806</v>
      </c>
      <c r="C791" t="s">
        <v>9</v>
      </c>
      <c r="D791">
        <v>703.17</v>
      </c>
      <c r="E791" t="s">
        <v>7</v>
      </c>
    </row>
    <row r="792" spans="1:5" x14ac:dyDescent="0.25">
      <c r="A792" s="1">
        <v>44807</v>
      </c>
      <c r="B792" t="s">
        <v>807</v>
      </c>
      <c r="C792" t="s">
        <v>22</v>
      </c>
      <c r="D792">
        <v>1047.02</v>
      </c>
      <c r="E792" t="s">
        <v>7</v>
      </c>
    </row>
    <row r="793" spans="1:5" x14ac:dyDescent="0.25">
      <c r="A793" s="1">
        <v>44808</v>
      </c>
      <c r="B793" t="s">
        <v>808</v>
      </c>
      <c r="C793" t="s">
        <v>11</v>
      </c>
      <c r="D793">
        <v>881.95</v>
      </c>
      <c r="E793" t="s">
        <v>7</v>
      </c>
    </row>
    <row r="794" spans="1:5" x14ac:dyDescent="0.25">
      <c r="A794" s="1">
        <v>44808</v>
      </c>
      <c r="B794" t="s">
        <v>809</v>
      </c>
      <c r="C794" t="s">
        <v>25</v>
      </c>
      <c r="D794">
        <v>143.68</v>
      </c>
      <c r="E794" t="s">
        <v>7</v>
      </c>
    </row>
    <row r="795" spans="1:5" x14ac:dyDescent="0.25">
      <c r="A795" s="1">
        <v>44809</v>
      </c>
      <c r="B795" t="s">
        <v>810</v>
      </c>
      <c r="C795" t="s">
        <v>13</v>
      </c>
      <c r="D795">
        <v>685</v>
      </c>
      <c r="E795" t="s">
        <v>14</v>
      </c>
    </row>
    <row r="796" spans="1:5" x14ac:dyDescent="0.25">
      <c r="A796" s="1">
        <v>44810</v>
      </c>
      <c r="B796" t="s">
        <v>811</v>
      </c>
      <c r="C796" t="s">
        <v>11</v>
      </c>
      <c r="D796">
        <v>1357.51</v>
      </c>
      <c r="E796" t="s">
        <v>7</v>
      </c>
    </row>
    <row r="797" spans="1:5" x14ac:dyDescent="0.25">
      <c r="A797" s="1">
        <v>44811</v>
      </c>
      <c r="B797" t="s">
        <v>812</v>
      </c>
      <c r="C797" t="s">
        <v>13</v>
      </c>
      <c r="D797">
        <v>4727</v>
      </c>
      <c r="E797" t="s">
        <v>14</v>
      </c>
    </row>
    <row r="798" spans="1:5" x14ac:dyDescent="0.25">
      <c r="A798" s="1">
        <v>44812</v>
      </c>
      <c r="B798" t="s">
        <v>813</v>
      </c>
      <c r="C798" t="s">
        <v>13</v>
      </c>
      <c r="D798">
        <v>3211</v>
      </c>
      <c r="E798" t="s">
        <v>14</v>
      </c>
    </row>
    <row r="799" spans="1:5" x14ac:dyDescent="0.25">
      <c r="A799" s="1">
        <v>44814</v>
      </c>
      <c r="B799" t="s">
        <v>814</v>
      </c>
      <c r="C799" t="s">
        <v>27</v>
      </c>
      <c r="D799">
        <v>471.39</v>
      </c>
      <c r="E799" t="s">
        <v>7</v>
      </c>
    </row>
    <row r="800" spans="1:5" x14ac:dyDescent="0.25">
      <c r="A800" s="1">
        <v>44815</v>
      </c>
      <c r="B800" t="s">
        <v>815</v>
      </c>
      <c r="C800" t="s">
        <v>9</v>
      </c>
      <c r="D800">
        <v>380.91</v>
      </c>
      <c r="E800" t="s">
        <v>7</v>
      </c>
    </row>
    <row r="801" spans="1:5" x14ac:dyDescent="0.25">
      <c r="A801" s="1">
        <v>44815</v>
      </c>
      <c r="B801" t="s">
        <v>816</v>
      </c>
      <c r="C801" t="s">
        <v>17</v>
      </c>
      <c r="D801">
        <v>68.09</v>
      </c>
      <c r="E801" t="s">
        <v>7</v>
      </c>
    </row>
    <row r="802" spans="1:5" x14ac:dyDescent="0.25">
      <c r="A802" s="1">
        <v>44816</v>
      </c>
      <c r="B802" t="s">
        <v>817</v>
      </c>
      <c r="C802" t="s">
        <v>22</v>
      </c>
      <c r="D802">
        <v>904.65</v>
      </c>
      <c r="E802" t="s">
        <v>7</v>
      </c>
    </row>
    <row r="803" spans="1:5" x14ac:dyDescent="0.25">
      <c r="A803" s="1">
        <v>44818</v>
      </c>
      <c r="B803" t="s">
        <v>818</v>
      </c>
      <c r="C803" t="s">
        <v>6</v>
      </c>
      <c r="D803">
        <v>1412.42</v>
      </c>
      <c r="E803" t="s">
        <v>7</v>
      </c>
    </row>
    <row r="804" spans="1:5" x14ac:dyDescent="0.25">
      <c r="A804" s="1">
        <v>44819</v>
      </c>
      <c r="B804" t="s">
        <v>819</v>
      </c>
      <c r="C804" t="s">
        <v>11</v>
      </c>
      <c r="D804">
        <v>1158.92</v>
      </c>
      <c r="E804" t="s">
        <v>7</v>
      </c>
    </row>
    <row r="805" spans="1:5" x14ac:dyDescent="0.25">
      <c r="A805" s="1">
        <v>44819</v>
      </c>
      <c r="B805" t="s">
        <v>820</v>
      </c>
      <c r="C805" t="s">
        <v>9</v>
      </c>
      <c r="D805">
        <v>737.93</v>
      </c>
      <c r="E805" t="s">
        <v>7</v>
      </c>
    </row>
    <row r="806" spans="1:5" x14ac:dyDescent="0.25">
      <c r="A806" s="1">
        <v>44821</v>
      </c>
      <c r="B806" t="s">
        <v>821</v>
      </c>
      <c r="C806" t="s">
        <v>13</v>
      </c>
      <c r="D806">
        <v>2649</v>
      </c>
      <c r="E806" t="s">
        <v>14</v>
      </c>
    </row>
    <row r="807" spans="1:5" x14ac:dyDescent="0.25">
      <c r="A807" s="1">
        <v>44822</v>
      </c>
      <c r="B807" t="s">
        <v>822</v>
      </c>
      <c r="C807" t="s">
        <v>27</v>
      </c>
      <c r="D807">
        <v>1060.1500000000001</v>
      </c>
      <c r="E807" t="s">
        <v>7</v>
      </c>
    </row>
    <row r="808" spans="1:5" x14ac:dyDescent="0.25">
      <c r="A808" s="1">
        <v>44823</v>
      </c>
      <c r="B808" t="s">
        <v>823</v>
      </c>
      <c r="C808" t="s">
        <v>17</v>
      </c>
      <c r="D808">
        <v>1226.5</v>
      </c>
      <c r="E808" t="s">
        <v>7</v>
      </c>
    </row>
    <row r="809" spans="1:5" x14ac:dyDescent="0.25">
      <c r="A809" s="1">
        <v>44823</v>
      </c>
      <c r="B809" t="s">
        <v>824</v>
      </c>
      <c r="C809" t="s">
        <v>25</v>
      </c>
      <c r="D809">
        <v>710.45</v>
      </c>
      <c r="E809" t="s">
        <v>7</v>
      </c>
    </row>
    <row r="810" spans="1:5" x14ac:dyDescent="0.25">
      <c r="A810" s="1">
        <v>44825</v>
      </c>
      <c r="B810" t="s">
        <v>825</v>
      </c>
      <c r="C810" t="s">
        <v>9</v>
      </c>
      <c r="D810">
        <v>1629.34</v>
      </c>
      <c r="E810" t="s">
        <v>7</v>
      </c>
    </row>
    <row r="811" spans="1:5" x14ac:dyDescent="0.25">
      <c r="A811" s="1">
        <v>44827</v>
      </c>
      <c r="B811" t="s">
        <v>826</v>
      </c>
      <c r="C811" t="s">
        <v>35</v>
      </c>
      <c r="D811">
        <v>1838.18</v>
      </c>
      <c r="E811" t="s">
        <v>7</v>
      </c>
    </row>
    <row r="812" spans="1:5" x14ac:dyDescent="0.25">
      <c r="A812" s="1">
        <v>44830</v>
      </c>
      <c r="B812" t="s">
        <v>827</v>
      </c>
      <c r="C812" t="s">
        <v>9</v>
      </c>
      <c r="D812">
        <v>633.24</v>
      </c>
      <c r="E812" t="s">
        <v>7</v>
      </c>
    </row>
    <row r="813" spans="1:5" x14ac:dyDescent="0.25">
      <c r="A813" s="1">
        <v>44830</v>
      </c>
      <c r="B813" t="s">
        <v>828</v>
      </c>
      <c r="C813" t="s">
        <v>11</v>
      </c>
      <c r="D813">
        <v>374.26</v>
      </c>
      <c r="E813" t="s">
        <v>7</v>
      </c>
    </row>
    <row r="814" spans="1:5" x14ac:dyDescent="0.25">
      <c r="A814" s="1">
        <v>44832</v>
      </c>
      <c r="B814" t="s">
        <v>829</v>
      </c>
      <c r="C814" t="s">
        <v>17</v>
      </c>
      <c r="D814">
        <v>842.3</v>
      </c>
      <c r="E814" t="s">
        <v>7</v>
      </c>
    </row>
    <row r="815" spans="1:5" x14ac:dyDescent="0.25">
      <c r="A815" s="1">
        <v>44833</v>
      </c>
      <c r="B815" t="s">
        <v>830</v>
      </c>
      <c r="C815" t="s">
        <v>20</v>
      </c>
      <c r="D815">
        <v>3965</v>
      </c>
      <c r="E815" t="s">
        <v>14</v>
      </c>
    </row>
    <row r="816" spans="1:5" x14ac:dyDescent="0.25">
      <c r="A816" s="1">
        <v>44833</v>
      </c>
      <c r="B816" t="s">
        <v>831</v>
      </c>
      <c r="C816" t="s">
        <v>13</v>
      </c>
      <c r="D816">
        <v>1866</v>
      </c>
      <c r="E816" t="s">
        <v>14</v>
      </c>
    </row>
    <row r="817" spans="1:5" x14ac:dyDescent="0.25">
      <c r="A817" s="1">
        <v>44834</v>
      </c>
      <c r="B817" t="s">
        <v>832</v>
      </c>
      <c r="C817" t="s">
        <v>9</v>
      </c>
      <c r="D817">
        <v>382.33</v>
      </c>
      <c r="E817" t="s">
        <v>7</v>
      </c>
    </row>
    <row r="818" spans="1:5" x14ac:dyDescent="0.25">
      <c r="A818" s="1">
        <v>44835</v>
      </c>
      <c r="B818" t="s">
        <v>833</v>
      </c>
      <c r="C818" t="s">
        <v>6</v>
      </c>
      <c r="D818">
        <v>1732.39</v>
      </c>
      <c r="E818" t="s">
        <v>7</v>
      </c>
    </row>
    <row r="819" spans="1:5" x14ac:dyDescent="0.25">
      <c r="A819" s="1">
        <v>44836</v>
      </c>
      <c r="B819" t="s">
        <v>834</v>
      </c>
      <c r="C819" t="s">
        <v>27</v>
      </c>
      <c r="D819">
        <v>281.7</v>
      </c>
      <c r="E819" t="s">
        <v>7</v>
      </c>
    </row>
    <row r="820" spans="1:5" x14ac:dyDescent="0.25">
      <c r="A820" s="1">
        <v>44837</v>
      </c>
      <c r="B820" t="s">
        <v>835</v>
      </c>
      <c r="C820" t="s">
        <v>27</v>
      </c>
      <c r="D820">
        <v>824.18</v>
      </c>
      <c r="E820" t="s">
        <v>7</v>
      </c>
    </row>
    <row r="821" spans="1:5" x14ac:dyDescent="0.25">
      <c r="A821" s="1">
        <v>44838</v>
      </c>
      <c r="B821" t="s">
        <v>836</v>
      </c>
      <c r="C821" t="s">
        <v>27</v>
      </c>
      <c r="D821">
        <v>982.51</v>
      </c>
      <c r="E821" t="s">
        <v>7</v>
      </c>
    </row>
    <row r="822" spans="1:5" x14ac:dyDescent="0.25">
      <c r="A822" s="1">
        <v>44838</v>
      </c>
      <c r="B822" t="s">
        <v>837</v>
      </c>
      <c r="C822" t="s">
        <v>13</v>
      </c>
      <c r="D822">
        <v>2306</v>
      </c>
      <c r="E822" t="s">
        <v>14</v>
      </c>
    </row>
    <row r="823" spans="1:5" x14ac:dyDescent="0.25">
      <c r="A823" s="1">
        <v>44839</v>
      </c>
      <c r="B823" t="s">
        <v>838</v>
      </c>
      <c r="C823" t="s">
        <v>35</v>
      </c>
      <c r="D823">
        <v>457.44</v>
      </c>
      <c r="E823" t="s">
        <v>7</v>
      </c>
    </row>
    <row r="824" spans="1:5" x14ac:dyDescent="0.25">
      <c r="A824" s="1">
        <v>44842</v>
      </c>
      <c r="B824" t="s">
        <v>839</v>
      </c>
      <c r="C824" t="s">
        <v>27</v>
      </c>
      <c r="D824">
        <v>1135.6400000000001</v>
      </c>
      <c r="E824" t="s">
        <v>7</v>
      </c>
    </row>
    <row r="825" spans="1:5" x14ac:dyDescent="0.25">
      <c r="A825" s="1">
        <v>44844</v>
      </c>
      <c r="B825" t="s">
        <v>840</v>
      </c>
      <c r="C825" t="s">
        <v>27</v>
      </c>
      <c r="D825">
        <v>1103.96</v>
      </c>
      <c r="E825" t="s">
        <v>7</v>
      </c>
    </row>
    <row r="826" spans="1:5" x14ac:dyDescent="0.25">
      <c r="A826" s="1">
        <v>44846</v>
      </c>
      <c r="B826" t="s">
        <v>841</v>
      </c>
      <c r="C826" t="s">
        <v>13</v>
      </c>
      <c r="D826">
        <v>2694</v>
      </c>
      <c r="E826" t="s">
        <v>14</v>
      </c>
    </row>
    <row r="827" spans="1:5" x14ac:dyDescent="0.25">
      <c r="A827" s="1">
        <v>44846</v>
      </c>
      <c r="B827" t="s">
        <v>842</v>
      </c>
      <c r="C827" t="s">
        <v>25</v>
      </c>
      <c r="D827">
        <v>1088.67</v>
      </c>
      <c r="E827" t="s">
        <v>7</v>
      </c>
    </row>
    <row r="828" spans="1:5" x14ac:dyDescent="0.25">
      <c r="A828" s="1">
        <v>44847</v>
      </c>
      <c r="B828" t="s">
        <v>843</v>
      </c>
      <c r="C828" t="s">
        <v>27</v>
      </c>
      <c r="D828">
        <v>1097.24</v>
      </c>
      <c r="E828" t="s">
        <v>7</v>
      </c>
    </row>
    <row r="829" spans="1:5" x14ac:dyDescent="0.25">
      <c r="A829" s="1">
        <v>44853</v>
      </c>
      <c r="B829" t="s">
        <v>844</v>
      </c>
      <c r="C829" t="s">
        <v>11</v>
      </c>
      <c r="D829">
        <v>1474.62</v>
      </c>
      <c r="E829" t="s">
        <v>7</v>
      </c>
    </row>
    <row r="830" spans="1:5" x14ac:dyDescent="0.25">
      <c r="A830" s="1">
        <v>44853</v>
      </c>
      <c r="B830" t="s">
        <v>845</v>
      </c>
      <c r="C830" t="s">
        <v>22</v>
      </c>
      <c r="D830">
        <v>602.44000000000005</v>
      </c>
      <c r="E830" t="s">
        <v>7</v>
      </c>
    </row>
    <row r="831" spans="1:5" x14ac:dyDescent="0.25">
      <c r="A831" s="1">
        <v>44854</v>
      </c>
      <c r="B831" t="s">
        <v>846</v>
      </c>
      <c r="C831" t="s">
        <v>27</v>
      </c>
      <c r="D831">
        <v>533</v>
      </c>
      <c r="E831" t="s">
        <v>7</v>
      </c>
    </row>
    <row r="832" spans="1:5" x14ac:dyDescent="0.25">
      <c r="A832" s="1">
        <v>44855</v>
      </c>
      <c r="B832" t="s">
        <v>847</v>
      </c>
      <c r="C832" t="s">
        <v>11</v>
      </c>
      <c r="D832">
        <v>883.75</v>
      </c>
      <c r="E832" t="s">
        <v>7</v>
      </c>
    </row>
    <row r="833" spans="1:5" x14ac:dyDescent="0.25">
      <c r="A833" s="1">
        <v>44856</v>
      </c>
      <c r="B833" t="s">
        <v>848</v>
      </c>
      <c r="C833" t="s">
        <v>22</v>
      </c>
      <c r="D833">
        <v>427.66</v>
      </c>
      <c r="E833" t="s">
        <v>7</v>
      </c>
    </row>
    <row r="834" spans="1:5" x14ac:dyDescent="0.25">
      <c r="A834" s="1">
        <v>44857</v>
      </c>
      <c r="B834" t="s">
        <v>849</v>
      </c>
      <c r="C834" t="s">
        <v>25</v>
      </c>
      <c r="D834">
        <v>1723.49</v>
      </c>
      <c r="E834" t="s">
        <v>7</v>
      </c>
    </row>
    <row r="835" spans="1:5" x14ac:dyDescent="0.25">
      <c r="A835" s="1">
        <v>44859</v>
      </c>
      <c r="B835" t="s">
        <v>850</v>
      </c>
      <c r="C835" t="s">
        <v>17</v>
      </c>
      <c r="D835">
        <v>340.3</v>
      </c>
      <c r="E835" t="s">
        <v>7</v>
      </c>
    </row>
    <row r="836" spans="1:5" x14ac:dyDescent="0.25">
      <c r="A836" s="1">
        <v>44862</v>
      </c>
      <c r="B836" t="s">
        <v>851</v>
      </c>
      <c r="C836" t="s">
        <v>13</v>
      </c>
      <c r="D836">
        <v>2195</v>
      </c>
      <c r="E836" t="s">
        <v>14</v>
      </c>
    </row>
    <row r="837" spans="1:5" x14ac:dyDescent="0.25">
      <c r="A837" s="1">
        <v>44864</v>
      </c>
      <c r="B837" t="s">
        <v>852</v>
      </c>
      <c r="C837" t="s">
        <v>25</v>
      </c>
      <c r="D837">
        <v>1069.24</v>
      </c>
      <c r="E837" t="s">
        <v>7</v>
      </c>
    </row>
    <row r="838" spans="1:5" x14ac:dyDescent="0.25">
      <c r="A838" s="1">
        <v>44865</v>
      </c>
      <c r="B838" t="s">
        <v>853</v>
      </c>
      <c r="C838" t="s">
        <v>9</v>
      </c>
      <c r="D838">
        <v>654.07000000000005</v>
      </c>
      <c r="E838" t="s">
        <v>7</v>
      </c>
    </row>
    <row r="839" spans="1:5" x14ac:dyDescent="0.25">
      <c r="A839" s="1">
        <v>44868</v>
      </c>
      <c r="B839" t="s">
        <v>854</v>
      </c>
      <c r="C839" t="s">
        <v>35</v>
      </c>
      <c r="D839">
        <v>1149.74</v>
      </c>
      <c r="E839" t="s">
        <v>7</v>
      </c>
    </row>
    <row r="840" spans="1:5" x14ac:dyDescent="0.25">
      <c r="A840" s="1">
        <v>44869</v>
      </c>
      <c r="B840" t="s">
        <v>855</v>
      </c>
      <c r="C840" t="s">
        <v>11</v>
      </c>
      <c r="D840">
        <v>279.82</v>
      </c>
      <c r="E840" t="s">
        <v>7</v>
      </c>
    </row>
    <row r="841" spans="1:5" x14ac:dyDescent="0.25">
      <c r="A841" s="1">
        <v>44870</v>
      </c>
      <c r="B841" t="s">
        <v>856</v>
      </c>
      <c r="C841" t="s">
        <v>17</v>
      </c>
      <c r="D841">
        <v>1838.35</v>
      </c>
      <c r="E841" t="s">
        <v>7</v>
      </c>
    </row>
    <row r="842" spans="1:5" x14ac:dyDescent="0.25">
      <c r="A842" s="1">
        <v>44872</v>
      </c>
      <c r="B842" t="s">
        <v>857</v>
      </c>
      <c r="C842" t="s">
        <v>9</v>
      </c>
      <c r="D842">
        <v>1405.84</v>
      </c>
      <c r="E842" t="s">
        <v>7</v>
      </c>
    </row>
    <row r="843" spans="1:5" x14ac:dyDescent="0.25">
      <c r="A843" s="1">
        <v>44872</v>
      </c>
      <c r="B843" t="s">
        <v>858</v>
      </c>
      <c r="C843" t="s">
        <v>13</v>
      </c>
      <c r="D843">
        <v>3138</v>
      </c>
      <c r="E843" t="s">
        <v>14</v>
      </c>
    </row>
    <row r="844" spans="1:5" x14ac:dyDescent="0.25">
      <c r="A844" s="1">
        <v>44874</v>
      </c>
      <c r="B844" t="s">
        <v>859</v>
      </c>
      <c r="C844" t="s">
        <v>17</v>
      </c>
      <c r="D844">
        <v>984.02</v>
      </c>
      <c r="E844" t="s">
        <v>7</v>
      </c>
    </row>
    <row r="845" spans="1:5" x14ac:dyDescent="0.25">
      <c r="A845" s="1">
        <v>44875</v>
      </c>
      <c r="B845" t="s">
        <v>860</v>
      </c>
      <c r="C845" t="s">
        <v>35</v>
      </c>
      <c r="D845">
        <v>1259.3499999999999</v>
      </c>
      <c r="E845" t="s">
        <v>7</v>
      </c>
    </row>
    <row r="846" spans="1:5" x14ac:dyDescent="0.25">
      <c r="A846" s="1">
        <v>44878</v>
      </c>
      <c r="B846" t="s">
        <v>861</v>
      </c>
      <c r="C846" t="s">
        <v>11</v>
      </c>
      <c r="D846">
        <v>1270.92</v>
      </c>
      <c r="E846" t="s">
        <v>7</v>
      </c>
    </row>
    <row r="847" spans="1:5" x14ac:dyDescent="0.25">
      <c r="A847" s="1">
        <v>44879</v>
      </c>
      <c r="B847" t="s">
        <v>862</v>
      </c>
      <c r="C847" t="s">
        <v>11</v>
      </c>
      <c r="D847">
        <v>811.67</v>
      </c>
      <c r="E847" t="s">
        <v>7</v>
      </c>
    </row>
    <row r="848" spans="1:5" x14ac:dyDescent="0.25">
      <c r="A848" s="1">
        <v>44879</v>
      </c>
      <c r="B848" t="s">
        <v>863</v>
      </c>
      <c r="C848" t="s">
        <v>25</v>
      </c>
      <c r="D848">
        <v>914.84</v>
      </c>
      <c r="E848" t="s">
        <v>7</v>
      </c>
    </row>
    <row r="849" spans="1:5" x14ac:dyDescent="0.25">
      <c r="A849" s="1">
        <v>44880</v>
      </c>
      <c r="B849" t="s">
        <v>864</v>
      </c>
      <c r="C849" t="s">
        <v>6</v>
      </c>
      <c r="D849">
        <v>1739.13</v>
      </c>
      <c r="E849" t="s">
        <v>7</v>
      </c>
    </row>
    <row r="850" spans="1:5" x14ac:dyDescent="0.25">
      <c r="A850" s="1">
        <v>44882</v>
      </c>
      <c r="B850" t="s">
        <v>865</v>
      </c>
      <c r="C850" t="s">
        <v>11</v>
      </c>
      <c r="D850">
        <v>1464.55</v>
      </c>
      <c r="E850" t="s">
        <v>7</v>
      </c>
    </row>
    <row r="851" spans="1:5" x14ac:dyDescent="0.25">
      <c r="A851" s="1">
        <v>44882</v>
      </c>
      <c r="B851" t="s">
        <v>866</v>
      </c>
      <c r="C851" t="s">
        <v>25</v>
      </c>
      <c r="D851">
        <v>1701.71</v>
      </c>
      <c r="E851" t="s">
        <v>7</v>
      </c>
    </row>
    <row r="852" spans="1:5" x14ac:dyDescent="0.25">
      <c r="A852" s="1">
        <v>44883</v>
      </c>
      <c r="B852" t="s">
        <v>867</v>
      </c>
      <c r="C852" t="s">
        <v>17</v>
      </c>
      <c r="D852">
        <v>443.48</v>
      </c>
      <c r="E852" t="s">
        <v>7</v>
      </c>
    </row>
    <row r="853" spans="1:5" x14ac:dyDescent="0.25">
      <c r="A853" s="1">
        <v>44884</v>
      </c>
      <c r="B853" t="s">
        <v>868</v>
      </c>
      <c r="C853" t="s">
        <v>22</v>
      </c>
      <c r="D853">
        <v>994.48</v>
      </c>
      <c r="E853" t="s">
        <v>7</v>
      </c>
    </row>
    <row r="854" spans="1:5" x14ac:dyDescent="0.25">
      <c r="A854" s="1">
        <v>44886</v>
      </c>
      <c r="B854" t="s">
        <v>869</v>
      </c>
      <c r="C854" t="s">
        <v>35</v>
      </c>
      <c r="D854">
        <v>682.13</v>
      </c>
      <c r="E854" t="s">
        <v>7</v>
      </c>
    </row>
    <row r="855" spans="1:5" x14ac:dyDescent="0.25">
      <c r="A855" s="1">
        <v>44887</v>
      </c>
      <c r="B855" t="s">
        <v>870</v>
      </c>
      <c r="C855" t="s">
        <v>27</v>
      </c>
      <c r="D855">
        <v>1578.72</v>
      </c>
      <c r="E855" t="s">
        <v>7</v>
      </c>
    </row>
    <row r="856" spans="1:5" x14ac:dyDescent="0.25">
      <c r="A856" s="1">
        <v>44891</v>
      </c>
      <c r="B856" t="s">
        <v>871</v>
      </c>
      <c r="C856" t="s">
        <v>6</v>
      </c>
      <c r="D856">
        <v>101.43</v>
      </c>
      <c r="E856" t="s">
        <v>7</v>
      </c>
    </row>
    <row r="857" spans="1:5" x14ac:dyDescent="0.25">
      <c r="A857" s="1">
        <v>44891</v>
      </c>
      <c r="B857" t="s">
        <v>872</v>
      </c>
      <c r="C857" t="s">
        <v>27</v>
      </c>
      <c r="D857">
        <v>42.4</v>
      </c>
      <c r="E857" t="s">
        <v>7</v>
      </c>
    </row>
    <row r="858" spans="1:5" x14ac:dyDescent="0.25">
      <c r="A858" s="1">
        <v>44893</v>
      </c>
      <c r="B858" t="s">
        <v>873</v>
      </c>
      <c r="C858" t="s">
        <v>9</v>
      </c>
      <c r="D858">
        <v>888.16</v>
      </c>
      <c r="E858" t="s">
        <v>7</v>
      </c>
    </row>
    <row r="859" spans="1:5" x14ac:dyDescent="0.25">
      <c r="A859" s="1">
        <v>44893</v>
      </c>
      <c r="B859" t="s">
        <v>874</v>
      </c>
      <c r="C859" t="s">
        <v>20</v>
      </c>
      <c r="D859">
        <v>2157</v>
      </c>
      <c r="E859" t="s">
        <v>14</v>
      </c>
    </row>
    <row r="860" spans="1:5" x14ac:dyDescent="0.25">
      <c r="A860" s="1">
        <v>44896</v>
      </c>
      <c r="B860" t="s">
        <v>875</v>
      </c>
      <c r="C860" t="s">
        <v>9</v>
      </c>
      <c r="D860">
        <v>1765.47</v>
      </c>
      <c r="E860" t="s">
        <v>7</v>
      </c>
    </row>
    <row r="861" spans="1:5" x14ac:dyDescent="0.25">
      <c r="A861" s="1">
        <v>44898</v>
      </c>
      <c r="B861" t="s">
        <v>876</v>
      </c>
      <c r="C861" t="s">
        <v>35</v>
      </c>
      <c r="D861">
        <v>195.75</v>
      </c>
      <c r="E861" t="s">
        <v>7</v>
      </c>
    </row>
    <row r="862" spans="1:5" x14ac:dyDescent="0.25">
      <c r="A862" s="1">
        <v>44899</v>
      </c>
      <c r="B862" t="s">
        <v>877</v>
      </c>
      <c r="C862" t="s">
        <v>11</v>
      </c>
      <c r="D862">
        <v>749.97</v>
      </c>
      <c r="E862" t="s">
        <v>7</v>
      </c>
    </row>
    <row r="863" spans="1:5" x14ac:dyDescent="0.25">
      <c r="A863" s="1">
        <v>44900</v>
      </c>
      <c r="B863" t="s">
        <v>878</v>
      </c>
      <c r="C863" t="s">
        <v>9</v>
      </c>
      <c r="D863">
        <v>113.06</v>
      </c>
      <c r="E863" t="s">
        <v>7</v>
      </c>
    </row>
    <row r="864" spans="1:5" x14ac:dyDescent="0.25">
      <c r="A864" s="1">
        <v>44900</v>
      </c>
      <c r="B864" t="s">
        <v>879</v>
      </c>
      <c r="C864" t="s">
        <v>22</v>
      </c>
      <c r="D864">
        <v>864.17</v>
      </c>
      <c r="E864" t="s">
        <v>7</v>
      </c>
    </row>
    <row r="865" spans="1:5" x14ac:dyDescent="0.25">
      <c r="A865" s="1">
        <v>44902</v>
      </c>
      <c r="B865" t="s">
        <v>880</v>
      </c>
      <c r="C865" t="s">
        <v>13</v>
      </c>
      <c r="D865">
        <v>508</v>
      </c>
      <c r="E865" t="s">
        <v>14</v>
      </c>
    </row>
    <row r="866" spans="1:5" x14ac:dyDescent="0.25">
      <c r="A866" s="1">
        <v>44907</v>
      </c>
      <c r="B866" t="s">
        <v>881</v>
      </c>
      <c r="C866" t="s">
        <v>11</v>
      </c>
      <c r="D866">
        <v>274.07</v>
      </c>
      <c r="E866" t="s">
        <v>7</v>
      </c>
    </row>
    <row r="867" spans="1:5" x14ac:dyDescent="0.25">
      <c r="A867" s="1">
        <v>44908</v>
      </c>
      <c r="B867" t="s">
        <v>882</v>
      </c>
      <c r="C867" t="s">
        <v>27</v>
      </c>
      <c r="D867">
        <v>28.48</v>
      </c>
      <c r="E867" t="s">
        <v>7</v>
      </c>
    </row>
    <row r="868" spans="1:5" x14ac:dyDescent="0.25">
      <c r="A868" s="1">
        <v>44910</v>
      </c>
      <c r="B868" t="s">
        <v>883</v>
      </c>
      <c r="C868" t="s">
        <v>11</v>
      </c>
      <c r="D868">
        <v>1976.43</v>
      </c>
      <c r="E868" t="s">
        <v>7</v>
      </c>
    </row>
    <row r="869" spans="1:5" x14ac:dyDescent="0.25">
      <c r="A869" s="1">
        <v>44911</v>
      </c>
      <c r="B869" t="s">
        <v>884</v>
      </c>
      <c r="C869" t="s">
        <v>9</v>
      </c>
      <c r="D869">
        <v>960.62</v>
      </c>
      <c r="E869" t="s">
        <v>7</v>
      </c>
    </row>
    <row r="870" spans="1:5" x14ac:dyDescent="0.25">
      <c r="A870" s="1">
        <v>44913</v>
      </c>
      <c r="B870" t="s">
        <v>885</v>
      </c>
      <c r="C870" t="s">
        <v>11</v>
      </c>
      <c r="D870">
        <v>1464.22</v>
      </c>
      <c r="E870" t="s">
        <v>7</v>
      </c>
    </row>
    <row r="871" spans="1:5" x14ac:dyDescent="0.25">
      <c r="A871" s="1">
        <v>44917</v>
      </c>
      <c r="B871" t="s">
        <v>886</v>
      </c>
      <c r="C871" t="s">
        <v>20</v>
      </c>
      <c r="D871">
        <v>3511</v>
      </c>
      <c r="E871" t="s">
        <v>14</v>
      </c>
    </row>
    <row r="872" spans="1:5" x14ac:dyDescent="0.25">
      <c r="A872" s="1">
        <v>44923</v>
      </c>
      <c r="B872" t="s">
        <v>887</v>
      </c>
      <c r="C872" t="s">
        <v>9</v>
      </c>
      <c r="D872">
        <v>771.61</v>
      </c>
      <c r="E872" t="s">
        <v>7</v>
      </c>
    </row>
    <row r="873" spans="1:5" x14ac:dyDescent="0.25">
      <c r="A873" s="1">
        <v>44925</v>
      </c>
      <c r="B873" t="s">
        <v>888</v>
      </c>
      <c r="C873" t="s">
        <v>9</v>
      </c>
      <c r="D873">
        <v>1286.74</v>
      </c>
      <c r="E873" t="s">
        <v>7</v>
      </c>
    </row>
    <row r="874" spans="1:5" x14ac:dyDescent="0.25">
      <c r="A874" s="1">
        <v>44926</v>
      </c>
      <c r="B874" t="s">
        <v>889</v>
      </c>
      <c r="C874" t="s">
        <v>11</v>
      </c>
      <c r="D874">
        <v>1065.71</v>
      </c>
      <c r="E874" t="s">
        <v>7</v>
      </c>
    </row>
    <row r="875" spans="1:5" x14ac:dyDescent="0.25">
      <c r="A875" s="1">
        <v>44929</v>
      </c>
      <c r="B875" t="s">
        <v>890</v>
      </c>
      <c r="C875" t="s">
        <v>13</v>
      </c>
      <c r="D875">
        <v>4105</v>
      </c>
      <c r="E875" t="s">
        <v>14</v>
      </c>
    </row>
    <row r="876" spans="1:5" x14ac:dyDescent="0.25">
      <c r="A876" s="1">
        <v>44930</v>
      </c>
      <c r="B876" t="s">
        <v>891</v>
      </c>
      <c r="C876" t="s">
        <v>22</v>
      </c>
      <c r="D876">
        <v>1259.8800000000001</v>
      </c>
      <c r="E876" t="s">
        <v>7</v>
      </c>
    </row>
    <row r="877" spans="1:5" x14ac:dyDescent="0.25">
      <c r="A877" s="1">
        <v>44930</v>
      </c>
      <c r="B877" t="s">
        <v>892</v>
      </c>
      <c r="C877" t="s">
        <v>20</v>
      </c>
      <c r="D877">
        <v>4124</v>
      </c>
      <c r="E877" t="s">
        <v>14</v>
      </c>
    </row>
    <row r="878" spans="1:5" x14ac:dyDescent="0.25">
      <c r="A878" s="1">
        <v>44932</v>
      </c>
      <c r="B878" t="s">
        <v>893</v>
      </c>
      <c r="C878" t="s">
        <v>11</v>
      </c>
      <c r="D878">
        <v>1794.22</v>
      </c>
      <c r="E878" t="s">
        <v>7</v>
      </c>
    </row>
    <row r="879" spans="1:5" x14ac:dyDescent="0.25">
      <c r="A879" s="1">
        <v>44935</v>
      </c>
      <c r="B879" t="s">
        <v>894</v>
      </c>
      <c r="C879" t="s">
        <v>13</v>
      </c>
      <c r="D879">
        <v>3645</v>
      </c>
      <c r="E879" t="s">
        <v>14</v>
      </c>
    </row>
    <row r="880" spans="1:5" x14ac:dyDescent="0.25">
      <c r="A880" s="1">
        <v>44936</v>
      </c>
      <c r="B880" t="s">
        <v>895</v>
      </c>
      <c r="C880" t="s">
        <v>17</v>
      </c>
      <c r="D880">
        <v>635.86</v>
      </c>
      <c r="E880" t="s">
        <v>7</v>
      </c>
    </row>
    <row r="881" spans="1:5" x14ac:dyDescent="0.25">
      <c r="A881" s="1">
        <v>44937</v>
      </c>
      <c r="B881" t="s">
        <v>896</v>
      </c>
      <c r="C881" t="s">
        <v>20</v>
      </c>
      <c r="D881">
        <v>1190</v>
      </c>
      <c r="E881" t="s">
        <v>14</v>
      </c>
    </row>
    <row r="882" spans="1:5" x14ac:dyDescent="0.25">
      <c r="A882" s="1">
        <v>44939</v>
      </c>
      <c r="B882" t="s">
        <v>897</v>
      </c>
      <c r="C882" t="s">
        <v>35</v>
      </c>
      <c r="D882">
        <v>1560.15</v>
      </c>
      <c r="E882" t="s">
        <v>7</v>
      </c>
    </row>
    <row r="883" spans="1:5" x14ac:dyDescent="0.25">
      <c r="A883" s="1">
        <v>44941</v>
      </c>
      <c r="B883" t="s">
        <v>898</v>
      </c>
      <c r="C883" t="s">
        <v>35</v>
      </c>
      <c r="D883">
        <v>418.84</v>
      </c>
      <c r="E883" t="s">
        <v>7</v>
      </c>
    </row>
    <row r="884" spans="1:5" x14ac:dyDescent="0.25">
      <c r="A884" s="1">
        <v>44942</v>
      </c>
      <c r="B884" t="s">
        <v>899</v>
      </c>
      <c r="C884" t="s">
        <v>22</v>
      </c>
      <c r="D884">
        <v>1498.21</v>
      </c>
      <c r="E884" t="s">
        <v>7</v>
      </c>
    </row>
    <row r="885" spans="1:5" x14ac:dyDescent="0.25">
      <c r="A885" s="1">
        <v>44943</v>
      </c>
      <c r="B885" t="s">
        <v>900</v>
      </c>
      <c r="C885" t="s">
        <v>6</v>
      </c>
      <c r="D885">
        <v>1569.77</v>
      </c>
      <c r="E885" t="s">
        <v>7</v>
      </c>
    </row>
    <row r="886" spans="1:5" x14ac:dyDescent="0.25">
      <c r="A886" s="1">
        <v>44944</v>
      </c>
      <c r="B886" t="s">
        <v>901</v>
      </c>
      <c r="C886" t="s">
        <v>22</v>
      </c>
      <c r="D886">
        <v>994.83</v>
      </c>
      <c r="E886" t="s">
        <v>7</v>
      </c>
    </row>
    <row r="887" spans="1:5" x14ac:dyDescent="0.25">
      <c r="A887" s="1">
        <v>44945</v>
      </c>
      <c r="B887" t="s">
        <v>902</v>
      </c>
      <c r="C887" t="s">
        <v>20</v>
      </c>
      <c r="D887">
        <v>1081</v>
      </c>
      <c r="E887" t="s">
        <v>14</v>
      </c>
    </row>
    <row r="888" spans="1:5" x14ac:dyDescent="0.25">
      <c r="A888" s="1">
        <v>44945</v>
      </c>
      <c r="B888" t="s">
        <v>903</v>
      </c>
      <c r="C888" t="s">
        <v>6</v>
      </c>
      <c r="D888">
        <v>1973.9</v>
      </c>
      <c r="E888" t="s">
        <v>7</v>
      </c>
    </row>
    <row r="889" spans="1:5" x14ac:dyDescent="0.25">
      <c r="A889" s="1">
        <v>44945</v>
      </c>
      <c r="B889" t="s">
        <v>904</v>
      </c>
      <c r="C889" t="s">
        <v>9</v>
      </c>
      <c r="D889">
        <v>779.81</v>
      </c>
      <c r="E889" t="s">
        <v>7</v>
      </c>
    </row>
    <row r="890" spans="1:5" x14ac:dyDescent="0.25">
      <c r="A890" s="1">
        <v>44945</v>
      </c>
      <c r="B890" t="s">
        <v>905</v>
      </c>
      <c r="C890" t="s">
        <v>17</v>
      </c>
      <c r="D890">
        <v>737.17</v>
      </c>
      <c r="E890" t="s">
        <v>7</v>
      </c>
    </row>
    <row r="891" spans="1:5" x14ac:dyDescent="0.25">
      <c r="A891" s="1">
        <v>44945</v>
      </c>
      <c r="B891" t="s">
        <v>906</v>
      </c>
      <c r="C891" t="s">
        <v>27</v>
      </c>
      <c r="D891">
        <v>1909.36</v>
      </c>
      <c r="E891" t="s">
        <v>7</v>
      </c>
    </row>
    <row r="892" spans="1:5" x14ac:dyDescent="0.25">
      <c r="A892" s="1">
        <v>44946</v>
      </c>
      <c r="B892" t="s">
        <v>907</v>
      </c>
      <c r="C892" t="s">
        <v>6</v>
      </c>
      <c r="D892">
        <v>1178.8499999999999</v>
      </c>
      <c r="E892" t="s">
        <v>7</v>
      </c>
    </row>
    <row r="893" spans="1:5" x14ac:dyDescent="0.25">
      <c r="A893" s="1">
        <v>44947</v>
      </c>
      <c r="B893" t="s">
        <v>908</v>
      </c>
      <c r="C893" t="s">
        <v>13</v>
      </c>
      <c r="D893">
        <v>826</v>
      </c>
      <c r="E893" t="s">
        <v>14</v>
      </c>
    </row>
    <row r="894" spans="1:5" x14ac:dyDescent="0.25">
      <c r="A894" s="1">
        <v>44947</v>
      </c>
      <c r="B894" t="s">
        <v>909</v>
      </c>
      <c r="C894" t="s">
        <v>17</v>
      </c>
      <c r="D894">
        <v>1018.16</v>
      </c>
      <c r="E894" t="s">
        <v>7</v>
      </c>
    </row>
    <row r="895" spans="1:5" x14ac:dyDescent="0.25">
      <c r="A895" s="1">
        <v>44948</v>
      </c>
      <c r="B895" t="s">
        <v>910</v>
      </c>
      <c r="C895" t="s">
        <v>17</v>
      </c>
      <c r="D895">
        <v>852.91</v>
      </c>
      <c r="E895" t="s">
        <v>7</v>
      </c>
    </row>
    <row r="896" spans="1:5" x14ac:dyDescent="0.25">
      <c r="A896" s="1">
        <v>44949</v>
      </c>
      <c r="B896" t="s">
        <v>911</v>
      </c>
      <c r="C896" t="s">
        <v>9</v>
      </c>
      <c r="D896">
        <v>562.16</v>
      </c>
      <c r="E896" t="s">
        <v>7</v>
      </c>
    </row>
    <row r="897" spans="1:5" x14ac:dyDescent="0.25">
      <c r="A897" s="1">
        <v>44949</v>
      </c>
      <c r="B897" t="s">
        <v>912</v>
      </c>
      <c r="C897" t="s">
        <v>22</v>
      </c>
      <c r="D897">
        <v>1948.88</v>
      </c>
      <c r="E897" t="s">
        <v>7</v>
      </c>
    </row>
    <row r="898" spans="1:5" x14ac:dyDescent="0.25">
      <c r="A898" s="1">
        <v>44949</v>
      </c>
      <c r="B898" t="s">
        <v>913</v>
      </c>
      <c r="C898" t="s">
        <v>20</v>
      </c>
      <c r="D898">
        <v>3700</v>
      </c>
      <c r="E898" t="s">
        <v>14</v>
      </c>
    </row>
    <row r="899" spans="1:5" x14ac:dyDescent="0.25">
      <c r="A899" s="1">
        <v>44950</v>
      </c>
      <c r="B899" t="s">
        <v>914</v>
      </c>
      <c r="C899" t="s">
        <v>11</v>
      </c>
      <c r="D899">
        <v>627.24</v>
      </c>
      <c r="E899" t="s">
        <v>7</v>
      </c>
    </row>
    <row r="900" spans="1:5" x14ac:dyDescent="0.25">
      <c r="A900" s="1">
        <v>44950</v>
      </c>
      <c r="B900" t="s">
        <v>915</v>
      </c>
      <c r="C900" t="s">
        <v>22</v>
      </c>
      <c r="D900">
        <v>125.23</v>
      </c>
      <c r="E900" t="s">
        <v>7</v>
      </c>
    </row>
    <row r="901" spans="1:5" x14ac:dyDescent="0.25">
      <c r="A901" s="1">
        <v>44950</v>
      </c>
      <c r="B901" t="s">
        <v>916</v>
      </c>
      <c r="C901" t="s">
        <v>20</v>
      </c>
      <c r="D901">
        <v>1450</v>
      </c>
      <c r="E901" t="s">
        <v>14</v>
      </c>
    </row>
    <row r="902" spans="1:5" x14ac:dyDescent="0.25">
      <c r="A902" s="1">
        <v>44950</v>
      </c>
      <c r="B902" t="s">
        <v>917</v>
      </c>
      <c r="C902" t="s">
        <v>6</v>
      </c>
      <c r="D902">
        <v>625.49</v>
      </c>
      <c r="E902" t="s">
        <v>7</v>
      </c>
    </row>
    <row r="903" spans="1:5" x14ac:dyDescent="0.25">
      <c r="A903" s="1">
        <v>44950</v>
      </c>
      <c r="B903" t="s">
        <v>918</v>
      </c>
      <c r="C903" t="s">
        <v>9</v>
      </c>
      <c r="D903">
        <v>247.69</v>
      </c>
      <c r="E903" t="s">
        <v>7</v>
      </c>
    </row>
    <row r="904" spans="1:5" x14ac:dyDescent="0.25">
      <c r="A904" s="1">
        <v>44950</v>
      </c>
      <c r="B904" t="s">
        <v>919</v>
      </c>
      <c r="C904" t="s">
        <v>6</v>
      </c>
      <c r="D904">
        <v>336.03</v>
      </c>
      <c r="E904" t="s">
        <v>7</v>
      </c>
    </row>
    <row r="905" spans="1:5" x14ac:dyDescent="0.25">
      <c r="A905" s="1">
        <v>44951</v>
      </c>
      <c r="B905" t="s">
        <v>920</v>
      </c>
      <c r="C905" t="s">
        <v>35</v>
      </c>
      <c r="D905">
        <v>342.26</v>
      </c>
      <c r="E905" t="s">
        <v>7</v>
      </c>
    </row>
    <row r="906" spans="1:5" x14ac:dyDescent="0.25">
      <c r="A906" s="1">
        <v>44952</v>
      </c>
      <c r="B906" t="s">
        <v>921</v>
      </c>
      <c r="C906" t="s">
        <v>20</v>
      </c>
      <c r="D906">
        <v>1467</v>
      </c>
      <c r="E906" t="s">
        <v>14</v>
      </c>
    </row>
    <row r="907" spans="1:5" x14ac:dyDescent="0.25">
      <c r="A907" s="1">
        <v>44953</v>
      </c>
      <c r="B907" t="s">
        <v>922</v>
      </c>
      <c r="C907" t="s">
        <v>6</v>
      </c>
      <c r="D907">
        <v>676.67</v>
      </c>
      <c r="E907" t="s">
        <v>7</v>
      </c>
    </row>
    <row r="908" spans="1:5" x14ac:dyDescent="0.25">
      <c r="A908" s="1">
        <v>44953</v>
      </c>
      <c r="B908" t="s">
        <v>923</v>
      </c>
      <c r="C908" t="s">
        <v>11</v>
      </c>
      <c r="D908">
        <v>533.27</v>
      </c>
      <c r="E908" t="s">
        <v>7</v>
      </c>
    </row>
    <row r="909" spans="1:5" x14ac:dyDescent="0.25">
      <c r="A909" s="1">
        <v>44954</v>
      </c>
      <c r="B909" t="s">
        <v>924</v>
      </c>
      <c r="C909" t="s">
        <v>11</v>
      </c>
      <c r="D909">
        <v>997.33</v>
      </c>
      <c r="E909" t="s">
        <v>7</v>
      </c>
    </row>
    <row r="910" spans="1:5" x14ac:dyDescent="0.25">
      <c r="A910" s="1">
        <v>44955</v>
      </c>
      <c r="B910" t="s">
        <v>925</v>
      </c>
      <c r="C910" t="s">
        <v>6</v>
      </c>
      <c r="D910">
        <v>1004.22</v>
      </c>
      <c r="E910" t="s">
        <v>7</v>
      </c>
    </row>
    <row r="911" spans="1:5" x14ac:dyDescent="0.25">
      <c r="A911" s="1">
        <v>44955</v>
      </c>
      <c r="B911" t="s">
        <v>926</v>
      </c>
      <c r="C911" t="s">
        <v>25</v>
      </c>
      <c r="D911">
        <v>323.05</v>
      </c>
      <c r="E911" t="s">
        <v>7</v>
      </c>
    </row>
    <row r="912" spans="1:5" x14ac:dyDescent="0.25">
      <c r="A912" s="1">
        <v>44956</v>
      </c>
      <c r="B912" t="s">
        <v>927</v>
      </c>
      <c r="C912" t="s">
        <v>11</v>
      </c>
      <c r="D912">
        <v>464.52</v>
      </c>
      <c r="E912" t="s">
        <v>7</v>
      </c>
    </row>
    <row r="913" spans="1:5" x14ac:dyDescent="0.25">
      <c r="A913" s="1">
        <v>44957</v>
      </c>
      <c r="B913" t="s">
        <v>928</v>
      </c>
      <c r="C913" t="s">
        <v>6</v>
      </c>
      <c r="D913">
        <v>1718.79</v>
      </c>
      <c r="E913" t="s">
        <v>7</v>
      </c>
    </row>
    <row r="914" spans="1:5" x14ac:dyDescent="0.25">
      <c r="A914" s="1">
        <v>44957</v>
      </c>
      <c r="B914" t="s">
        <v>929</v>
      </c>
      <c r="C914" t="s">
        <v>13</v>
      </c>
      <c r="D914">
        <v>4364</v>
      </c>
      <c r="E914" t="s">
        <v>14</v>
      </c>
    </row>
    <row r="915" spans="1:5" x14ac:dyDescent="0.25">
      <c r="A915" s="1">
        <v>44958</v>
      </c>
      <c r="B915" t="s">
        <v>930</v>
      </c>
      <c r="C915" t="s">
        <v>9</v>
      </c>
      <c r="D915">
        <v>366.13</v>
      </c>
      <c r="E915" t="s">
        <v>7</v>
      </c>
    </row>
    <row r="916" spans="1:5" x14ac:dyDescent="0.25">
      <c r="A916" s="1">
        <v>44959</v>
      </c>
      <c r="B916" t="s">
        <v>931</v>
      </c>
      <c r="C916" t="s">
        <v>6</v>
      </c>
      <c r="D916">
        <v>1110.2</v>
      </c>
      <c r="E916" t="s">
        <v>7</v>
      </c>
    </row>
    <row r="917" spans="1:5" x14ac:dyDescent="0.25">
      <c r="A917" s="1">
        <v>44960</v>
      </c>
      <c r="B917" t="s">
        <v>932</v>
      </c>
      <c r="C917" t="s">
        <v>17</v>
      </c>
      <c r="D917">
        <v>456.79</v>
      </c>
      <c r="E917" t="s">
        <v>7</v>
      </c>
    </row>
    <row r="918" spans="1:5" x14ac:dyDescent="0.25">
      <c r="A918" s="1">
        <v>44963</v>
      </c>
      <c r="B918" t="s">
        <v>933</v>
      </c>
      <c r="C918" t="s">
        <v>25</v>
      </c>
      <c r="D918">
        <v>549.79999999999995</v>
      </c>
      <c r="E918" t="s">
        <v>7</v>
      </c>
    </row>
    <row r="919" spans="1:5" x14ac:dyDescent="0.25">
      <c r="A919" s="1">
        <v>44964</v>
      </c>
      <c r="B919" t="s">
        <v>934</v>
      </c>
      <c r="C919" t="s">
        <v>20</v>
      </c>
      <c r="D919">
        <v>1478</v>
      </c>
      <c r="E919" t="s">
        <v>14</v>
      </c>
    </row>
    <row r="920" spans="1:5" x14ac:dyDescent="0.25">
      <c r="A920" s="1">
        <v>44964</v>
      </c>
      <c r="B920" t="s">
        <v>935</v>
      </c>
      <c r="C920" t="s">
        <v>6</v>
      </c>
      <c r="D920">
        <v>366.9</v>
      </c>
      <c r="E920" t="s">
        <v>7</v>
      </c>
    </row>
    <row r="921" spans="1:5" x14ac:dyDescent="0.25">
      <c r="A921" s="1">
        <v>44965</v>
      </c>
      <c r="B921" t="s">
        <v>936</v>
      </c>
      <c r="C921" t="s">
        <v>6</v>
      </c>
      <c r="D921">
        <v>1908.62</v>
      </c>
      <c r="E921" t="s">
        <v>7</v>
      </c>
    </row>
    <row r="922" spans="1:5" x14ac:dyDescent="0.25">
      <c r="A922" s="1">
        <v>44965</v>
      </c>
      <c r="B922" t="s">
        <v>937</v>
      </c>
      <c r="C922" t="s">
        <v>20</v>
      </c>
      <c r="D922">
        <v>2812</v>
      </c>
      <c r="E922" t="s">
        <v>14</v>
      </c>
    </row>
    <row r="923" spans="1:5" x14ac:dyDescent="0.25">
      <c r="A923" s="1">
        <v>44966</v>
      </c>
      <c r="B923" t="s">
        <v>938</v>
      </c>
      <c r="C923" t="s">
        <v>35</v>
      </c>
      <c r="D923">
        <v>661.33</v>
      </c>
      <c r="E923" t="s">
        <v>7</v>
      </c>
    </row>
    <row r="924" spans="1:5" x14ac:dyDescent="0.25">
      <c r="A924" s="1">
        <v>44969</v>
      </c>
      <c r="B924" t="s">
        <v>939</v>
      </c>
      <c r="C924" t="s">
        <v>6</v>
      </c>
      <c r="D924">
        <v>744.15</v>
      </c>
      <c r="E924" t="s">
        <v>7</v>
      </c>
    </row>
    <row r="925" spans="1:5" x14ac:dyDescent="0.25">
      <c r="A925" s="1">
        <v>44970</v>
      </c>
      <c r="B925" t="s">
        <v>940</v>
      </c>
      <c r="C925" t="s">
        <v>35</v>
      </c>
      <c r="D925">
        <v>1481.76</v>
      </c>
      <c r="E925" t="s">
        <v>7</v>
      </c>
    </row>
    <row r="926" spans="1:5" x14ac:dyDescent="0.25">
      <c r="A926" s="1">
        <v>44972</v>
      </c>
      <c r="B926" t="s">
        <v>941</v>
      </c>
      <c r="C926" t="s">
        <v>25</v>
      </c>
      <c r="D926">
        <v>1187.46</v>
      </c>
      <c r="E926" t="s">
        <v>7</v>
      </c>
    </row>
    <row r="927" spans="1:5" x14ac:dyDescent="0.25">
      <c r="A927" s="1">
        <v>44973</v>
      </c>
      <c r="B927" t="s">
        <v>942</v>
      </c>
      <c r="C927" t="s">
        <v>22</v>
      </c>
      <c r="D927">
        <v>1467.6</v>
      </c>
      <c r="E927" t="s">
        <v>7</v>
      </c>
    </row>
    <row r="928" spans="1:5" x14ac:dyDescent="0.25">
      <c r="A928" s="1">
        <v>44975</v>
      </c>
      <c r="B928" t="s">
        <v>943</v>
      </c>
      <c r="C928" t="s">
        <v>22</v>
      </c>
      <c r="D928">
        <v>309.63</v>
      </c>
      <c r="E928" t="s">
        <v>7</v>
      </c>
    </row>
    <row r="929" spans="1:5" x14ac:dyDescent="0.25">
      <c r="A929" s="1">
        <v>44977</v>
      </c>
      <c r="B929" t="s">
        <v>944</v>
      </c>
      <c r="C929" t="s">
        <v>6</v>
      </c>
      <c r="D929">
        <v>473.67</v>
      </c>
      <c r="E929" t="s">
        <v>7</v>
      </c>
    </row>
    <row r="930" spans="1:5" x14ac:dyDescent="0.25">
      <c r="A930" s="1">
        <v>44977</v>
      </c>
      <c r="B930" t="s">
        <v>945</v>
      </c>
      <c r="C930" t="s">
        <v>6</v>
      </c>
      <c r="D930">
        <v>1902.47</v>
      </c>
      <c r="E930" t="s">
        <v>7</v>
      </c>
    </row>
    <row r="931" spans="1:5" x14ac:dyDescent="0.25">
      <c r="A931" s="1">
        <v>44979</v>
      </c>
      <c r="B931" t="s">
        <v>946</v>
      </c>
      <c r="C931" t="s">
        <v>20</v>
      </c>
      <c r="D931">
        <v>3019</v>
      </c>
      <c r="E931" t="s">
        <v>14</v>
      </c>
    </row>
    <row r="932" spans="1:5" x14ac:dyDescent="0.25">
      <c r="A932" s="1">
        <v>44979</v>
      </c>
      <c r="B932" t="s">
        <v>947</v>
      </c>
      <c r="C932" t="s">
        <v>13</v>
      </c>
      <c r="D932">
        <v>3939</v>
      </c>
      <c r="E932" t="s">
        <v>14</v>
      </c>
    </row>
    <row r="933" spans="1:5" x14ac:dyDescent="0.25">
      <c r="A933" s="1">
        <v>44981</v>
      </c>
      <c r="B933" t="s">
        <v>948</v>
      </c>
      <c r="C933" t="s">
        <v>6</v>
      </c>
      <c r="D933">
        <v>1945.39</v>
      </c>
      <c r="E933" t="s">
        <v>7</v>
      </c>
    </row>
    <row r="934" spans="1:5" x14ac:dyDescent="0.25">
      <c r="A934" s="1">
        <v>44983</v>
      </c>
      <c r="B934" t="s">
        <v>949</v>
      </c>
      <c r="C934" t="s">
        <v>20</v>
      </c>
      <c r="D934">
        <v>1262</v>
      </c>
      <c r="E934" t="s">
        <v>14</v>
      </c>
    </row>
    <row r="935" spans="1:5" x14ac:dyDescent="0.25">
      <c r="A935" s="1">
        <v>44983</v>
      </c>
      <c r="B935" t="s">
        <v>950</v>
      </c>
      <c r="C935" t="s">
        <v>13</v>
      </c>
      <c r="D935">
        <v>4757</v>
      </c>
      <c r="E935" t="s">
        <v>14</v>
      </c>
    </row>
    <row r="936" spans="1:5" x14ac:dyDescent="0.25">
      <c r="A936" s="1">
        <v>44983</v>
      </c>
      <c r="B936" t="s">
        <v>951</v>
      </c>
      <c r="C936" t="s">
        <v>25</v>
      </c>
      <c r="D936">
        <v>922.33</v>
      </c>
      <c r="E936" t="s">
        <v>7</v>
      </c>
    </row>
    <row r="937" spans="1:5" x14ac:dyDescent="0.25">
      <c r="A937" s="1">
        <v>44985</v>
      </c>
      <c r="B937" t="s">
        <v>952</v>
      </c>
      <c r="C937" t="s">
        <v>11</v>
      </c>
      <c r="D937">
        <v>1015.8</v>
      </c>
      <c r="E937" t="s">
        <v>7</v>
      </c>
    </row>
    <row r="938" spans="1:5" x14ac:dyDescent="0.25">
      <c r="A938" s="1">
        <v>44988</v>
      </c>
      <c r="B938" t="s">
        <v>953</v>
      </c>
      <c r="C938" t="s">
        <v>17</v>
      </c>
      <c r="D938">
        <v>158.91</v>
      </c>
      <c r="E938" t="s">
        <v>7</v>
      </c>
    </row>
    <row r="939" spans="1:5" x14ac:dyDescent="0.25">
      <c r="A939" s="1">
        <v>44988</v>
      </c>
      <c r="B939" t="s">
        <v>954</v>
      </c>
      <c r="C939" t="s">
        <v>17</v>
      </c>
      <c r="D939">
        <v>1328.26</v>
      </c>
      <c r="E939" t="s">
        <v>7</v>
      </c>
    </row>
    <row r="940" spans="1:5" x14ac:dyDescent="0.25">
      <c r="A940" s="1">
        <v>44990</v>
      </c>
      <c r="B940" t="s">
        <v>955</v>
      </c>
      <c r="C940" t="s">
        <v>20</v>
      </c>
      <c r="D940">
        <v>2638</v>
      </c>
      <c r="E940" t="s">
        <v>14</v>
      </c>
    </row>
    <row r="941" spans="1:5" x14ac:dyDescent="0.25">
      <c r="A941" s="1">
        <v>44990</v>
      </c>
      <c r="B941" t="s">
        <v>956</v>
      </c>
      <c r="C941" t="s">
        <v>17</v>
      </c>
      <c r="D941">
        <v>1404.44</v>
      </c>
      <c r="E941" t="s">
        <v>7</v>
      </c>
    </row>
    <row r="942" spans="1:5" x14ac:dyDescent="0.25">
      <c r="A942" s="1">
        <v>44990</v>
      </c>
      <c r="B942" t="s">
        <v>957</v>
      </c>
      <c r="C942" t="s">
        <v>25</v>
      </c>
      <c r="D942">
        <v>910.99</v>
      </c>
      <c r="E942" t="s">
        <v>7</v>
      </c>
    </row>
    <row r="943" spans="1:5" x14ac:dyDescent="0.25">
      <c r="A943" s="1">
        <v>44992</v>
      </c>
      <c r="B943" t="s">
        <v>958</v>
      </c>
      <c r="C943" t="s">
        <v>22</v>
      </c>
      <c r="D943">
        <v>280.86</v>
      </c>
      <c r="E943" t="s">
        <v>7</v>
      </c>
    </row>
    <row r="944" spans="1:5" x14ac:dyDescent="0.25">
      <c r="A944" s="1">
        <v>44993</v>
      </c>
      <c r="B944" t="s">
        <v>959</v>
      </c>
      <c r="C944" t="s">
        <v>11</v>
      </c>
      <c r="D944">
        <v>319.27</v>
      </c>
      <c r="E944" t="s">
        <v>7</v>
      </c>
    </row>
    <row r="945" spans="1:5" x14ac:dyDescent="0.25">
      <c r="A945" s="1">
        <v>44993</v>
      </c>
      <c r="B945" t="s">
        <v>960</v>
      </c>
      <c r="C945" t="s">
        <v>20</v>
      </c>
      <c r="D945">
        <v>3072</v>
      </c>
      <c r="E945" t="s">
        <v>14</v>
      </c>
    </row>
    <row r="946" spans="1:5" x14ac:dyDescent="0.25">
      <c r="A946" s="1">
        <v>44993</v>
      </c>
      <c r="B946" t="s">
        <v>961</v>
      </c>
      <c r="C946" t="s">
        <v>25</v>
      </c>
      <c r="D946">
        <v>1929.62</v>
      </c>
      <c r="E946" t="s">
        <v>7</v>
      </c>
    </row>
    <row r="947" spans="1:5" x14ac:dyDescent="0.25">
      <c r="A947" s="1">
        <v>44993</v>
      </c>
      <c r="B947" t="s">
        <v>962</v>
      </c>
      <c r="C947" t="s">
        <v>35</v>
      </c>
      <c r="D947">
        <v>932.06</v>
      </c>
      <c r="E947" t="s">
        <v>7</v>
      </c>
    </row>
    <row r="948" spans="1:5" x14ac:dyDescent="0.25">
      <c r="A948" s="1">
        <v>44995</v>
      </c>
      <c r="B948" t="s">
        <v>963</v>
      </c>
      <c r="C948" t="s">
        <v>11</v>
      </c>
      <c r="D948">
        <v>323.64999999999998</v>
      </c>
      <c r="E948" t="s">
        <v>7</v>
      </c>
    </row>
    <row r="949" spans="1:5" x14ac:dyDescent="0.25">
      <c r="A949" s="1">
        <v>44995</v>
      </c>
      <c r="B949" t="s">
        <v>964</v>
      </c>
      <c r="C949" t="s">
        <v>6</v>
      </c>
      <c r="D949">
        <v>437.89</v>
      </c>
      <c r="E949" t="s">
        <v>7</v>
      </c>
    </row>
    <row r="950" spans="1:5" x14ac:dyDescent="0.25">
      <c r="A950" s="1">
        <v>44997</v>
      </c>
      <c r="B950" t="s">
        <v>965</v>
      </c>
      <c r="C950" t="s">
        <v>9</v>
      </c>
      <c r="D950">
        <v>191.51</v>
      </c>
      <c r="E950" t="s">
        <v>7</v>
      </c>
    </row>
    <row r="951" spans="1:5" x14ac:dyDescent="0.25">
      <c r="A951" s="1">
        <v>44998</v>
      </c>
      <c r="B951" t="s">
        <v>966</v>
      </c>
      <c r="C951" t="s">
        <v>25</v>
      </c>
      <c r="D951">
        <v>798.53</v>
      </c>
      <c r="E951" t="s">
        <v>7</v>
      </c>
    </row>
    <row r="952" spans="1:5" x14ac:dyDescent="0.25">
      <c r="A952" s="1">
        <v>44998</v>
      </c>
      <c r="B952" t="s">
        <v>967</v>
      </c>
      <c r="C952" t="s">
        <v>20</v>
      </c>
      <c r="D952">
        <v>2631</v>
      </c>
      <c r="E952" t="s">
        <v>14</v>
      </c>
    </row>
    <row r="953" spans="1:5" x14ac:dyDescent="0.25">
      <c r="A953" s="1">
        <v>44998</v>
      </c>
      <c r="B953" t="s">
        <v>968</v>
      </c>
      <c r="C953" t="s">
        <v>9</v>
      </c>
      <c r="D953">
        <v>71.849999999999994</v>
      </c>
      <c r="E953" t="s">
        <v>7</v>
      </c>
    </row>
    <row r="954" spans="1:5" x14ac:dyDescent="0.25">
      <c r="A954" s="1">
        <v>45000</v>
      </c>
      <c r="B954" t="s">
        <v>969</v>
      </c>
      <c r="C954" t="s">
        <v>27</v>
      </c>
      <c r="D954">
        <v>1116.3499999999999</v>
      </c>
      <c r="E954" t="s">
        <v>7</v>
      </c>
    </row>
    <row r="955" spans="1:5" x14ac:dyDescent="0.25">
      <c r="A955" s="1">
        <v>45000</v>
      </c>
      <c r="B955" t="s">
        <v>970</v>
      </c>
      <c r="C955" t="s">
        <v>11</v>
      </c>
      <c r="D955">
        <v>929.47</v>
      </c>
      <c r="E955" t="s">
        <v>7</v>
      </c>
    </row>
    <row r="956" spans="1:5" x14ac:dyDescent="0.25">
      <c r="A956" s="1">
        <v>45001</v>
      </c>
      <c r="B956" t="s">
        <v>971</v>
      </c>
      <c r="C956" t="s">
        <v>9</v>
      </c>
      <c r="D956">
        <v>251.69</v>
      </c>
      <c r="E956" t="s">
        <v>7</v>
      </c>
    </row>
    <row r="957" spans="1:5" x14ac:dyDescent="0.25">
      <c r="A957" s="1">
        <v>45001</v>
      </c>
      <c r="B957" t="s">
        <v>972</v>
      </c>
      <c r="C957" t="s">
        <v>13</v>
      </c>
      <c r="D957">
        <v>1570</v>
      </c>
      <c r="E957" t="s">
        <v>14</v>
      </c>
    </row>
    <row r="958" spans="1:5" x14ac:dyDescent="0.25">
      <c r="A958" s="1">
        <v>45003</v>
      </c>
      <c r="B958" t="s">
        <v>973</v>
      </c>
      <c r="C958" t="s">
        <v>20</v>
      </c>
      <c r="D958">
        <v>3549</v>
      </c>
      <c r="E958" t="s">
        <v>14</v>
      </c>
    </row>
    <row r="959" spans="1:5" x14ac:dyDescent="0.25">
      <c r="A959" s="1">
        <v>45003</v>
      </c>
      <c r="B959" t="s">
        <v>974</v>
      </c>
      <c r="C959" t="s">
        <v>11</v>
      </c>
      <c r="D959">
        <v>1168.82</v>
      </c>
      <c r="E959" t="s">
        <v>7</v>
      </c>
    </row>
    <row r="960" spans="1:5" x14ac:dyDescent="0.25">
      <c r="A960" s="1">
        <v>45006</v>
      </c>
      <c r="B960" t="s">
        <v>975</v>
      </c>
      <c r="C960" t="s">
        <v>11</v>
      </c>
      <c r="D960">
        <v>53.38</v>
      </c>
      <c r="E960" t="s">
        <v>7</v>
      </c>
    </row>
    <row r="961" spans="1:5" x14ac:dyDescent="0.25">
      <c r="A961" s="1">
        <v>45007</v>
      </c>
      <c r="B961" t="s">
        <v>976</v>
      </c>
      <c r="C961" t="s">
        <v>20</v>
      </c>
      <c r="D961">
        <v>1555</v>
      </c>
      <c r="E961" t="s">
        <v>14</v>
      </c>
    </row>
    <row r="962" spans="1:5" x14ac:dyDescent="0.25">
      <c r="A962" s="1">
        <v>45008</v>
      </c>
      <c r="B962" t="s">
        <v>977</v>
      </c>
      <c r="C962" t="s">
        <v>20</v>
      </c>
      <c r="D962">
        <v>1503</v>
      </c>
      <c r="E962" t="s">
        <v>14</v>
      </c>
    </row>
    <row r="963" spans="1:5" x14ac:dyDescent="0.25">
      <c r="A963" s="1">
        <v>45008</v>
      </c>
      <c r="B963" t="s">
        <v>978</v>
      </c>
      <c r="C963" t="s">
        <v>20</v>
      </c>
      <c r="D963">
        <v>914</v>
      </c>
      <c r="E963" t="s">
        <v>14</v>
      </c>
    </row>
    <row r="964" spans="1:5" x14ac:dyDescent="0.25">
      <c r="A964" s="1">
        <v>45008</v>
      </c>
      <c r="B964" t="s">
        <v>979</v>
      </c>
      <c r="C964" t="s">
        <v>20</v>
      </c>
      <c r="D964">
        <v>3735</v>
      </c>
      <c r="E964" t="s">
        <v>14</v>
      </c>
    </row>
    <row r="965" spans="1:5" x14ac:dyDescent="0.25">
      <c r="A965" s="1">
        <v>45009</v>
      </c>
      <c r="B965" t="s">
        <v>980</v>
      </c>
      <c r="C965" t="s">
        <v>17</v>
      </c>
      <c r="D965">
        <v>1369.59</v>
      </c>
      <c r="E965" t="s">
        <v>7</v>
      </c>
    </row>
    <row r="966" spans="1:5" x14ac:dyDescent="0.25">
      <c r="A966" s="1">
        <v>45012</v>
      </c>
      <c r="B966" t="s">
        <v>981</v>
      </c>
      <c r="C966" t="s">
        <v>13</v>
      </c>
      <c r="D966">
        <v>2033</v>
      </c>
      <c r="E966" t="s">
        <v>14</v>
      </c>
    </row>
    <row r="967" spans="1:5" x14ac:dyDescent="0.25">
      <c r="A967" s="1">
        <v>45014</v>
      </c>
      <c r="B967" t="s">
        <v>982</v>
      </c>
      <c r="C967" t="s">
        <v>27</v>
      </c>
      <c r="D967">
        <v>1768.01</v>
      </c>
      <c r="E967" t="s">
        <v>7</v>
      </c>
    </row>
    <row r="968" spans="1:5" x14ac:dyDescent="0.25">
      <c r="A968" s="1">
        <v>45015</v>
      </c>
      <c r="B968" t="s">
        <v>983</v>
      </c>
      <c r="C968" t="s">
        <v>13</v>
      </c>
      <c r="D968">
        <v>2917</v>
      </c>
      <c r="E968" t="s">
        <v>14</v>
      </c>
    </row>
    <row r="969" spans="1:5" x14ac:dyDescent="0.25">
      <c r="A969" s="1">
        <v>45016</v>
      </c>
      <c r="B969" t="s">
        <v>984</v>
      </c>
      <c r="C969" t="s">
        <v>27</v>
      </c>
      <c r="D969">
        <v>131.35</v>
      </c>
      <c r="E969" t="s">
        <v>7</v>
      </c>
    </row>
    <row r="970" spans="1:5" x14ac:dyDescent="0.25">
      <c r="A970" s="1">
        <v>45016</v>
      </c>
      <c r="B970" t="s">
        <v>985</v>
      </c>
      <c r="C970" t="s">
        <v>9</v>
      </c>
      <c r="D970">
        <v>844.28</v>
      </c>
      <c r="E970" t="s">
        <v>7</v>
      </c>
    </row>
    <row r="971" spans="1:5" x14ac:dyDescent="0.25">
      <c r="A971" s="1">
        <v>45017</v>
      </c>
      <c r="B971" t="s">
        <v>986</v>
      </c>
      <c r="C971" t="s">
        <v>22</v>
      </c>
      <c r="D971">
        <v>1265.2</v>
      </c>
      <c r="E971" t="s">
        <v>7</v>
      </c>
    </row>
    <row r="972" spans="1:5" x14ac:dyDescent="0.25">
      <c r="A972" s="1">
        <v>45017</v>
      </c>
      <c r="B972" t="s">
        <v>987</v>
      </c>
      <c r="C972" t="s">
        <v>6</v>
      </c>
      <c r="D972">
        <v>1978.91</v>
      </c>
      <c r="E972" t="s">
        <v>7</v>
      </c>
    </row>
    <row r="973" spans="1:5" x14ac:dyDescent="0.25">
      <c r="A973" s="1">
        <v>45020</v>
      </c>
      <c r="B973" t="s">
        <v>988</v>
      </c>
      <c r="C973" t="s">
        <v>25</v>
      </c>
      <c r="D973">
        <v>964.57</v>
      </c>
      <c r="E973" t="s">
        <v>7</v>
      </c>
    </row>
    <row r="974" spans="1:5" x14ac:dyDescent="0.25">
      <c r="A974" s="1">
        <v>45023</v>
      </c>
      <c r="B974" t="s">
        <v>989</v>
      </c>
      <c r="C974" t="s">
        <v>25</v>
      </c>
      <c r="D974">
        <v>1826.23</v>
      </c>
      <c r="E974" t="s">
        <v>7</v>
      </c>
    </row>
    <row r="975" spans="1:5" x14ac:dyDescent="0.25">
      <c r="A975" s="1">
        <v>45024</v>
      </c>
      <c r="B975" t="s">
        <v>990</v>
      </c>
      <c r="C975" t="s">
        <v>17</v>
      </c>
      <c r="D975">
        <v>548.16999999999996</v>
      </c>
      <c r="E975" t="s">
        <v>7</v>
      </c>
    </row>
    <row r="976" spans="1:5" x14ac:dyDescent="0.25">
      <c r="A976" s="1">
        <v>45025</v>
      </c>
      <c r="B976" t="s">
        <v>991</v>
      </c>
      <c r="C976" t="s">
        <v>13</v>
      </c>
      <c r="D976">
        <v>740</v>
      </c>
      <c r="E976" t="s">
        <v>14</v>
      </c>
    </row>
    <row r="977" spans="1:5" x14ac:dyDescent="0.25">
      <c r="A977" s="1">
        <v>45026</v>
      </c>
      <c r="B977" t="s">
        <v>992</v>
      </c>
      <c r="C977" t="s">
        <v>35</v>
      </c>
      <c r="D977">
        <v>126.6</v>
      </c>
      <c r="E977" t="s">
        <v>7</v>
      </c>
    </row>
    <row r="978" spans="1:5" x14ac:dyDescent="0.25">
      <c r="A978" s="1">
        <v>45026</v>
      </c>
      <c r="B978" t="s">
        <v>993</v>
      </c>
      <c r="C978" t="s">
        <v>25</v>
      </c>
      <c r="D978">
        <v>1536.02</v>
      </c>
      <c r="E978" t="s">
        <v>7</v>
      </c>
    </row>
    <row r="979" spans="1:5" x14ac:dyDescent="0.25">
      <c r="A979" s="1">
        <v>45029</v>
      </c>
      <c r="B979" t="s">
        <v>994</v>
      </c>
      <c r="C979" t="s">
        <v>9</v>
      </c>
      <c r="D979">
        <v>209.27</v>
      </c>
      <c r="E979" t="s">
        <v>7</v>
      </c>
    </row>
    <row r="980" spans="1:5" x14ac:dyDescent="0.25">
      <c r="A980" s="1">
        <v>45031</v>
      </c>
      <c r="B980" t="s">
        <v>995</v>
      </c>
      <c r="C980" t="s">
        <v>35</v>
      </c>
      <c r="D980">
        <v>1072.04</v>
      </c>
      <c r="E980" t="s">
        <v>7</v>
      </c>
    </row>
    <row r="981" spans="1:5" x14ac:dyDescent="0.25">
      <c r="A981" s="1">
        <v>45032</v>
      </c>
      <c r="B981" t="s">
        <v>996</v>
      </c>
      <c r="C981" t="s">
        <v>6</v>
      </c>
      <c r="D981">
        <v>1530.46</v>
      </c>
      <c r="E981" t="s">
        <v>7</v>
      </c>
    </row>
    <row r="982" spans="1:5" x14ac:dyDescent="0.25">
      <c r="A982" s="1">
        <v>45036</v>
      </c>
      <c r="B982" t="s">
        <v>997</v>
      </c>
      <c r="C982" t="s">
        <v>17</v>
      </c>
      <c r="D982">
        <v>716.06</v>
      </c>
      <c r="E982" t="s">
        <v>7</v>
      </c>
    </row>
    <row r="983" spans="1:5" x14ac:dyDescent="0.25">
      <c r="A983" s="1">
        <v>45036</v>
      </c>
      <c r="B983" t="s">
        <v>998</v>
      </c>
      <c r="C983" t="s">
        <v>9</v>
      </c>
      <c r="D983">
        <v>360.44</v>
      </c>
      <c r="E983" t="s">
        <v>7</v>
      </c>
    </row>
    <row r="984" spans="1:5" x14ac:dyDescent="0.25">
      <c r="A984" s="1">
        <v>45037</v>
      </c>
      <c r="B984" t="s">
        <v>999</v>
      </c>
      <c r="C984" t="s">
        <v>25</v>
      </c>
      <c r="D984">
        <v>1828.82</v>
      </c>
      <c r="E984" t="s">
        <v>7</v>
      </c>
    </row>
    <row r="985" spans="1:5" x14ac:dyDescent="0.25">
      <c r="A985" s="1">
        <v>45038</v>
      </c>
      <c r="B985" t="s">
        <v>1000</v>
      </c>
      <c r="C985" t="s">
        <v>20</v>
      </c>
      <c r="D985">
        <v>1664</v>
      </c>
      <c r="E985" t="s">
        <v>14</v>
      </c>
    </row>
    <row r="986" spans="1:5" x14ac:dyDescent="0.25">
      <c r="A986" s="1">
        <v>45038</v>
      </c>
      <c r="B986" t="s">
        <v>1001</v>
      </c>
      <c r="C986" t="s">
        <v>22</v>
      </c>
      <c r="D986">
        <v>1675.03</v>
      </c>
      <c r="E986" t="s">
        <v>7</v>
      </c>
    </row>
    <row r="987" spans="1:5" x14ac:dyDescent="0.25">
      <c r="A987" s="1">
        <v>45039</v>
      </c>
      <c r="B987" t="s">
        <v>1002</v>
      </c>
      <c r="C987" t="s">
        <v>27</v>
      </c>
      <c r="D987">
        <v>1088.83</v>
      </c>
      <c r="E987" t="s">
        <v>7</v>
      </c>
    </row>
    <row r="988" spans="1:5" x14ac:dyDescent="0.25">
      <c r="A988" s="1">
        <v>45040</v>
      </c>
      <c r="B988" t="s">
        <v>1003</v>
      </c>
      <c r="C988" t="s">
        <v>13</v>
      </c>
      <c r="D988">
        <v>1239</v>
      </c>
      <c r="E988" t="s">
        <v>14</v>
      </c>
    </row>
    <row r="989" spans="1:5" x14ac:dyDescent="0.25">
      <c r="A989" s="1">
        <v>45041</v>
      </c>
      <c r="B989" t="s">
        <v>1004</v>
      </c>
      <c r="C989" t="s">
        <v>13</v>
      </c>
      <c r="D989">
        <v>663</v>
      </c>
      <c r="E989" t="s">
        <v>14</v>
      </c>
    </row>
    <row r="990" spans="1:5" x14ac:dyDescent="0.25">
      <c r="A990" s="1">
        <v>45048</v>
      </c>
      <c r="B990" t="s">
        <v>1005</v>
      </c>
      <c r="C990" t="s">
        <v>6</v>
      </c>
      <c r="D990">
        <v>670.15</v>
      </c>
      <c r="E990" t="s">
        <v>7</v>
      </c>
    </row>
    <row r="991" spans="1:5" x14ac:dyDescent="0.25">
      <c r="A991" s="1">
        <v>45048</v>
      </c>
      <c r="B991" t="s">
        <v>1006</v>
      </c>
      <c r="C991" t="s">
        <v>9</v>
      </c>
      <c r="D991">
        <v>688.11</v>
      </c>
      <c r="E991" t="s">
        <v>7</v>
      </c>
    </row>
    <row r="992" spans="1:5" x14ac:dyDescent="0.25">
      <c r="A992" s="1">
        <v>45049</v>
      </c>
      <c r="B992" t="s">
        <v>1007</v>
      </c>
      <c r="C992" t="s">
        <v>20</v>
      </c>
      <c r="D992">
        <v>987</v>
      </c>
      <c r="E992" t="s">
        <v>14</v>
      </c>
    </row>
    <row r="993" spans="1:5" x14ac:dyDescent="0.25">
      <c r="A993" s="1">
        <v>45051</v>
      </c>
      <c r="B993" t="s">
        <v>1008</v>
      </c>
      <c r="C993" t="s">
        <v>13</v>
      </c>
      <c r="D993">
        <v>1408</v>
      </c>
      <c r="E993" t="s">
        <v>14</v>
      </c>
    </row>
    <row r="994" spans="1:5" x14ac:dyDescent="0.25">
      <c r="A994" s="1">
        <v>45051</v>
      </c>
      <c r="B994" t="s">
        <v>1009</v>
      </c>
      <c r="C994" t="s">
        <v>25</v>
      </c>
      <c r="D994">
        <v>1921.51</v>
      </c>
      <c r="E994" t="s">
        <v>7</v>
      </c>
    </row>
    <row r="995" spans="1:5" x14ac:dyDescent="0.25">
      <c r="A995" s="1">
        <v>45051</v>
      </c>
      <c r="B995" t="s">
        <v>1010</v>
      </c>
      <c r="C995" t="s">
        <v>17</v>
      </c>
      <c r="D995">
        <v>1176.17</v>
      </c>
      <c r="E995" t="s">
        <v>7</v>
      </c>
    </row>
    <row r="996" spans="1:5" x14ac:dyDescent="0.25">
      <c r="A996" s="1">
        <v>45053</v>
      </c>
      <c r="B996" t="s">
        <v>1011</v>
      </c>
      <c r="C996" t="s">
        <v>25</v>
      </c>
      <c r="D996">
        <v>281.54000000000002</v>
      </c>
      <c r="E996" t="s">
        <v>7</v>
      </c>
    </row>
    <row r="997" spans="1:5" x14ac:dyDescent="0.25">
      <c r="A997" s="1">
        <v>45058</v>
      </c>
      <c r="B997" t="s">
        <v>1012</v>
      </c>
      <c r="C997" t="s">
        <v>20</v>
      </c>
      <c r="D997">
        <v>4491</v>
      </c>
      <c r="E997" t="s">
        <v>14</v>
      </c>
    </row>
    <row r="998" spans="1:5" x14ac:dyDescent="0.25">
      <c r="A998" s="1">
        <v>45060</v>
      </c>
      <c r="B998" t="s">
        <v>1013</v>
      </c>
      <c r="C998" t="s">
        <v>9</v>
      </c>
      <c r="D998">
        <v>1417.29</v>
      </c>
      <c r="E998" t="s">
        <v>7</v>
      </c>
    </row>
    <row r="999" spans="1:5" x14ac:dyDescent="0.25">
      <c r="A999" s="1">
        <v>45060</v>
      </c>
      <c r="B999" t="s">
        <v>1014</v>
      </c>
      <c r="C999" t="s">
        <v>25</v>
      </c>
      <c r="D999">
        <v>454.24</v>
      </c>
      <c r="E999" t="s">
        <v>7</v>
      </c>
    </row>
    <row r="1000" spans="1:5" x14ac:dyDescent="0.25">
      <c r="A1000" s="1">
        <v>45060</v>
      </c>
      <c r="B1000" t="s">
        <v>1015</v>
      </c>
      <c r="C1000" t="s">
        <v>9</v>
      </c>
      <c r="D1000">
        <v>762.98</v>
      </c>
      <c r="E1000" t="s">
        <v>7</v>
      </c>
    </row>
    <row r="1001" spans="1:5" x14ac:dyDescent="0.25">
      <c r="A1001" s="1">
        <v>45061</v>
      </c>
      <c r="B1001" t="s">
        <v>1016</v>
      </c>
      <c r="C1001" t="s">
        <v>35</v>
      </c>
      <c r="D1001">
        <v>263.42</v>
      </c>
      <c r="E1001" t="s">
        <v>7</v>
      </c>
    </row>
    <row r="1002" spans="1:5" x14ac:dyDescent="0.25">
      <c r="A1002" s="1">
        <v>45061</v>
      </c>
      <c r="B1002" t="s">
        <v>1017</v>
      </c>
      <c r="C1002" t="s">
        <v>17</v>
      </c>
      <c r="D1002">
        <v>1703.01</v>
      </c>
      <c r="E1002" t="s">
        <v>7</v>
      </c>
    </row>
    <row r="1003" spans="1:5" x14ac:dyDescent="0.25">
      <c r="A1003" s="1">
        <v>45062</v>
      </c>
      <c r="B1003" t="s">
        <v>1018</v>
      </c>
      <c r="C1003" t="s">
        <v>6</v>
      </c>
      <c r="D1003">
        <v>372.34</v>
      </c>
      <c r="E1003" t="s">
        <v>7</v>
      </c>
    </row>
    <row r="1004" spans="1:5" x14ac:dyDescent="0.25">
      <c r="A1004" s="1">
        <v>45063</v>
      </c>
      <c r="B1004" t="s">
        <v>1019</v>
      </c>
      <c r="C1004" t="s">
        <v>22</v>
      </c>
      <c r="D1004">
        <v>1282.9000000000001</v>
      </c>
      <c r="E1004" t="s">
        <v>7</v>
      </c>
    </row>
    <row r="1005" spans="1:5" x14ac:dyDescent="0.25">
      <c r="A1005" s="1">
        <v>45064</v>
      </c>
      <c r="B1005" t="s">
        <v>1020</v>
      </c>
      <c r="C1005" t="s">
        <v>20</v>
      </c>
      <c r="D1005">
        <v>1652</v>
      </c>
      <c r="E1005" t="s">
        <v>14</v>
      </c>
    </row>
    <row r="1006" spans="1:5" x14ac:dyDescent="0.25">
      <c r="A1006" s="1">
        <v>45065</v>
      </c>
      <c r="B1006" t="s">
        <v>1021</v>
      </c>
      <c r="C1006" t="s">
        <v>11</v>
      </c>
      <c r="D1006">
        <v>483.61</v>
      </c>
      <c r="E1006" t="s">
        <v>7</v>
      </c>
    </row>
    <row r="1007" spans="1:5" x14ac:dyDescent="0.25">
      <c r="A1007" s="1">
        <v>45066</v>
      </c>
      <c r="B1007" t="s">
        <v>1022</v>
      </c>
      <c r="C1007" t="s">
        <v>9</v>
      </c>
      <c r="D1007">
        <v>1276.01</v>
      </c>
      <c r="E1007" t="s">
        <v>7</v>
      </c>
    </row>
    <row r="1008" spans="1:5" x14ac:dyDescent="0.25">
      <c r="A1008" s="1">
        <v>45066</v>
      </c>
      <c r="B1008" t="s">
        <v>1023</v>
      </c>
      <c r="C1008" t="s">
        <v>25</v>
      </c>
      <c r="D1008">
        <v>898.79</v>
      </c>
      <c r="E1008" t="s">
        <v>7</v>
      </c>
    </row>
    <row r="1009" spans="1:5" x14ac:dyDescent="0.25">
      <c r="A1009" s="1">
        <v>45066</v>
      </c>
      <c r="B1009" t="s">
        <v>1024</v>
      </c>
      <c r="C1009" t="s">
        <v>22</v>
      </c>
      <c r="D1009">
        <v>1389.42</v>
      </c>
      <c r="E1009" t="s">
        <v>7</v>
      </c>
    </row>
    <row r="1010" spans="1:5" x14ac:dyDescent="0.25">
      <c r="A1010" s="1">
        <v>45068</v>
      </c>
      <c r="B1010" t="s">
        <v>1025</v>
      </c>
      <c r="C1010" t="s">
        <v>11</v>
      </c>
      <c r="D1010">
        <v>1443.62</v>
      </c>
      <c r="E1010" t="s">
        <v>7</v>
      </c>
    </row>
    <row r="1011" spans="1:5" x14ac:dyDescent="0.25">
      <c r="A1011" s="1">
        <v>45068</v>
      </c>
      <c r="B1011" t="s">
        <v>1026</v>
      </c>
      <c r="C1011" t="s">
        <v>20</v>
      </c>
      <c r="D1011">
        <v>3937</v>
      </c>
      <c r="E1011" t="s">
        <v>14</v>
      </c>
    </row>
    <row r="1012" spans="1:5" x14ac:dyDescent="0.25">
      <c r="A1012" s="1">
        <v>45068</v>
      </c>
      <c r="B1012" t="s">
        <v>1027</v>
      </c>
      <c r="C1012" t="s">
        <v>17</v>
      </c>
      <c r="D1012">
        <v>991.23</v>
      </c>
      <c r="E1012" t="s">
        <v>7</v>
      </c>
    </row>
    <row r="1013" spans="1:5" x14ac:dyDescent="0.25">
      <c r="A1013" s="1">
        <v>45071</v>
      </c>
      <c r="B1013" t="s">
        <v>1028</v>
      </c>
      <c r="C1013" t="s">
        <v>17</v>
      </c>
      <c r="D1013">
        <v>211.84</v>
      </c>
      <c r="E1013" t="s">
        <v>7</v>
      </c>
    </row>
    <row r="1014" spans="1:5" x14ac:dyDescent="0.25">
      <c r="A1014" s="1">
        <v>45074</v>
      </c>
      <c r="B1014" t="s">
        <v>1029</v>
      </c>
      <c r="C1014" t="s">
        <v>22</v>
      </c>
      <c r="D1014">
        <v>333.69</v>
      </c>
      <c r="E1014" t="s">
        <v>7</v>
      </c>
    </row>
    <row r="1015" spans="1:5" x14ac:dyDescent="0.25">
      <c r="A1015" s="1">
        <v>45075</v>
      </c>
      <c r="B1015" t="s">
        <v>1030</v>
      </c>
      <c r="C1015" t="s">
        <v>13</v>
      </c>
      <c r="D1015">
        <v>2915</v>
      </c>
      <c r="E1015" t="s">
        <v>14</v>
      </c>
    </row>
    <row r="1016" spans="1:5" x14ac:dyDescent="0.25">
      <c r="A1016" s="1">
        <v>45075</v>
      </c>
      <c r="B1016" t="s">
        <v>1031</v>
      </c>
      <c r="C1016" t="s">
        <v>20</v>
      </c>
      <c r="D1016">
        <v>1357</v>
      </c>
      <c r="E1016" t="s">
        <v>14</v>
      </c>
    </row>
    <row r="1017" spans="1:5" x14ac:dyDescent="0.25">
      <c r="A1017" s="1">
        <v>45076</v>
      </c>
      <c r="B1017" t="s">
        <v>1032</v>
      </c>
      <c r="C1017" t="s">
        <v>13</v>
      </c>
      <c r="D1017">
        <v>3575</v>
      </c>
      <c r="E1017" t="s">
        <v>14</v>
      </c>
    </row>
    <row r="1018" spans="1:5" x14ac:dyDescent="0.25">
      <c r="A1018" s="1">
        <v>45079</v>
      </c>
      <c r="B1018" t="s">
        <v>1033</v>
      </c>
      <c r="C1018" t="s">
        <v>13</v>
      </c>
      <c r="D1018">
        <v>4981</v>
      </c>
      <c r="E1018" t="s">
        <v>14</v>
      </c>
    </row>
    <row r="1019" spans="1:5" x14ac:dyDescent="0.25">
      <c r="A1019" s="1">
        <v>45080</v>
      </c>
      <c r="B1019" t="s">
        <v>1034</v>
      </c>
      <c r="C1019" t="s">
        <v>11</v>
      </c>
      <c r="D1019">
        <v>682.52</v>
      </c>
      <c r="E1019" t="s">
        <v>7</v>
      </c>
    </row>
    <row r="1020" spans="1:5" x14ac:dyDescent="0.25">
      <c r="A1020" s="1">
        <v>45081</v>
      </c>
      <c r="B1020" t="s">
        <v>1035</v>
      </c>
      <c r="C1020" t="s">
        <v>27</v>
      </c>
      <c r="D1020">
        <v>1411.96</v>
      </c>
      <c r="E1020" t="s">
        <v>7</v>
      </c>
    </row>
    <row r="1021" spans="1:5" x14ac:dyDescent="0.25">
      <c r="A1021" s="1">
        <v>45082</v>
      </c>
      <c r="B1021" t="s">
        <v>1036</v>
      </c>
      <c r="C1021" t="s">
        <v>9</v>
      </c>
      <c r="D1021">
        <v>1218.56</v>
      </c>
      <c r="E1021" t="s">
        <v>7</v>
      </c>
    </row>
    <row r="1022" spans="1:5" x14ac:dyDescent="0.25">
      <c r="A1022" s="1">
        <v>45085</v>
      </c>
      <c r="B1022" t="s">
        <v>1037</v>
      </c>
      <c r="C1022" t="s">
        <v>6</v>
      </c>
      <c r="D1022">
        <v>211.5</v>
      </c>
      <c r="E1022" t="s">
        <v>7</v>
      </c>
    </row>
    <row r="1023" spans="1:5" x14ac:dyDescent="0.25">
      <c r="A1023" s="1">
        <v>45085</v>
      </c>
      <c r="B1023" t="s">
        <v>1038</v>
      </c>
      <c r="C1023" t="s">
        <v>22</v>
      </c>
      <c r="D1023">
        <v>824.47</v>
      </c>
      <c r="E1023" t="s">
        <v>7</v>
      </c>
    </row>
    <row r="1024" spans="1:5" x14ac:dyDescent="0.25">
      <c r="A1024" s="1">
        <v>45086</v>
      </c>
      <c r="B1024" t="s">
        <v>1039</v>
      </c>
      <c r="C1024" t="s">
        <v>35</v>
      </c>
      <c r="D1024">
        <v>1324.59</v>
      </c>
      <c r="E1024" t="s">
        <v>7</v>
      </c>
    </row>
    <row r="1025" spans="1:5" x14ac:dyDescent="0.25">
      <c r="A1025" s="1">
        <v>45086</v>
      </c>
      <c r="B1025" t="s">
        <v>1040</v>
      </c>
      <c r="C1025" t="s">
        <v>11</v>
      </c>
      <c r="D1025">
        <v>108.77</v>
      </c>
      <c r="E1025" t="s">
        <v>7</v>
      </c>
    </row>
    <row r="1026" spans="1:5" x14ac:dyDescent="0.25">
      <c r="A1026" s="1">
        <v>45087</v>
      </c>
      <c r="B1026" t="s">
        <v>1041</v>
      </c>
      <c r="C1026" t="s">
        <v>27</v>
      </c>
      <c r="D1026">
        <v>315.64</v>
      </c>
      <c r="E1026" t="s">
        <v>7</v>
      </c>
    </row>
    <row r="1027" spans="1:5" x14ac:dyDescent="0.25">
      <c r="A1027" s="1">
        <v>45087</v>
      </c>
      <c r="B1027" t="s">
        <v>1042</v>
      </c>
      <c r="C1027" t="s">
        <v>17</v>
      </c>
      <c r="D1027">
        <v>184.38</v>
      </c>
      <c r="E1027" t="s">
        <v>7</v>
      </c>
    </row>
    <row r="1028" spans="1:5" x14ac:dyDescent="0.25">
      <c r="A1028" s="1">
        <v>45090</v>
      </c>
      <c r="B1028" t="s">
        <v>1043</v>
      </c>
      <c r="C1028" t="s">
        <v>27</v>
      </c>
      <c r="D1028">
        <v>407.35</v>
      </c>
      <c r="E1028" t="s">
        <v>7</v>
      </c>
    </row>
    <row r="1029" spans="1:5" x14ac:dyDescent="0.25">
      <c r="A1029" s="1">
        <v>45092</v>
      </c>
      <c r="B1029" t="s">
        <v>1044</v>
      </c>
      <c r="C1029" t="s">
        <v>13</v>
      </c>
      <c r="D1029">
        <v>2890</v>
      </c>
      <c r="E1029" t="s">
        <v>14</v>
      </c>
    </row>
    <row r="1030" spans="1:5" x14ac:dyDescent="0.25">
      <c r="A1030" s="1">
        <v>45093</v>
      </c>
      <c r="B1030" t="s">
        <v>1045</v>
      </c>
      <c r="C1030" t="s">
        <v>27</v>
      </c>
      <c r="D1030">
        <v>1689.1</v>
      </c>
      <c r="E1030" t="s">
        <v>7</v>
      </c>
    </row>
    <row r="1031" spans="1:5" x14ac:dyDescent="0.25">
      <c r="A1031" s="1">
        <v>45093</v>
      </c>
      <c r="B1031" t="s">
        <v>1046</v>
      </c>
      <c r="C1031" t="s">
        <v>17</v>
      </c>
      <c r="D1031">
        <v>947.18</v>
      </c>
      <c r="E1031" t="s">
        <v>7</v>
      </c>
    </row>
    <row r="1032" spans="1:5" x14ac:dyDescent="0.25">
      <c r="A1032" s="1">
        <v>45094</v>
      </c>
      <c r="B1032" t="s">
        <v>1047</v>
      </c>
      <c r="C1032" t="s">
        <v>35</v>
      </c>
      <c r="D1032">
        <v>191.36</v>
      </c>
      <c r="E1032" t="s">
        <v>7</v>
      </c>
    </row>
    <row r="1033" spans="1:5" x14ac:dyDescent="0.25">
      <c r="A1033" s="1">
        <v>45094</v>
      </c>
      <c r="B1033" t="s">
        <v>1048</v>
      </c>
      <c r="C1033" t="s">
        <v>9</v>
      </c>
      <c r="D1033">
        <v>748.33</v>
      </c>
      <c r="E1033" t="s">
        <v>7</v>
      </c>
    </row>
    <row r="1034" spans="1:5" x14ac:dyDescent="0.25">
      <c r="A1034" s="1">
        <v>45096</v>
      </c>
      <c r="B1034" t="s">
        <v>1049</v>
      </c>
      <c r="C1034" t="s">
        <v>9</v>
      </c>
      <c r="D1034">
        <v>897.09</v>
      </c>
      <c r="E1034" t="s">
        <v>7</v>
      </c>
    </row>
    <row r="1035" spans="1:5" x14ac:dyDescent="0.25">
      <c r="A1035" s="1">
        <v>45098</v>
      </c>
      <c r="B1035" t="s">
        <v>1050</v>
      </c>
      <c r="C1035" t="s">
        <v>27</v>
      </c>
      <c r="D1035">
        <v>534.16999999999996</v>
      </c>
      <c r="E1035" t="s">
        <v>7</v>
      </c>
    </row>
    <row r="1036" spans="1:5" x14ac:dyDescent="0.25">
      <c r="A1036" s="1">
        <v>45099</v>
      </c>
      <c r="B1036" t="s">
        <v>1051</v>
      </c>
      <c r="C1036" t="s">
        <v>6</v>
      </c>
      <c r="D1036">
        <v>310.75</v>
      </c>
      <c r="E1036" t="s">
        <v>7</v>
      </c>
    </row>
    <row r="1037" spans="1:5" x14ac:dyDescent="0.25">
      <c r="A1037" s="1">
        <v>45099</v>
      </c>
      <c r="B1037" t="s">
        <v>1052</v>
      </c>
      <c r="C1037" t="s">
        <v>11</v>
      </c>
      <c r="D1037">
        <v>180.56</v>
      </c>
      <c r="E1037" t="s">
        <v>7</v>
      </c>
    </row>
    <row r="1038" spans="1:5" x14ac:dyDescent="0.25">
      <c r="A1038" s="1">
        <v>45100</v>
      </c>
      <c r="B1038" t="s">
        <v>1053</v>
      </c>
      <c r="C1038" t="s">
        <v>17</v>
      </c>
      <c r="D1038">
        <v>1941.7</v>
      </c>
      <c r="E1038" t="s">
        <v>7</v>
      </c>
    </row>
    <row r="1039" spans="1:5" x14ac:dyDescent="0.25">
      <c r="A1039" s="1">
        <v>45102</v>
      </c>
      <c r="B1039" t="s">
        <v>1054</v>
      </c>
      <c r="C1039" t="s">
        <v>6</v>
      </c>
      <c r="D1039">
        <v>1683.19</v>
      </c>
      <c r="E1039" t="s">
        <v>7</v>
      </c>
    </row>
    <row r="1040" spans="1:5" x14ac:dyDescent="0.25">
      <c r="A1040" s="1">
        <v>45102</v>
      </c>
      <c r="B1040" t="s">
        <v>1055</v>
      </c>
      <c r="C1040" t="s">
        <v>17</v>
      </c>
      <c r="D1040">
        <v>1931.6</v>
      </c>
      <c r="E1040" t="s">
        <v>7</v>
      </c>
    </row>
    <row r="1041" spans="1:5" x14ac:dyDescent="0.25">
      <c r="A1041" s="1">
        <v>45102</v>
      </c>
      <c r="B1041" t="s">
        <v>1056</v>
      </c>
      <c r="C1041" t="s">
        <v>27</v>
      </c>
      <c r="D1041">
        <v>1149.7</v>
      </c>
      <c r="E1041" t="s">
        <v>7</v>
      </c>
    </row>
    <row r="1042" spans="1:5" x14ac:dyDescent="0.25">
      <c r="A1042" s="1">
        <v>45103</v>
      </c>
      <c r="B1042" t="s">
        <v>1057</v>
      </c>
      <c r="C1042" t="s">
        <v>35</v>
      </c>
      <c r="D1042">
        <v>167.12</v>
      </c>
      <c r="E1042" t="s">
        <v>7</v>
      </c>
    </row>
    <row r="1043" spans="1:5" x14ac:dyDescent="0.25">
      <c r="A1043" s="1">
        <v>45107</v>
      </c>
      <c r="B1043" t="s">
        <v>1058</v>
      </c>
      <c r="C1043" t="s">
        <v>6</v>
      </c>
      <c r="D1043">
        <v>1009.18</v>
      </c>
      <c r="E1043" t="s">
        <v>7</v>
      </c>
    </row>
    <row r="1044" spans="1:5" x14ac:dyDescent="0.25">
      <c r="A1044" s="1">
        <v>45108</v>
      </c>
      <c r="B1044" t="s">
        <v>1059</v>
      </c>
      <c r="C1044" t="s">
        <v>9</v>
      </c>
      <c r="D1044">
        <v>249.36</v>
      </c>
      <c r="E1044" t="s">
        <v>7</v>
      </c>
    </row>
    <row r="1045" spans="1:5" x14ac:dyDescent="0.25">
      <c r="A1045" s="1">
        <v>45109</v>
      </c>
      <c r="B1045" t="s">
        <v>1060</v>
      </c>
      <c r="C1045" t="s">
        <v>9</v>
      </c>
      <c r="D1045">
        <v>1898.63</v>
      </c>
      <c r="E1045" t="s">
        <v>7</v>
      </c>
    </row>
    <row r="1046" spans="1:5" x14ac:dyDescent="0.25">
      <c r="A1046" s="1">
        <v>45112</v>
      </c>
      <c r="B1046" t="s">
        <v>1061</v>
      </c>
      <c r="C1046" t="s">
        <v>13</v>
      </c>
      <c r="D1046">
        <v>2078</v>
      </c>
      <c r="E1046" t="s">
        <v>14</v>
      </c>
    </row>
    <row r="1047" spans="1:5" x14ac:dyDescent="0.25">
      <c r="A1047" s="1">
        <v>45112</v>
      </c>
      <c r="B1047" t="s">
        <v>1062</v>
      </c>
      <c r="C1047" t="s">
        <v>20</v>
      </c>
      <c r="D1047">
        <v>1141</v>
      </c>
      <c r="E1047" t="s">
        <v>14</v>
      </c>
    </row>
    <row r="1048" spans="1:5" x14ac:dyDescent="0.25">
      <c r="A1048" s="1">
        <v>45113</v>
      </c>
      <c r="B1048" t="s">
        <v>1063</v>
      </c>
      <c r="C1048" t="s">
        <v>17</v>
      </c>
      <c r="D1048">
        <v>411.82</v>
      </c>
      <c r="E1048" t="s">
        <v>7</v>
      </c>
    </row>
    <row r="1049" spans="1:5" x14ac:dyDescent="0.25">
      <c r="A1049" s="1">
        <v>45114</v>
      </c>
      <c r="B1049" t="s">
        <v>1064</v>
      </c>
      <c r="C1049" t="s">
        <v>9</v>
      </c>
      <c r="D1049">
        <v>1669.88</v>
      </c>
      <c r="E1049" t="s">
        <v>7</v>
      </c>
    </row>
    <row r="1050" spans="1:5" x14ac:dyDescent="0.25">
      <c r="A1050" s="1">
        <v>45114</v>
      </c>
      <c r="B1050" t="s">
        <v>1065</v>
      </c>
      <c r="C1050" t="s">
        <v>11</v>
      </c>
      <c r="D1050">
        <v>183.18</v>
      </c>
      <c r="E1050" t="s">
        <v>7</v>
      </c>
    </row>
    <row r="1051" spans="1:5" x14ac:dyDescent="0.25">
      <c r="A1051" s="1">
        <v>45117</v>
      </c>
      <c r="B1051" t="s">
        <v>1066</v>
      </c>
      <c r="C1051" t="s">
        <v>25</v>
      </c>
      <c r="D1051">
        <v>1714.68</v>
      </c>
      <c r="E1051" t="s">
        <v>7</v>
      </c>
    </row>
    <row r="1052" spans="1:5" x14ac:dyDescent="0.25">
      <c r="A1052" s="1">
        <v>45117</v>
      </c>
      <c r="B1052" t="s">
        <v>1067</v>
      </c>
      <c r="C1052" t="s">
        <v>6</v>
      </c>
      <c r="D1052">
        <v>1575.24</v>
      </c>
      <c r="E1052" t="s">
        <v>7</v>
      </c>
    </row>
    <row r="1053" spans="1:5" x14ac:dyDescent="0.25">
      <c r="A1053" s="1">
        <v>45117</v>
      </c>
      <c r="B1053" t="s">
        <v>1068</v>
      </c>
      <c r="C1053" t="s">
        <v>17</v>
      </c>
      <c r="D1053">
        <v>233.91</v>
      </c>
      <c r="E1053" t="s">
        <v>7</v>
      </c>
    </row>
    <row r="1054" spans="1:5" x14ac:dyDescent="0.25">
      <c r="A1054" s="1">
        <v>45117</v>
      </c>
      <c r="B1054" t="s">
        <v>1069</v>
      </c>
      <c r="C1054" t="s">
        <v>13</v>
      </c>
      <c r="D1054">
        <v>1365</v>
      </c>
      <c r="E1054" t="s">
        <v>14</v>
      </c>
    </row>
    <row r="1055" spans="1:5" x14ac:dyDescent="0.25">
      <c r="A1055" s="1">
        <v>45118</v>
      </c>
      <c r="B1055" t="s">
        <v>1070</v>
      </c>
      <c r="C1055" t="s">
        <v>11</v>
      </c>
      <c r="D1055">
        <v>1573.63</v>
      </c>
      <c r="E1055" t="s">
        <v>7</v>
      </c>
    </row>
    <row r="1056" spans="1:5" x14ac:dyDescent="0.25">
      <c r="A1056" s="1">
        <v>45120</v>
      </c>
      <c r="B1056" t="s">
        <v>1071</v>
      </c>
      <c r="C1056" t="s">
        <v>25</v>
      </c>
      <c r="D1056">
        <v>1757.01</v>
      </c>
      <c r="E1056" t="s">
        <v>7</v>
      </c>
    </row>
    <row r="1057" spans="1:5" x14ac:dyDescent="0.25">
      <c r="A1057" s="1">
        <v>45122</v>
      </c>
      <c r="B1057" t="s">
        <v>1072</v>
      </c>
      <c r="C1057" t="s">
        <v>27</v>
      </c>
      <c r="D1057">
        <v>1148.33</v>
      </c>
      <c r="E1057" t="s">
        <v>7</v>
      </c>
    </row>
    <row r="1058" spans="1:5" x14ac:dyDescent="0.25">
      <c r="A1058" s="1">
        <v>45122</v>
      </c>
      <c r="B1058" t="s">
        <v>1073</v>
      </c>
      <c r="C1058" t="s">
        <v>9</v>
      </c>
      <c r="D1058">
        <v>558.07000000000005</v>
      </c>
      <c r="E1058" t="s">
        <v>7</v>
      </c>
    </row>
    <row r="1059" spans="1:5" x14ac:dyDescent="0.25">
      <c r="A1059" s="1">
        <v>45122</v>
      </c>
      <c r="B1059" t="s">
        <v>1074</v>
      </c>
      <c r="C1059" t="s">
        <v>20</v>
      </c>
      <c r="D1059">
        <v>817</v>
      </c>
      <c r="E1059" t="s">
        <v>14</v>
      </c>
    </row>
    <row r="1060" spans="1:5" x14ac:dyDescent="0.25">
      <c r="A1060" s="1">
        <v>45122</v>
      </c>
      <c r="B1060" t="s">
        <v>1075</v>
      </c>
      <c r="C1060" t="s">
        <v>25</v>
      </c>
      <c r="D1060">
        <v>1384.12</v>
      </c>
      <c r="E1060" t="s">
        <v>7</v>
      </c>
    </row>
    <row r="1061" spans="1:5" x14ac:dyDescent="0.25">
      <c r="A1061" s="1">
        <v>45122</v>
      </c>
      <c r="B1061" t="s">
        <v>1076</v>
      </c>
      <c r="C1061" t="s">
        <v>20</v>
      </c>
      <c r="D1061">
        <v>2700</v>
      </c>
      <c r="E1061" t="s">
        <v>14</v>
      </c>
    </row>
    <row r="1062" spans="1:5" x14ac:dyDescent="0.25">
      <c r="A1062" s="1">
        <v>45123</v>
      </c>
      <c r="B1062" t="s">
        <v>1077</v>
      </c>
      <c r="C1062" t="s">
        <v>6</v>
      </c>
      <c r="D1062">
        <v>682.35</v>
      </c>
      <c r="E1062" t="s">
        <v>7</v>
      </c>
    </row>
    <row r="1063" spans="1:5" x14ac:dyDescent="0.25">
      <c r="A1063" s="1">
        <v>45124</v>
      </c>
      <c r="B1063" t="s">
        <v>1078</v>
      </c>
      <c r="C1063" t="s">
        <v>35</v>
      </c>
      <c r="D1063">
        <v>567.89</v>
      </c>
      <c r="E1063" t="s">
        <v>7</v>
      </c>
    </row>
    <row r="1064" spans="1:5" x14ac:dyDescent="0.25">
      <c r="A1064" s="1">
        <v>45125</v>
      </c>
      <c r="B1064" t="s">
        <v>1079</v>
      </c>
      <c r="C1064" t="s">
        <v>11</v>
      </c>
      <c r="D1064">
        <v>1945.27</v>
      </c>
      <c r="E1064" t="s">
        <v>7</v>
      </c>
    </row>
    <row r="1065" spans="1:5" x14ac:dyDescent="0.25">
      <c r="A1065" s="1">
        <v>45126</v>
      </c>
      <c r="B1065" t="s">
        <v>1080</v>
      </c>
      <c r="C1065" t="s">
        <v>35</v>
      </c>
      <c r="D1065">
        <v>1948.7</v>
      </c>
      <c r="E1065" t="s">
        <v>7</v>
      </c>
    </row>
    <row r="1066" spans="1:5" x14ac:dyDescent="0.25">
      <c r="A1066" s="1">
        <v>45126</v>
      </c>
      <c r="B1066" t="s">
        <v>1081</v>
      </c>
      <c r="C1066" t="s">
        <v>25</v>
      </c>
      <c r="D1066">
        <v>546.15</v>
      </c>
      <c r="E1066" t="s">
        <v>7</v>
      </c>
    </row>
    <row r="1067" spans="1:5" x14ac:dyDescent="0.25">
      <c r="A1067" s="1">
        <v>45127</v>
      </c>
      <c r="B1067" t="s">
        <v>1082</v>
      </c>
      <c r="C1067" t="s">
        <v>11</v>
      </c>
      <c r="D1067">
        <v>383.99</v>
      </c>
      <c r="E1067" t="s">
        <v>7</v>
      </c>
    </row>
    <row r="1068" spans="1:5" x14ac:dyDescent="0.25">
      <c r="A1068" s="1">
        <v>45128</v>
      </c>
      <c r="B1068" t="s">
        <v>1083</v>
      </c>
      <c r="C1068" t="s">
        <v>17</v>
      </c>
      <c r="D1068">
        <v>1484.48</v>
      </c>
      <c r="E1068" t="s">
        <v>7</v>
      </c>
    </row>
    <row r="1069" spans="1:5" x14ac:dyDescent="0.25">
      <c r="A1069" s="1">
        <v>45130</v>
      </c>
      <c r="B1069" t="s">
        <v>1084</v>
      </c>
      <c r="C1069" t="s">
        <v>25</v>
      </c>
      <c r="D1069">
        <v>1643.82</v>
      </c>
      <c r="E1069" t="s">
        <v>7</v>
      </c>
    </row>
    <row r="1070" spans="1:5" x14ac:dyDescent="0.25">
      <c r="A1070" s="1">
        <v>45132</v>
      </c>
      <c r="B1070" t="s">
        <v>1085</v>
      </c>
      <c r="C1070" t="s">
        <v>9</v>
      </c>
      <c r="D1070">
        <v>140.58000000000001</v>
      </c>
      <c r="E1070" t="s">
        <v>7</v>
      </c>
    </row>
    <row r="1071" spans="1:5" x14ac:dyDescent="0.25">
      <c r="A1071" s="1">
        <v>45133</v>
      </c>
      <c r="B1071" t="s">
        <v>1086</v>
      </c>
      <c r="C1071" t="s">
        <v>17</v>
      </c>
      <c r="D1071">
        <v>279.94</v>
      </c>
      <c r="E1071" t="s">
        <v>7</v>
      </c>
    </row>
    <row r="1072" spans="1:5" x14ac:dyDescent="0.25">
      <c r="A1072" s="1">
        <v>45134</v>
      </c>
      <c r="B1072" t="s">
        <v>1087</v>
      </c>
      <c r="C1072" t="s">
        <v>6</v>
      </c>
      <c r="D1072">
        <v>355.74</v>
      </c>
      <c r="E1072" t="s">
        <v>7</v>
      </c>
    </row>
    <row r="1073" spans="1:5" x14ac:dyDescent="0.25">
      <c r="A1073" s="1">
        <v>45134</v>
      </c>
      <c r="B1073" t="s">
        <v>1088</v>
      </c>
      <c r="C1073" t="s">
        <v>22</v>
      </c>
      <c r="D1073">
        <v>1675.58</v>
      </c>
      <c r="E1073" t="s">
        <v>7</v>
      </c>
    </row>
    <row r="1074" spans="1:5" x14ac:dyDescent="0.25">
      <c r="A1074" s="1">
        <v>45137</v>
      </c>
      <c r="B1074" t="s">
        <v>1089</v>
      </c>
      <c r="C1074" t="s">
        <v>27</v>
      </c>
      <c r="D1074">
        <v>110.61</v>
      </c>
      <c r="E1074" t="s">
        <v>7</v>
      </c>
    </row>
    <row r="1075" spans="1:5" x14ac:dyDescent="0.25">
      <c r="A1075" s="1">
        <v>45139</v>
      </c>
      <c r="B1075" t="s">
        <v>1090</v>
      </c>
      <c r="C1075" t="s">
        <v>22</v>
      </c>
      <c r="D1075">
        <v>555.22</v>
      </c>
      <c r="E1075" t="s">
        <v>7</v>
      </c>
    </row>
    <row r="1076" spans="1:5" x14ac:dyDescent="0.25">
      <c r="A1076" s="1">
        <v>45142</v>
      </c>
      <c r="B1076" t="s">
        <v>1091</v>
      </c>
      <c r="C1076" t="s">
        <v>17</v>
      </c>
      <c r="D1076">
        <v>1274.47</v>
      </c>
      <c r="E1076" t="s">
        <v>7</v>
      </c>
    </row>
    <row r="1077" spans="1:5" x14ac:dyDescent="0.25">
      <c r="A1077" s="1">
        <v>45143</v>
      </c>
      <c r="B1077" t="s">
        <v>1092</v>
      </c>
      <c r="C1077" t="s">
        <v>13</v>
      </c>
      <c r="D1077">
        <v>2481</v>
      </c>
      <c r="E1077" t="s">
        <v>14</v>
      </c>
    </row>
    <row r="1078" spans="1:5" x14ac:dyDescent="0.25">
      <c r="A1078" s="1">
        <v>45145</v>
      </c>
      <c r="B1078" t="s">
        <v>1093</v>
      </c>
      <c r="C1078" t="s">
        <v>27</v>
      </c>
      <c r="D1078">
        <v>363.39</v>
      </c>
      <c r="E1078" t="s">
        <v>7</v>
      </c>
    </row>
    <row r="1079" spans="1:5" x14ac:dyDescent="0.25">
      <c r="A1079" s="1">
        <v>45145</v>
      </c>
      <c r="B1079" t="s">
        <v>1094</v>
      </c>
      <c r="C1079" t="s">
        <v>25</v>
      </c>
      <c r="D1079">
        <v>695.06</v>
      </c>
      <c r="E1079" t="s">
        <v>7</v>
      </c>
    </row>
    <row r="1080" spans="1:5" x14ac:dyDescent="0.25">
      <c r="A1080" s="1">
        <v>45147</v>
      </c>
      <c r="B1080" t="s">
        <v>1095</v>
      </c>
      <c r="C1080" t="s">
        <v>35</v>
      </c>
      <c r="D1080">
        <v>1500.43</v>
      </c>
      <c r="E1080" t="s">
        <v>7</v>
      </c>
    </row>
    <row r="1081" spans="1:5" x14ac:dyDescent="0.25">
      <c r="A1081" s="1">
        <v>45147</v>
      </c>
      <c r="B1081" t="s">
        <v>1096</v>
      </c>
      <c r="C1081" t="s">
        <v>35</v>
      </c>
      <c r="D1081">
        <v>64.63</v>
      </c>
      <c r="E1081" t="s">
        <v>7</v>
      </c>
    </row>
    <row r="1082" spans="1:5" x14ac:dyDescent="0.25">
      <c r="A1082" s="1">
        <v>45148</v>
      </c>
      <c r="B1082" t="s">
        <v>1097</v>
      </c>
      <c r="C1082" t="s">
        <v>13</v>
      </c>
      <c r="D1082">
        <v>2313</v>
      </c>
      <c r="E1082" t="s">
        <v>14</v>
      </c>
    </row>
    <row r="1083" spans="1:5" x14ac:dyDescent="0.25">
      <c r="A1083" s="1">
        <v>45148</v>
      </c>
      <c r="B1083" t="s">
        <v>1098</v>
      </c>
      <c r="C1083" t="s">
        <v>22</v>
      </c>
      <c r="D1083">
        <v>545.48</v>
      </c>
      <c r="E1083" t="s">
        <v>7</v>
      </c>
    </row>
    <row r="1084" spans="1:5" x14ac:dyDescent="0.25">
      <c r="A1084" s="1">
        <v>45149</v>
      </c>
      <c r="B1084" t="s">
        <v>1099</v>
      </c>
      <c r="C1084" t="s">
        <v>6</v>
      </c>
      <c r="D1084">
        <v>1730.61</v>
      </c>
      <c r="E1084" t="s">
        <v>7</v>
      </c>
    </row>
    <row r="1085" spans="1:5" x14ac:dyDescent="0.25">
      <c r="A1085" s="1">
        <v>45154</v>
      </c>
      <c r="B1085" t="s">
        <v>1100</v>
      </c>
      <c r="C1085" t="s">
        <v>6</v>
      </c>
      <c r="D1085">
        <v>953.45</v>
      </c>
      <c r="E1085" t="s">
        <v>7</v>
      </c>
    </row>
    <row r="1086" spans="1:5" x14ac:dyDescent="0.25">
      <c r="A1086" s="1">
        <v>45155</v>
      </c>
      <c r="B1086" t="s">
        <v>1101</v>
      </c>
      <c r="C1086" t="s">
        <v>13</v>
      </c>
      <c r="D1086">
        <v>569</v>
      </c>
      <c r="E1086" t="s">
        <v>14</v>
      </c>
    </row>
    <row r="1087" spans="1:5" x14ac:dyDescent="0.25">
      <c r="A1087" s="1">
        <v>45155</v>
      </c>
      <c r="B1087" t="s">
        <v>1102</v>
      </c>
      <c r="C1087" t="s">
        <v>35</v>
      </c>
      <c r="D1087">
        <v>1428.35</v>
      </c>
      <c r="E1087" t="s">
        <v>7</v>
      </c>
    </row>
    <row r="1088" spans="1:5" x14ac:dyDescent="0.25">
      <c r="A1088" s="1">
        <v>45159</v>
      </c>
      <c r="B1088" t="s">
        <v>1103</v>
      </c>
      <c r="C1088" t="s">
        <v>35</v>
      </c>
      <c r="D1088">
        <v>853.38</v>
      </c>
      <c r="E1088" t="s">
        <v>7</v>
      </c>
    </row>
    <row r="1089" spans="1:5" x14ac:dyDescent="0.25">
      <c r="A1089" s="1">
        <v>45160</v>
      </c>
      <c r="B1089" t="s">
        <v>1104</v>
      </c>
      <c r="C1089" t="s">
        <v>25</v>
      </c>
      <c r="D1089">
        <v>923.41</v>
      </c>
      <c r="E1089" t="s">
        <v>7</v>
      </c>
    </row>
    <row r="1090" spans="1:5" x14ac:dyDescent="0.25">
      <c r="A1090" s="1">
        <v>45161</v>
      </c>
      <c r="B1090" t="s">
        <v>1105</v>
      </c>
      <c r="C1090" t="s">
        <v>35</v>
      </c>
      <c r="D1090">
        <v>1357.62</v>
      </c>
      <c r="E1090" t="s">
        <v>7</v>
      </c>
    </row>
    <row r="1091" spans="1:5" x14ac:dyDescent="0.25">
      <c r="A1091" s="1">
        <v>45163</v>
      </c>
      <c r="B1091" t="s">
        <v>1106</v>
      </c>
      <c r="C1091" t="s">
        <v>17</v>
      </c>
      <c r="D1091">
        <v>1173.1300000000001</v>
      </c>
      <c r="E1091" t="s">
        <v>7</v>
      </c>
    </row>
    <row r="1092" spans="1:5" x14ac:dyDescent="0.25">
      <c r="A1092" s="1">
        <v>45165</v>
      </c>
      <c r="B1092" t="s">
        <v>1107</v>
      </c>
      <c r="C1092" t="s">
        <v>20</v>
      </c>
      <c r="D1092">
        <v>2815</v>
      </c>
      <c r="E1092" t="s">
        <v>14</v>
      </c>
    </row>
    <row r="1093" spans="1:5" x14ac:dyDescent="0.25">
      <c r="A1093" s="1">
        <v>45168</v>
      </c>
      <c r="B1093" t="s">
        <v>1108</v>
      </c>
      <c r="C1093" t="s">
        <v>11</v>
      </c>
      <c r="D1093">
        <v>968.66</v>
      </c>
      <c r="E1093" t="s">
        <v>7</v>
      </c>
    </row>
    <row r="1094" spans="1:5" x14ac:dyDescent="0.25">
      <c r="A1094" s="1">
        <v>45168</v>
      </c>
      <c r="B1094" t="s">
        <v>1109</v>
      </c>
      <c r="C1094" t="s">
        <v>35</v>
      </c>
      <c r="D1094">
        <v>1284.78</v>
      </c>
      <c r="E1094" t="s">
        <v>7</v>
      </c>
    </row>
    <row r="1095" spans="1:5" x14ac:dyDescent="0.25">
      <c r="A1095" s="1">
        <v>45168</v>
      </c>
      <c r="B1095" t="s">
        <v>1110</v>
      </c>
      <c r="C1095" t="s">
        <v>35</v>
      </c>
      <c r="D1095">
        <v>1315.68</v>
      </c>
      <c r="E1095" t="s">
        <v>7</v>
      </c>
    </row>
    <row r="1096" spans="1:5" x14ac:dyDescent="0.25">
      <c r="A1096" s="1">
        <v>45168</v>
      </c>
      <c r="B1096" t="s">
        <v>1111</v>
      </c>
      <c r="C1096" t="s">
        <v>35</v>
      </c>
      <c r="D1096">
        <v>384.84</v>
      </c>
      <c r="E1096" t="s">
        <v>7</v>
      </c>
    </row>
    <row r="1097" spans="1:5" x14ac:dyDescent="0.25">
      <c r="A1097" s="1">
        <v>45170</v>
      </c>
      <c r="B1097" t="s">
        <v>1112</v>
      </c>
      <c r="C1097" t="s">
        <v>22</v>
      </c>
      <c r="D1097">
        <v>1800.38</v>
      </c>
      <c r="E1097" t="s">
        <v>7</v>
      </c>
    </row>
    <row r="1098" spans="1:5" x14ac:dyDescent="0.25">
      <c r="A1098" s="1">
        <v>45170</v>
      </c>
      <c r="B1098" t="s">
        <v>1113</v>
      </c>
      <c r="C1098" t="s">
        <v>17</v>
      </c>
      <c r="D1098">
        <v>1324.46</v>
      </c>
      <c r="E1098" t="s">
        <v>7</v>
      </c>
    </row>
    <row r="1099" spans="1:5" x14ac:dyDescent="0.25">
      <c r="A1099" s="1">
        <v>45172</v>
      </c>
      <c r="B1099" t="s">
        <v>1114</v>
      </c>
      <c r="C1099" t="s">
        <v>6</v>
      </c>
      <c r="D1099">
        <v>1314.25</v>
      </c>
      <c r="E1099" t="s">
        <v>7</v>
      </c>
    </row>
    <row r="1100" spans="1:5" x14ac:dyDescent="0.25">
      <c r="A1100" s="1">
        <v>45173</v>
      </c>
      <c r="B1100" t="s">
        <v>1115</v>
      </c>
      <c r="C1100" t="s">
        <v>35</v>
      </c>
      <c r="D1100">
        <v>1814.75</v>
      </c>
      <c r="E1100" t="s">
        <v>7</v>
      </c>
    </row>
    <row r="1101" spans="1:5" x14ac:dyDescent="0.25">
      <c r="A1101" s="1">
        <v>45173</v>
      </c>
      <c r="B1101" t="s">
        <v>1116</v>
      </c>
      <c r="C1101" t="s">
        <v>6</v>
      </c>
      <c r="D1101">
        <v>1170.22</v>
      </c>
      <c r="E1101" t="s">
        <v>7</v>
      </c>
    </row>
    <row r="1102" spans="1:5" x14ac:dyDescent="0.25">
      <c r="A1102" s="1">
        <v>45173</v>
      </c>
      <c r="B1102" t="s">
        <v>1117</v>
      </c>
      <c r="C1102" t="s">
        <v>22</v>
      </c>
      <c r="D1102">
        <v>692.9</v>
      </c>
      <c r="E1102" t="s">
        <v>7</v>
      </c>
    </row>
    <row r="1103" spans="1:5" x14ac:dyDescent="0.25">
      <c r="A1103" s="1">
        <v>45176</v>
      </c>
      <c r="B1103" t="s">
        <v>1118</v>
      </c>
      <c r="C1103" t="s">
        <v>27</v>
      </c>
      <c r="D1103">
        <v>1813.99</v>
      </c>
      <c r="E1103" t="s">
        <v>7</v>
      </c>
    </row>
    <row r="1104" spans="1:5" x14ac:dyDescent="0.25">
      <c r="A1104" s="1">
        <v>45179</v>
      </c>
      <c r="B1104" t="s">
        <v>1119</v>
      </c>
      <c r="C1104" t="s">
        <v>35</v>
      </c>
      <c r="D1104">
        <v>1692.38</v>
      </c>
      <c r="E1104" t="s">
        <v>7</v>
      </c>
    </row>
    <row r="1105" spans="1:5" x14ac:dyDescent="0.25">
      <c r="A1105" s="1">
        <v>45180</v>
      </c>
      <c r="B1105" t="s">
        <v>1120</v>
      </c>
      <c r="C1105" t="s">
        <v>9</v>
      </c>
      <c r="D1105">
        <v>594.63</v>
      </c>
      <c r="E1105" t="s">
        <v>7</v>
      </c>
    </row>
    <row r="1106" spans="1:5" x14ac:dyDescent="0.25">
      <c r="A1106" s="1">
        <v>45180</v>
      </c>
      <c r="B1106" t="s">
        <v>1121</v>
      </c>
      <c r="C1106" t="s">
        <v>35</v>
      </c>
      <c r="D1106">
        <v>1453.12</v>
      </c>
      <c r="E1106" t="s">
        <v>7</v>
      </c>
    </row>
    <row r="1107" spans="1:5" x14ac:dyDescent="0.25">
      <c r="A1107" s="1">
        <v>45181</v>
      </c>
      <c r="B1107" t="s">
        <v>1122</v>
      </c>
      <c r="C1107" t="s">
        <v>9</v>
      </c>
      <c r="D1107">
        <v>1894.38</v>
      </c>
      <c r="E1107" t="s">
        <v>7</v>
      </c>
    </row>
    <row r="1108" spans="1:5" x14ac:dyDescent="0.25">
      <c r="A1108" s="1">
        <v>45181</v>
      </c>
      <c r="B1108" t="s">
        <v>1123</v>
      </c>
      <c r="C1108" t="s">
        <v>11</v>
      </c>
      <c r="D1108">
        <v>452.28</v>
      </c>
      <c r="E1108" t="s">
        <v>7</v>
      </c>
    </row>
    <row r="1109" spans="1:5" x14ac:dyDescent="0.25">
      <c r="A1109" s="1">
        <v>45182</v>
      </c>
      <c r="B1109" t="s">
        <v>1124</v>
      </c>
      <c r="C1109" t="s">
        <v>35</v>
      </c>
      <c r="D1109">
        <v>846.74</v>
      </c>
      <c r="E1109" t="s">
        <v>7</v>
      </c>
    </row>
    <row r="1110" spans="1:5" x14ac:dyDescent="0.25">
      <c r="A1110" s="1">
        <v>45183</v>
      </c>
      <c r="B1110" t="s">
        <v>1125</v>
      </c>
      <c r="C1110" t="s">
        <v>25</v>
      </c>
      <c r="D1110">
        <v>528.51</v>
      </c>
      <c r="E1110" t="s">
        <v>7</v>
      </c>
    </row>
    <row r="1111" spans="1:5" x14ac:dyDescent="0.25">
      <c r="A1111" s="1">
        <v>45183</v>
      </c>
      <c r="B1111" t="s">
        <v>1126</v>
      </c>
      <c r="C1111" t="s">
        <v>11</v>
      </c>
      <c r="D1111">
        <v>946.37</v>
      </c>
      <c r="E1111" t="s">
        <v>7</v>
      </c>
    </row>
    <row r="1112" spans="1:5" x14ac:dyDescent="0.25">
      <c r="A1112" s="1">
        <v>45183</v>
      </c>
      <c r="B1112" t="s">
        <v>1127</v>
      </c>
      <c r="C1112" t="s">
        <v>11</v>
      </c>
      <c r="D1112">
        <v>949.72</v>
      </c>
      <c r="E1112" t="s">
        <v>7</v>
      </c>
    </row>
    <row r="1113" spans="1:5" x14ac:dyDescent="0.25">
      <c r="A1113" s="1">
        <v>45184</v>
      </c>
      <c r="B1113" t="s">
        <v>1128</v>
      </c>
      <c r="C1113" t="s">
        <v>13</v>
      </c>
      <c r="D1113">
        <v>3626</v>
      </c>
      <c r="E1113" t="s">
        <v>14</v>
      </c>
    </row>
    <row r="1114" spans="1:5" x14ac:dyDescent="0.25">
      <c r="A1114" s="1">
        <v>45184</v>
      </c>
      <c r="B1114" t="s">
        <v>1129</v>
      </c>
      <c r="C1114" t="s">
        <v>17</v>
      </c>
      <c r="D1114">
        <v>117.58</v>
      </c>
      <c r="E1114" t="s">
        <v>7</v>
      </c>
    </row>
    <row r="1115" spans="1:5" x14ac:dyDescent="0.25">
      <c r="A1115" s="1">
        <v>45185</v>
      </c>
      <c r="B1115" t="s">
        <v>1130</v>
      </c>
      <c r="C1115" t="s">
        <v>9</v>
      </c>
      <c r="D1115">
        <v>1984.77</v>
      </c>
      <c r="E1115" t="s">
        <v>7</v>
      </c>
    </row>
    <row r="1116" spans="1:5" x14ac:dyDescent="0.25">
      <c r="A1116" s="1">
        <v>45185</v>
      </c>
      <c r="B1116" t="s">
        <v>1131</v>
      </c>
      <c r="C1116" t="s">
        <v>27</v>
      </c>
      <c r="D1116">
        <v>295.02</v>
      </c>
      <c r="E1116" t="s">
        <v>7</v>
      </c>
    </row>
    <row r="1117" spans="1:5" x14ac:dyDescent="0.25">
      <c r="A1117" s="1">
        <v>45190</v>
      </c>
      <c r="B1117" t="s">
        <v>1132</v>
      </c>
      <c r="C1117" t="s">
        <v>9</v>
      </c>
      <c r="D1117">
        <v>1560.09</v>
      </c>
      <c r="E1117" t="s">
        <v>7</v>
      </c>
    </row>
    <row r="1118" spans="1:5" x14ac:dyDescent="0.25">
      <c r="A1118" s="1">
        <v>45190</v>
      </c>
      <c r="B1118" t="s">
        <v>1133</v>
      </c>
      <c r="C1118" t="s">
        <v>9</v>
      </c>
      <c r="D1118">
        <v>633.69000000000005</v>
      </c>
      <c r="E1118" t="s">
        <v>7</v>
      </c>
    </row>
    <row r="1119" spans="1:5" x14ac:dyDescent="0.25">
      <c r="A1119" s="1">
        <v>45192</v>
      </c>
      <c r="B1119" t="s">
        <v>1134</v>
      </c>
      <c r="C1119" t="s">
        <v>20</v>
      </c>
      <c r="D1119">
        <v>2740</v>
      </c>
      <c r="E1119" t="s">
        <v>14</v>
      </c>
    </row>
    <row r="1120" spans="1:5" x14ac:dyDescent="0.25">
      <c r="A1120" s="1">
        <v>45193</v>
      </c>
      <c r="B1120" t="s">
        <v>1135</v>
      </c>
      <c r="C1120" t="s">
        <v>9</v>
      </c>
      <c r="D1120">
        <v>1156.8</v>
      </c>
      <c r="E1120" t="s">
        <v>7</v>
      </c>
    </row>
    <row r="1121" spans="1:5" x14ac:dyDescent="0.25">
      <c r="A1121" s="1">
        <v>45197</v>
      </c>
      <c r="B1121" t="s">
        <v>1136</v>
      </c>
      <c r="C1121" t="s">
        <v>13</v>
      </c>
      <c r="D1121">
        <v>1560</v>
      </c>
      <c r="E1121" t="s">
        <v>14</v>
      </c>
    </row>
    <row r="1122" spans="1:5" x14ac:dyDescent="0.25">
      <c r="A1122" s="1">
        <v>45198</v>
      </c>
      <c r="B1122" t="s">
        <v>1137</v>
      </c>
      <c r="C1122" t="s">
        <v>17</v>
      </c>
      <c r="D1122">
        <v>812.75</v>
      </c>
      <c r="E1122" t="s">
        <v>7</v>
      </c>
    </row>
    <row r="1123" spans="1:5" x14ac:dyDescent="0.25">
      <c r="A1123" s="1">
        <v>45202</v>
      </c>
      <c r="B1123" t="s">
        <v>1138</v>
      </c>
      <c r="C1123" t="s">
        <v>17</v>
      </c>
      <c r="D1123">
        <v>19.29</v>
      </c>
      <c r="E1123" t="s">
        <v>7</v>
      </c>
    </row>
    <row r="1124" spans="1:5" x14ac:dyDescent="0.25">
      <c r="A1124" s="1">
        <v>45203</v>
      </c>
      <c r="B1124" t="s">
        <v>1139</v>
      </c>
      <c r="C1124" t="s">
        <v>25</v>
      </c>
      <c r="D1124">
        <v>1900.64</v>
      </c>
      <c r="E1124" t="s">
        <v>7</v>
      </c>
    </row>
    <row r="1125" spans="1:5" x14ac:dyDescent="0.25">
      <c r="A1125" s="1">
        <v>45203</v>
      </c>
      <c r="B1125" t="s">
        <v>1140</v>
      </c>
      <c r="C1125" t="s">
        <v>22</v>
      </c>
      <c r="D1125">
        <v>45.65</v>
      </c>
      <c r="E1125" t="s">
        <v>7</v>
      </c>
    </row>
    <row r="1126" spans="1:5" x14ac:dyDescent="0.25">
      <c r="A1126" s="1">
        <v>45204</v>
      </c>
      <c r="B1126" t="s">
        <v>1141</v>
      </c>
      <c r="C1126" t="s">
        <v>13</v>
      </c>
      <c r="D1126">
        <v>2353</v>
      </c>
      <c r="E1126" t="s">
        <v>14</v>
      </c>
    </row>
    <row r="1127" spans="1:5" x14ac:dyDescent="0.25">
      <c r="A1127" s="1">
        <v>45205</v>
      </c>
      <c r="B1127" t="s">
        <v>1142</v>
      </c>
      <c r="C1127" t="s">
        <v>25</v>
      </c>
      <c r="D1127">
        <v>631.05999999999995</v>
      </c>
      <c r="E1127" t="s">
        <v>7</v>
      </c>
    </row>
    <row r="1128" spans="1:5" x14ac:dyDescent="0.25">
      <c r="A1128" s="1">
        <v>45207</v>
      </c>
      <c r="B1128" t="s">
        <v>1143</v>
      </c>
      <c r="C1128" t="s">
        <v>20</v>
      </c>
      <c r="D1128">
        <v>1868</v>
      </c>
      <c r="E1128" t="s">
        <v>14</v>
      </c>
    </row>
    <row r="1129" spans="1:5" x14ac:dyDescent="0.25">
      <c r="A1129" s="1">
        <v>45207</v>
      </c>
      <c r="B1129" t="s">
        <v>1144</v>
      </c>
      <c r="C1129" t="s">
        <v>13</v>
      </c>
      <c r="D1129">
        <v>2942</v>
      </c>
      <c r="E1129" t="s">
        <v>14</v>
      </c>
    </row>
    <row r="1130" spans="1:5" x14ac:dyDescent="0.25">
      <c r="A1130" s="1">
        <v>45207</v>
      </c>
      <c r="B1130" t="s">
        <v>1145</v>
      </c>
      <c r="C1130" t="s">
        <v>27</v>
      </c>
      <c r="D1130">
        <v>1458.39</v>
      </c>
      <c r="E1130" t="s">
        <v>7</v>
      </c>
    </row>
    <row r="1131" spans="1:5" x14ac:dyDescent="0.25">
      <c r="A1131" s="1">
        <v>45208</v>
      </c>
      <c r="B1131" t="s">
        <v>1146</v>
      </c>
      <c r="C1131" t="s">
        <v>25</v>
      </c>
      <c r="D1131">
        <v>872.99</v>
      </c>
      <c r="E1131" t="s">
        <v>7</v>
      </c>
    </row>
    <row r="1132" spans="1:5" x14ac:dyDescent="0.25">
      <c r="A1132" s="1">
        <v>45208</v>
      </c>
      <c r="B1132" t="s">
        <v>1147</v>
      </c>
      <c r="C1132" t="s">
        <v>9</v>
      </c>
      <c r="D1132">
        <v>692.04</v>
      </c>
      <c r="E1132" t="s">
        <v>7</v>
      </c>
    </row>
    <row r="1133" spans="1:5" x14ac:dyDescent="0.25">
      <c r="A1133" s="1">
        <v>45210</v>
      </c>
      <c r="B1133" t="s">
        <v>1148</v>
      </c>
      <c r="C1133" t="s">
        <v>25</v>
      </c>
      <c r="D1133">
        <v>1502.73</v>
      </c>
      <c r="E1133" t="s">
        <v>7</v>
      </c>
    </row>
    <row r="1134" spans="1:5" x14ac:dyDescent="0.25">
      <c r="A1134" s="1">
        <v>45212</v>
      </c>
      <c r="B1134" t="s">
        <v>1149</v>
      </c>
      <c r="C1134" t="s">
        <v>20</v>
      </c>
      <c r="D1134">
        <v>656</v>
      </c>
      <c r="E1134" t="s">
        <v>14</v>
      </c>
    </row>
    <row r="1135" spans="1:5" x14ac:dyDescent="0.25">
      <c r="A1135" s="1">
        <v>45213</v>
      </c>
      <c r="B1135" t="s">
        <v>1150</v>
      </c>
      <c r="C1135" t="s">
        <v>9</v>
      </c>
      <c r="D1135">
        <v>430.27</v>
      </c>
      <c r="E1135" t="s">
        <v>7</v>
      </c>
    </row>
    <row r="1136" spans="1:5" x14ac:dyDescent="0.25">
      <c r="A1136" s="1">
        <v>45213</v>
      </c>
      <c r="B1136" t="s">
        <v>1151</v>
      </c>
      <c r="C1136" t="s">
        <v>13</v>
      </c>
      <c r="D1136">
        <v>1508</v>
      </c>
      <c r="E1136" t="s">
        <v>14</v>
      </c>
    </row>
    <row r="1137" spans="1:5" x14ac:dyDescent="0.25">
      <c r="A1137" s="1">
        <v>45214</v>
      </c>
      <c r="B1137" t="s">
        <v>1152</v>
      </c>
      <c r="C1137" t="s">
        <v>6</v>
      </c>
      <c r="D1137">
        <v>756.63</v>
      </c>
      <c r="E1137" t="s">
        <v>7</v>
      </c>
    </row>
    <row r="1138" spans="1:5" x14ac:dyDescent="0.25">
      <c r="A1138" s="1">
        <v>45214</v>
      </c>
      <c r="B1138" t="s">
        <v>1153</v>
      </c>
      <c r="C1138" t="s">
        <v>6</v>
      </c>
      <c r="D1138">
        <v>1191.9100000000001</v>
      </c>
      <c r="E1138" t="s">
        <v>7</v>
      </c>
    </row>
    <row r="1139" spans="1:5" x14ac:dyDescent="0.25">
      <c r="A1139" s="1">
        <v>45215</v>
      </c>
      <c r="B1139" t="s">
        <v>1154</v>
      </c>
      <c r="C1139" t="s">
        <v>13</v>
      </c>
      <c r="D1139">
        <v>661</v>
      </c>
      <c r="E1139" t="s">
        <v>14</v>
      </c>
    </row>
    <row r="1140" spans="1:5" x14ac:dyDescent="0.25">
      <c r="A1140" s="1">
        <v>45216</v>
      </c>
      <c r="B1140" t="s">
        <v>1155</v>
      </c>
      <c r="C1140" t="s">
        <v>13</v>
      </c>
      <c r="D1140">
        <v>3914</v>
      </c>
      <c r="E1140" t="s">
        <v>14</v>
      </c>
    </row>
    <row r="1141" spans="1:5" x14ac:dyDescent="0.25">
      <c r="A1141" s="1">
        <v>45216</v>
      </c>
      <c r="B1141" t="s">
        <v>1156</v>
      </c>
      <c r="C1141" t="s">
        <v>11</v>
      </c>
      <c r="D1141">
        <v>1099.0899999999999</v>
      </c>
      <c r="E1141" t="s">
        <v>7</v>
      </c>
    </row>
    <row r="1142" spans="1:5" x14ac:dyDescent="0.25">
      <c r="A1142" s="1">
        <v>45226</v>
      </c>
      <c r="B1142" t="s">
        <v>1157</v>
      </c>
      <c r="C1142" t="s">
        <v>9</v>
      </c>
      <c r="D1142">
        <v>418.93</v>
      </c>
      <c r="E1142" t="s">
        <v>7</v>
      </c>
    </row>
    <row r="1143" spans="1:5" x14ac:dyDescent="0.25">
      <c r="A1143" s="1">
        <v>45226</v>
      </c>
      <c r="B1143" t="s">
        <v>1158</v>
      </c>
      <c r="C1143" t="s">
        <v>6</v>
      </c>
      <c r="D1143">
        <v>609.22</v>
      </c>
      <c r="E1143" t="s">
        <v>7</v>
      </c>
    </row>
    <row r="1144" spans="1:5" x14ac:dyDescent="0.25">
      <c r="A1144" s="1">
        <v>45228</v>
      </c>
      <c r="B1144" t="s">
        <v>1159</v>
      </c>
      <c r="C1144" t="s">
        <v>35</v>
      </c>
      <c r="D1144">
        <v>1249.3699999999999</v>
      </c>
      <c r="E1144" t="s">
        <v>7</v>
      </c>
    </row>
    <row r="1145" spans="1:5" x14ac:dyDescent="0.25">
      <c r="A1145" s="1">
        <v>45229</v>
      </c>
      <c r="B1145" t="s">
        <v>1160</v>
      </c>
      <c r="C1145" t="s">
        <v>17</v>
      </c>
      <c r="D1145">
        <v>1663</v>
      </c>
      <c r="E1145" t="s">
        <v>7</v>
      </c>
    </row>
    <row r="1146" spans="1:5" x14ac:dyDescent="0.25">
      <c r="A1146" s="1">
        <v>45229</v>
      </c>
      <c r="B1146" t="s">
        <v>1161</v>
      </c>
      <c r="C1146" t="s">
        <v>13</v>
      </c>
      <c r="D1146">
        <v>2815</v>
      </c>
      <c r="E1146" t="s">
        <v>14</v>
      </c>
    </row>
    <row r="1147" spans="1:5" x14ac:dyDescent="0.25">
      <c r="A1147" s="1">
        <v>45234</v>
      </c>
      <c r="B1147" t="s">
        <v>1162</v>
      </c>
      <c r="C1147" t="s">
        <v>13</v>
      </c>
      <c r="D1147">
        <v>4577</v>
      </c>
      <c r="E1147" t="s">
        <v>14</v>
      </c>
    </row>
    <row r="1148" spans="1:5" x14ac:dyDescent="0.25">
      <c r="A1148" s="1">
        <v>45235</v>
      </c>
      <c r="B1148" t="s">
        <v>1163</v>
      </c>
      <c r="C1148" t="s">
        <v>13</v>
      </c>
      <c r="D1148">
        <v>2654</v>
      </c>
      <c r="E1148" t="s">
        <v>14</v>
      </c>
    </row>
    <row r="1149" spans="1:5" x14ac:dyDescent="0.25">
      <c r="A1149" s="1">
        <v>45238</v>
      </c>
      <c r="B1149" t="s">
        <v>1164</v>
      </c>
      <c r="C1149" t="s">
        <v>22</v>
      </c>
      <c r="D1149">
        <v>722.26</v>
      </c>
      <c r="E1149" t="s">
        <v>7</v>
      </c>
    </row>
    <row r="1150" spans="1:5" x14ac:dyDescent="0.25">
      <c r="A1150" s="1">
        <v>45238</v>
      </c>
      <c r="B1150" t="s">
        <v>1165</v>
      </c>
      <c r="C1150" t="s">
        <v>9</v>
      </c>
      <c r="D1150">
        <v>88.42</v>
      </c>
      <c r="E1150" t="s">
        <v>7</v>
      </c>
    </row>
    <row r="1151" spans="1:5" x14ac:dyDescent="0.25">
      <c r="A1151" s="1">
        <v>45238</v>
      </c>
      <c r="B1151" t="s">
        <v>1166</v>
      </c>
      <c r="C1151" t="s">
        <v>22</v>
      </c>
      <c r="D1151">
        <v>1379.53</v>
      </c>
      <c r="E1151" t="s">
        <v>7</v>
      </c>
    </row>
    <row r="1152" spans="1:5" x14ac:dyDescent="0.25">
      <c r="A1152" s="1">
        <v>45239</v>
      </c>
      <c r="B1152" t="s">
        <v>1167</v>
      </c>
      <c r="C1152" t="s">
        <v>22</v>
      </c>
      <c r="D1152">
        <v>15.45</v>
      </c>
      <c r="E1152" t="s">
        <v>7</v>
      </c>
    </row>
    <row r="1153" spans="1:5" x14ac:dyDescent="0.25">
      <c r="A1153" s="1">
        <v>45239</v>
      </c>
      <c r="B1153" t="s">
        <v>1168</v>
      </c>
      <c r="C1153" t="s">
        <v>11</v>
      </c>
      <c r="D1153">
        <v>1672.11</v>
      </c>
      <c r="E1153" t="s">
        <v>7</v>
      </c>
    </row>
    <row r="1154" spans="1:5" x14ac:dyDescent="0.25">
      <c r="A1154" s="1">
        <v>45241</v>
      </c>
      <c r="B1154" t="s">
        <v>1169</v>
      </c>
      <c r="C1154" t="s">
        <v>9</v>
      </c>
      <c r="D1154">
        <v>1899.4</v>
      </c>
      <c r="E1154" t="s">
        <v>7</v>
      </c>
    </row>
    <row r="1155" spans="1:5" x14ac:dyDescent="0.25">
      <c r="A1155" s="1">
        <v>45241</v>
      </c>
      <c r="B1155" t="s">
        <v>1170</v>
      </c>
      <c r="C1155" t="s">
        <v>11</v>
      </c>
      <c r="D1155">
        <v>1449.89</v>
      </c>
      <c r="E1155" t="s">
        <v>7</v>
      </c>
    </row>
    <row r="1156" spans="1:5" x14ac:dyDescent="0.25">
      <c r="A1156" s="1">
        <v>45243</v>
      </c>
      <c r="B1156" t="s">
        <v>1171</v>
      </c>
      <c r="C1156" t="s">
        <v>20</v>
      </c>
      <c r="D1156">
        <v>2393</v>
      </c>
      <c r="E1156" t="s">
        <v>14</v>
      </c>
    </row>
    <row r="1157" spans="1:5" x14ac:dyDescent="0.25">
      <c r="A1157" s="1">
        <v>45244</v>
      </c>
      <c r="B1157" t="s">
        <v>1172</v>
      </c>
      <c r="C1157" t="s">
        <v>35</v>
      </c>
      <c r="D1157">
        <v>535.61</v>
      </c>
      <c r="E1157" t="s">
        <v>7</v>
      </c>
    </row>
    <row r="1158" spans="1:5" x14ac:dyDescent="0.25">
      <c r="A1158" s="1">
        <v>45244</v>
      </c>
      <c r="B1158" t="s">
        <v>1173</v>
      </c>
      <c r="C1158" t="s">
        <v>13</v>
      </c>
      <c r="D1158">
        <v>823</v>
      </c>
      <c r="E1158" t="s">
        <v>14</v>
      </c>
    </row>
    <row r="1159" spans="1:5" x14ac:dyDescent="0.25">
      <c r="A1159" s="1">
        <v>45245</v>
      </c>
      <c r="B1159" t="s">
        <v>1174</v>
      </c>
      <c r="C1159" t="s">
        <v>25</v>
      </c>
      <c r="D1159">
        <v>1605.18</v>
      </c>
      <c r="E1159" t="s">
        <v>7</v>
      </c>
    </row>
    <row r="1160" spans="1:5" x14ac:dyDescent="0.25">
      <c r="A1160" s="1">
        <v>45247</v>
      </c>
      <c r="B1160" t="s">
        <v>1175</v>
      </c>
      <c r="C1160" t="s">
        <v>11</v>
      </c>
      <c r="D1160">
        <v>199.05</v>
      </c>
      <c r="E1160" t="s">
        <v>7</v>
      </c>
    </row>
    <row r="1161" spans="1:5" x14ac:dyDescent="0.25">
      <c r="A1161" s="1">
        <v>45248</v>
      </c>
      <c r="B1161" t="s">
        <v>1176</v>
      </c>
      <c r="C1161" t="s">
        <v>6</v>
      </c>
      <c r="D1161">
        <v>29.25</v>
      </c>
      <c r="E1161" t="s">
        <v>7</v>
      </c>
    </row>
    <row r="1162" spans="1:5" x14ac:dyDescent="0.25">
      <c r="A1162" s="1">
        <v>45251</v>
      </c>
      <c r="B1162" t="s">
        <v>1177</v>
      </c>
      <c r="C1162" t="s">
        <v>13</v>
      </c>
      <c r="D1162">
        <v>3192</v>
      </c>
      <c r="E1162" t="s">
        <v>14</v>
      </c>
    </row>
    <row r="1163" spans="1:5" x14ac:dyDescent="0.25">
      <c r="A1163" s="1">
        <v>45251</v>
      </c>
      <c r="B1163" t="s">
        <v>1178</v>
      </c>
      <c r="C1163" t="s">
        <v>27</v>
      </c>
      <c r="D1163">
        <v>1910.63</v>
      </c>
      <c r="E1163" t="s">
        <v>7</v>
      </c>
    </row>
    <row r="1164" spans="1:5" x14ac:dyDescent="0.25">
      <c r="A1164" s="1">
        <v>45252</v>
      </c>
      <c r="B1164" t="s">
        <v>1179</v>
      </c>
      <c r="C1164" t="s">
        <v>11</v>
      </c>
      <c r="D1164">
        <v>751.52</v>
      </c>
      <c r="E1164" t="s">
        <v>7</v>
      </c>
    </row>
    <row r="1165" spans="1:5" x14ac:dyDescent="0.25">
      <c r="A1165" s="1">
        <v>45253</v>
      </c>
      <c r="B1165" t="s">
        <v>1180</v>
      </c>
      <c r="C1165" t="s">
        <v>11</v>
      </c>
      <c r="D1165">
        <v>807.55</v>
      </c>
      <c r="E1165" t="s">
        <v>7</v>
      </c>
    </row>
    <row r="1166" spans="1:5" x14ac:dyDescent="0.25">
      <c r="A1166" s="1">
        <v>45253</v>
      </c>
      <c r="B1166" t="s">
        <v>1181</v>
      </c>
      <c r="C1166" t="s">
        <v>35</v>
      </c>
      <c r="D1166">
        <v>1673.06</v>
      </c>
      <c r="E1166" t="s">
        <v>7</v>
      </c>
    </row>
    <row r="1167" spans="1:5" x14ac:dyDescent="0.25">
      <c r="A1167" s="1">
        <v>45256</v>
      </c>
      <c r="B1167" t="s">
        <v>1182</v>
      </c>
      <c r="C1167" t="s">
        <v>27</v>
      </c>
      <c r="D1167">
        <v>1601.8</v>
      </c>
      <c r="E1167" t="s">
        <v>7</v>
      </c>
    </row>
    <row r="1168" spans="1:5" x14ac:dyDescent="0.25">
      <c r="A1168" s="1">
        <v>45256</v>
      </c>
      <c r="B1168" t="s">
        <v>1183</v>
      </c>
      <c r="C1168" t="s">
        <v>9</v>
      </c>
      <c r="D1168">
        <v>234.98</v>
      </c>
      <c r="E1168" t="s">
        <v>7</v>
      </c>
    </row>
    <row r="1169" spans="1:5" x14ac:dyDescent="0.25">
      <c r="A1169" s="1">
        <v>45256</v>
      </c>
      <c r="B1169" t="s">
        <v>1184</v>
      </c>
      <c r="C1169" t="s">
        <v>6</v>
      </c>
      <c r="D1169">
        <v>1963.32</v>
      </c>
      <c r="E1169" t="s">
        <v>7</v>
      </c>
    </row>
    <row r="1170" spans="1:5" x14ac:dyDescent="0.25">
      <c r="A1170" s="1">
        <v>45256</v>
      </c>
      <c r="B1170" t="s">
        <v>1185</v>
      </c>
      <c r="C1170" t="s">
        <v>11</v>
      </c>
      <c r="D1170">
        <v>837.9</v>
      </c>
      <c r="E1170" t="s">
        <v>7</v>
      </c>
    </row>
    <row r="1171" spans="1:5" x14ac:dyDescent="0.25">
      <c r="A1171" s="1">
        <v>45257</v>
      </c>
      <c r="B1171" t="s">
        <v>1186</v>
      </c>
      <c r="C1171" t="s">
        <v>27</v>
      </c>
      <c r="D1171">
        <v>370.71</v>
      </c>
      <c r="E1171" t="s">
        <v>7</v>
      </c>
    </row>
    <row r="1172" spans="1:5" x14ac:dyDescent="0.25">
      <c r="A1172" s="1">
        <v>45257</v>
      </c>
      <c r="B1172" t="s">
        <v>1187</v>
      </c>
      <c r="C1172" t="s">
        <v>25</v>
      </c>
      <c r="D1172">
        <v>1226.5999999999999</v>
      </c>
      <c r="E1172" t="s">
        <v>7</v>
      </c>
    </row>
    <row r="1173" spans="1:5" x14ac:dyDescent="0.25">
      <c r="A1173" s="1">
        <v>45258</v>
      </c>
      <c r="B1173" t="s">
        <v>1188</v>
      </c>
      <c r="C1173" t="s">
        <v>9</v>
      </c>
      <c r="D1173">
        <v>971.33</v>
      </c>
      <c r="E1173" t="s">
        <v>7</v>
      </c>
    </row>
    <row r="1174" spans="1:5" x14ac:dyDescent="0.25">
      <c r="A1174" s="1">
        <v>45258</v>
      </c>
      <c r="B1174" t="s">
        <v>1189</v>
      </c>
      <c r="C1174" t="s">
        <v>17</v>
      </c>
      <c r="D1174">
        <v>886.97</v>
      </c>
      <c r="E1174" t="s">
        <v>7</v>
      </c>
    </row>
    <row r="1175" spans="1:5" x14ac:dyDescent="0.25">
      <c r="A1175" s="1">
        <v>45259</v>
      </c>
      <c r="B1175" t="s">
        <v>1190</v>
      </c>
      <c r="C1175" t="s">
        <v>20</v>
      </c>
      <c r="D1175">
        <v>601</v>
      </c>
      <c r="E1175" t="s">
        <v>14</v>
      </c>
    </row>
    <row r="1176" spans="1:5" x14ac:dyDescent="0.25">
      <c r="A1176" s="1">
        <v>45265</v>
      </c>
      <c r="B1176" t="s">
        <v>1191</v>
      </c>
      <c r="C1176" t="s">
        <v>22</v>
      </c>
      <c r="D1176">
        <v>1956.01</v>
      </c>
      <c r="E1176" t="s">
        <v>7</v>
      </c>
    </row>
    <row r="1177" spans="1:5" x14ac:dyDescent="0.25">
      <c r="A1177" s="1">
        <v>45265</v>
      </c>
      <c r="B1177" t="s">
        <v>1192</v>
      </c>
      <c r="C1177" t="s">
        <v>25</v>
      </c>
      <c r="D1177">
        <v>1043.01</v>
      </c>
      <c r="E1177" t="s">
        <v>7</v>
      </c>
    </row>
    <row r="1178" spans="1:5" x14ac:dyDescent="0.25">
      <c r="A1178" s="1">
        <v>45266</v>
      </c>
      <c r="B1178" t="s">
        <v>1193</v>
      </c>
      <c r="C1178" t="s">
        <v>11</v>
      </c>
      <c r="D1178">
        <v>871.37</v>
      </c>
      <c r="E1178" t="s">
        <v>7</v>
      </c>
    </row>
    <row r="1179" spans="1:5" x14ac:dyDescent="0.25">
      <c r="A1179" s="1">
        <v>45268</v>
      </c>
      <c r="B1179" t="s">
        <v>1194</v>
      </c>
      <c r="C1179" t="s">
        <v>27</v>
      </c>
      <c r="D1179">
        <v>698.04</v>
      </c>
      <c r="E1179" t="s">
        <v>7</v>
      </c>
    </row>
    <row r="1180" spans="1:5" x14ac:dyDescent="0.25">
      <c r="A1180" s="1">
        <v>45269</v>
      </c>
      <c r="B1180" t="s">
        <v>1195</v>
      </c>
      <c r="C1180" t="s">
        <v>17</v>
      </c>
      <c r="D1180">
        <v>305.82</v>
      </c>
      <c r="E1180" t="s">
        <v>7</v>
      </c>
    </row>
    <row r="1181" spans="1:5" x14ac:dyDescent="0.25">
      <c r="A1181" s="1">
        <v>45269</v>
      </c>
      <c r="B1181" t="s">
        <v>1196</v>
      </c>
      <c r="C1181" t="s">
        <v>6</v>
      </c>
      <c r="D1181">
        <v>33.17</v>
      </c>
      <c r="E1181" t="s">
        <v>7</v>
      </c>
    </row>
    <row r="1182" spans="1:5" x14ac:dyDescent="0.25">
      <c r="A1182" s="1">
        <v>45270</v>
      </c>
      <c r="B1182" t="s">
        <v>1197</v>
      </c>
      <c r="C1182" t="s">
        <v>27</v>
      </c>
      <c r="D1182">
        <v>1705.22</v>
      </c>
      <c r="E1182" t="s">
        <v>7</v>
      </c>
    </row>
    <row r="1183" spans="1:5" x14ac:dyDescent="0.25">
      <c r="A1183" s="1">
        <v>45271</v>
      </c>
      <c r="B1183" t="s">
        <v>1198</v>
      </c>
      <c r="C1183" t="s">
        <v>11</v>
      </c>
      <c r="D1183">
        <v>1505.35</v>
      </c>
      <c r="E1183" t="s">
        <v>7</v>
      </c>
    </row>
    <row r="1184" spans="1:5" x14ac:dyDescent="0.25">
      <c r="A1184" s="1">
        <v>45273</v>
      </c>
      <c r="B1184" t="s">
        <v>1199</v>
      </c>
      <c r="C1184" t="s">
        <v>25</v>
      </c>
      <c r="D1184">
        <v>1940.59</v>
      </c>
      <c r="E1184" t="s">
        <v>7</v>
      </c>
    </row>
    <row r="1185" spans="1:5" x14ac:dyDescent="0.25">
      <c r="A1185" s="1">
        <v>45274</v>
      </c>
      <c r="B1185" t="s">
        <v>1200</v>
      </c>
      <c r="C1185" t="s">
        <v>13</v>
      </c>
      <c r="D1185">
        <v>3601</v>
      </c>
      <c r="E1185" t="s">
        <v>14</v>
      </c>
    </row>
    <row r="1186" spans="1:5" x14ac:dyDescent="0.25">
      <c r="A1186" s="1">
        <v>45274</v>
      </c>
      <c r="B1186" t="s">
        <v>1201</v>
      </c>
      <c r="C1186" t="s">
        <v>22</v>
      </c>
      <c r="D1186">
        <v>166.87</v>
      </c>
      <c r="E1186" t="s">
        <v>7</v>
      </c>
    </row>
    <row r="1187" spans="1:5" x14ac:dyDescent="0.25">
      <c r="A1187" s="1">
        <v>45278</v>
      </c>
      <c r="B1187" t="s">
        <v>1202</v>
      </c>
      <c r="C1187" t="s">
        <v>27</v>
      </c>
      <c r="D1187">
        <v>185.16</v>
      </c>
      <c r="E1187" t="s">
        <v>7</v>
      </c>
    </row>
    <row r="1188" spans="1:5" x14ac:dyDescent="0.25">
      <c r="A1188" s="1">
        <v>45280</v>
      </c>
      <c r="B1188" t="s">
        <v>1203</v>
      </c>
      <c r="C1188" t="s">
        <v>25</v>
      </c>
      <c r="D1188">
        <v>246.23</v>
      </c>
      <c r="E1188" t="s">
        <v>7</v>
      </c>
    </row>
    <row r="1189" spans="1:5" x14ac:dyDescent="0.25">
      <c r="A1189" s="1">
        <v>45281</v>
      </c>
      <c r="B1189" t="s">
        <v>1204</v>
      </c>
      <c r="C1189" t="s">
        <v>6</v>
      </c>
      <c r="D1189">
        <v>214.26</v>
      </c>
      <c r="E1189" t="s">
        <v>7</v>
      </c>
    </row>
    <row r="1190" spans="1:5" x14ac:dyDescent="0.25">
      <c r="A1190" s="1">
        <v>45282</v>
      </c>
      <c r="B1190" t="s">
        <v>1205</v>
      </c>
      <c r="C1190" t="s">
        <v>6</v>
      </c>
      <c r="D1190">
        <v>1653.56</v>
      </c>
      <c r="E1190" t="s">
        <v>7</v>
      </c>
    </row>
    <row r="1191" spans="1:5" x14ac:dyDescent="0.25">
      <c r="A1191" s="1">
        <v>45283</v>
      </c>
      <c r="B1191" t="s">
        <v>1206</v>
      </c>
      <c r="C1191" t="s">
        <v>35</v>
      </c>
      <c r="D1191">
        <v>1781.32</v>
      </c>
      <c r="E1191" t="s">
        <v>7</v>
      </c>
    </row>
    <row r="1192" spans="1:5" x14ac:dyDescent="0.25">
      <c r="A1192" s="1">
        <v>45285</v>
      </c>
      <c r="B1192" t="s">
        <v>1207</v>
      </c>
      <c r="C1192" t="s">
        <v>27</v>
      </c>
      <c r="D1192">
        <v>1901.21</v>
      </c>
      <c r="E1192" t="s">
        <v>7</v>
      </c>
    </row>
    <row r="1193" spans="1:5" x14ac:dyDescent="0.25">
      <c r="A1193" s="1">
        <v>45286</v>
      </c>
      <c r="B1193" t="s">
        <v>1208</v>
      </c>
      <c r="C1193" t="s">
        <v>6</v>
      </c>
      <c r="D1193">
        <v>1635.01</v>
      </c>
      <c r="E1193" t="s">
        <v>7</v>
      </c>
    </row>
    <row r="1194" spans="1:5" x14ac:dyDescent="0.25">
      <c r="A1194" s="1">
        <v>45287</v>
      </c>
      <c r="B1194" t="s">
        <v>1209</v>
      </c>
      <c r="C1194" t="s">
        <v>25</v>
      </c>
      <c r="D1194">
        <v>1124.7</v>
      </c>
      <c r="E1194" t="s">
        <v>7</v>
      </c>
    </row>
    <row r="1195" spans="1:5" x14ac:dyDescent="0.25">
      <c r="A1195" s="1">
        <v>45289</v>
      </c>
      <c r="B1195" t="s">
        <v>1210</v>
      </c>
      <c r="C1195" t="s">
        <v>27</v>
      </c>
      <c r="D1195">
        <v>1436.15</v>
      </c>
      <c r="E1195" t="s">
        <v>7</v>
      </c>
    </row>
    <row r="1196" spans="1:5" x14ac:dyDescent="0.25">
      <c r="A1196" s="1">
        <v>45289</v>
      </c>
      <c r="B1196" t="s">
        <v>1211</v>
      </c>
      <c r="C1196" t="s">
        <v>27</v>
      </c>
      <c r="D1196">
        <v>236.91</v>
      </c>
      <c r="E1196" t="s">
        <v>7</v>
      </c>
    </row>
    <row r="1197" spans="1:5" x14ac:dyDescent="0.25">
      <c r="A1197" s="1">
        <v>45289</v>
      </c>
      <c r="B1197" t="s">
        <v>1212</v>
      </c>
      <c r="C1197" t="s">
        <v>22</v>
      </c>
      <c r="D1197">
        <v>14.37</v>
      </c>
      <c r="E1197" t="s">
        <v>7</v>
      </c>
    </row>
    <row r="1198" spans="1:5" x14ac:dyDescent="0.25">
      <c r="A1198" s="1">
        <v>45293</v>
      </c>
      <c r="B1198" t="s">
        <v>1213</v>
      </c>
      <c r="C1198" t="s">
        <v>35</v>
      </c>
      <c r="D1198">
        <v>1099.9000000000001</v>
      </c>
      <c r="E1198" t="s">
        <v>7</v>
      </c>
    </row>
    <row r="1199" spans="1:5" x14ac:dyDescent="0.25">
      <c r="A1199" s="1">
        <v>45293</v>
      </c>
      <c r="B1199" t="s">
        <v>1214</v>
      </c>
      <c r="C1199" t="s">
        <v>11</v>
      </c>
      <c r="D1199">
        <v>101.1</v>
      </c>
      <c r="E1199" t="s">
        <v>7</v>
      </c>
    </row>
    <row r="1200" spans="1:5" x14ac:dyDescent="0.25">
      <c r="A1200" s="1">
        <v>45295</v>
      </c>
      <c r="B1200" t="s">
        <v>1215</v>
      </c>
      <c r="C1200" t="s">
        <v>13</v>
      </c>
      <c r="D1200">
        <v>3852</v>
      </c>
      <c r="E1200" t="s">
        <v>14</v>
      </c>
    </row>
    <row r="1201" spans="1:5" x14ac:dyDescent="0.25">
      <c r="A1201" s="1">
        <v>45295</v>
      </c>
      <c r="B1201" t="s">
        <v>1216</v>
      </c>
      <c r="C1201" t="s">
        <v>13</v>
      </c>
      <c r="D1201">
        <v>2036</v>
      </c>
      <c r="E1201" t="s">
        <v>14</v>
      </c>
    </row>
    <row r="1202" spans="1:5" x14ac:dyDescent="0.25">
      <c r="A1202" s="1">
        <v>45298</v>
      </c>
      <c r="B1202" t="s">
        <v>1217</v>
      </c>
      <c r="C1202" t="s">
        <v>20</v>
      </c>
      <c r="D1202">
        <v>2266</v>
      </c>
      <c r="E1202" t="s">
        <v>14</v>
      </c>
    </row>
    <row r="1203" spans="1:5" x14ac:dyDescent="0.25">
      <c r="A1203" s="1">
        <v>45300</v>
      </c>
      <c r="B1203" t="s">
        <v>1218</v>
      </c>
      <c r="C1203" t="s">
        <v>22</v>
      </c>
      <c r="D1203">
        <v>1436.41</v>
      </c>
      <c r="E1203" t="s">
        <v>7</v>
      </c>
    </row>
    <row r="1204" spans="1:5" x14ac:dyDescent="0.25">
      <c r="A1204" s="1">
        <v>45300</v>
      </c>
      <c r="B1204" t="s">
        <v>1219</v>
      </c>
      <c r="C1204" t="s">
        <v>20</v>
      </c>
      <c r="D1204">
        <v>880</v>
      </c>
      <c r="E1204" t="s">
        <v>14</v>
      </c>
    </row>
    <row r="1205" spans="1:5" x14ac:dyDescent="0.25">
      <c r="A1205" s="1">
        <v>45301</v>
      </c>
      <c r="B1205" t="s">
        <v>1220</v>
      </c>
      <c r="C1205" t="s">
        <v>11</v>
      </c>
      <c r="D1205">
        <v>1546.57</v>
      </c>
      <c r="E1205" t="s">
        <v>7</v>
      </c>
    </row>
    <row r="1206" spans="1:5" x14ac:dyDescent="0.25">
      <c r="A1206" s="1">
        <v>45302</v>
      </c>
      <c r="B1206" t="s">
        <v>1221</v>
      </c>
      <c r="C1206" t="s">
        <v>9</v>
      </c>
      <c r="D1206">
        <v>1928.07</v>
      </c>
      <c r="E1206" t="s">
        <v>7</v>
      </c>
    </row>
    <row r="1207" spans="1:5" x14ac:dyDescent="0.25">
      <c r="A1207" s="1">
        <v>45302</v>
      </c>
      <c r="B1207" t="s">
        <v>1222</v>
      </c>
      <c r="C1207" t="s">
        <v>13</v>
      </c>
      <c r="D1207">
        <v>4045</v>
      </c>
      <c r="E1207" t="s">
        <v>14</v>
      </c>
    </row>
    <row r="1208" spans="1:5" x14ac:dyDescent="0.25">
      <c r="A1208" s="1">
        <v>45302</v>
      </c>
      <c r="B1208" t="s">
        <v>1223</v>
      </c>
      <c r="C1208" t="s">
        <v>27</v>
      </c>
      <c r="D1208">
        <v>1849.5</v>
      </c>
      <c r="E1208" t="s">
        <v>7</v>
      </c>
    </row>
    <row r="1209" spans="1:5" x14ac:dyDescent="0.25">
      <c r="A1209" s="1">
        <v>45303</v>
      </c>
      <c r="B1209" t="s">
        <v>1224</v>
      </c>
      <c r="C1209" t="s">
        <v>9</v>
      </c>
      <c r="D1209">
        <v>1386.72</v>
      </c>
      <c r="E1209" t="s">
        <v>7</v>
      </c>
    </row>
    <row r="1210" spans="1:5" x14ac:dyDescent="0.25">
      <c r="A1210" s="1">
        <v>45304</v>
      </c>
      <c r="B1210" t="s">
        <v>1225</v>
      </c>
      <c r="C1210" t="s">
        <v>13</v>
      </c>
      <c r="D1210">
        <v>1348</v>
      </c>
      <c r="E1210" t="s">
        <v>14</v>
      </c>
    </row>
    <row r="1211" spans="1:5" x14ac:dyDescent="0.25">
      <c r="A1211" s="1">
        <v>45305</v>
      </c>
      <c r="B1211" t="s">
        <v>1226</v>
      </c>
      <c r="C1211" t="s">
        <v>25</v>
      </c>
      <c r="D1211">
        <v>1013.18</v>
      </c>
      <c r="E1211" t="s">
        <v>7</v>
      </c>
    </row>
    <row r="1212" spans="1:5" x14ac:dyDescent="0.25">
      <c r="A1212" s="1">
        <v>45306</v>
      </c>
      <c r="B1212" t="s">
        <v>1227</v>
      </c>
      <c r="C1212" t="s">
        <v>22</v>
      </c>
      <c r="D1212">
        <v>554.46</v>
      </c>
      <c r="E1212" t="s">
        <v>7</v>
      </c>
    </row>
    <row r="1213" spans="1:5" x14ac:dyDescent="0.25">
      <c r="A1213" s="1">
        <v>45307</v>
      </c>
      <c r="B1213" t="s">
        <v>1228</v>
      </c>
      <c r="C1213" t="s">
        <v>35</v>
      </c>
      <c r="D1213">
        <v>911.16</v>
      </c>
      <c r="E1213" t="s">
        <v>7</v>
      </c>
    </row>
    <row r="1214" spans="1:5" x14ac:dyDescent="0.25">
      <c r="A1214" s="1">
        <v>45307</v>
      </c>
      <c r="B1214" t="s">
        <v>1229</v>
      </c>
      <c r="C1214" t="s">
        <v>20</v>
      </c>
      <c r="D1214">
        <v>4696</v>
      </c>
      <c r="E1214" t="s">
        <v>14</v>
      </c>
    </row>
    <row r="1215" spans="1:5" x14ac:dyDescent="0.25">
      <c r="A1215" s="1">
        <v>45307</v>
      </c>
      <c r="B1215" t="s">
        <v>1230</v>
      </c>
      <c r="C1215" t="s">
        <v>25</v>
      </c>
      <c r="D1215">
        <v>1426.63</v>
      </c>
      <c r="E1215" t="s">
        <v>7</v>
      </c>
    </row>
    <row r="1216" spans="1:5" x14ac:dyDescent="0.25">
      <c r="A1216" s="1">
        <v>45308</v>
      </c>
      <c r="B1216" t="s">
        <v>1231</v>
      </c>
      <c r="C1216" t="s">
        <v>22</v>
      </c>
      <c r="D1216">
        <v>409.77</v>
      </c>
      <c r="E1216" t="s">
        <v>7</v>
      </c>
    </row>
    <row r="1217" spans="1:5" x14ac:dyDescent="0.25">
      <c r="A1217" s="1">
        <v>45310</v>
      </c>
      <c r="B1217" t="s">
        <v>1232</v>
      </c>
      <c r="C1217" t="s">
        <v>35</v>
      </c>
      <c r="D1217">
        <v>1376.36</v>
      </c>
      <c r="E1217" t="s">
        <v>7</v>
      </c>
    </row>
    <row r="1218" spans="1:5" x14ac:dyDescent="0.25">
      <c r="A1218" s="1">
        <v>45310</v>
      </c>
      <c r="B1218" t="s">
        <v>1233</v>
      </c>
      <c r="C1218" t="s">
        <v>9</v>
      </c>
      <c r="D1218">
        <v>1962.86</v>
      </c>
      <c r="E1218" t="s">
        <v>7</v>
      </c>
    </row>
    <row r="1219" spans="1:5" x14ac:dyDescent="0.25">
      <c r="A1219" s="1">
        <v>45310</v>
      </c>
      <c r="B1219" t="s">
        <v>1234</v>
      </c>
      <c r="C1219" t="s">
        <v>9</v>
      </c>
      <c r="D1219">
        <v>1012.75</v>
      </c>
      <c r="E1219" t="s">
        <v>7</v>
      </c>
    </row>
    <row r="1220" spans="1:5" x14ac:dyDescent="0.25">
      <c r="A1220" s="1">
        <v>45310</v>
      </c>
      <c r="B1220" t="s">
        <v>1235</v>
      </c>
      <c r="C1220" t="s">
        <v>25</v>
      </c>
      <c r="D1220">
        <v>1423.6</v>
      </c>
      <c r="E1220" t="s">
        <v>7</v>
      </c>
    </row>
    <row r="1221" spans="1:5" x14ac:dyDescent="0.25">
      <c r="A1221" s="1">
        <v>45311</v>
      </c>
      <c r="B1221" t="s">
        <v>1236</v>
      </c>
      <c r="C1221" t="s">
        <v>27</v>
      </c>
      <c r="D1221">
        <v>1169.78</v>
      </c>
      <c r="E1221" t="s">
        <v>7</v>
      </c>
    </row>
    <row r="1222" spans="1:5" x14ac:dyDescent="0.25">
      <c r="A1222" s="1">
        <v>45313</v>
      </c>
      <c r="B1222" t="s">
        <v>1237</v>
      </c>
      <c r="C1222" t="s">
        <v>17</v>
      </c>
      <c r="D1222">
        <v>1351.74</v>
      </c>
      <c r="E1222" t="s">
        <v>7</v>
      </c>
    </row>
    <row r="1223" spans="1:5" x14ac:dyDescent="0.25">
      <c r="A1223" s="1">
        <v>45314</v>
      </c>
      <c r="B1223" t="s">
        <v>1238</v>
      </c>
      <c r="C1223" t="s">
        <v>35</v>
      </c>
      <c r="D1223">
        <v>1756.18</v>
      </c>
      <c r="E1223" t="s">
        <v>7</v>
      </c>
    </row>
    <row r="1224" spans="1:5" x14ac:dyDescent="0.25">
      <c r="A1224" s="1">
        <v>45315</v>
      </c>
      <c r="B1224" t="s">
        <v>1239</v>
      </c>
      <c r="C1224" t="s">
        <v>6</v>
      </c>
      <c r="D1224">
        <v>1050.23</v>
      </c>
      <c r="E1224" t="s">
        <v>7</v>
      </c>
    </row>
    <row r="1225" spans="1:5" x14ac:dyDescent="0.25">
      <c r="A1225" s="1">
        <v>45316</v>
      </c>
      <c r="B1225" t="s">
        <v>1240</v>
      </c>
      <c r="C1225" t="s">
        <v>13</v>
      </c>
      <c r="D1225">
        <v>934</v>
      </c>
      <c r="E1225" t="s">
        <v>14</v>
      </c>
    </row>
    <row r="1226" spans="1:5" x14ac:dyDescent="0.25">
      <c r="A1226" s="1">
        <v>45317</v>
      </c>
      <c r="B1226" t="s">
        <v>1241</v>
      </c>
      <c r="C1226" t="s">
        <v>22</v>
      </c>
      <c r="D1226">
        <v>541.29</v>
      </c>
      <c r="E1226" t="s">
        <v>7</v>
      </c>
    </row>
    <row r="1227" spans="1:5" x14ac:dyDescent="0.25">
      <c r="A1227" s="1">
        <v>45317</v>
      </c>
      <c r="B1227" t="s">
        <v>1242</v>
      </c>
      <c r="C1227" t="s">
        <v>35</v>
      </c>
      <c r="D1227">
        <v>1369.95</v>
      </c>
      <c r="E1227" t="s">
        <v>7</v>
      </c>
    </row>
    <row r="1228" spans="1:5" x14ac:dyDescent="0.25">
      <c r="A1228" s="1">
        <v>45317</v>
      </c>
      <c r="B1228" t="s">
        <v>1243</v>
      </c>
      <c r="C1228" t="s">
        <v>13</v>
      </c>
      <c r="D1228">
        <v>2917</v>
      </c>
      <c r="E1228" t="s">
        <v>14</v>
      </c>
    </row>
    <row r="1229" spans="1:5" x14ac:dyDescent="0.25">
      <c r="A1229" s="1">
        <v>45318</v>
      </c>
      <c r="B1229" t="s">
        <v>1244</v>
      </c>
      <c r="C1229" t="s">
        <v>6</v>
      </c>
      <c r="D1229">
        <v>723.78</v>
      </c>
      <c r="E1229" t="s">
        <v>7</v>
      </c>
    </row>
    <row r="1230" spans="1:5" x14ac:dyDescent="0.25">
      <c r="A1230" s="1">
        <v>45319</v>
      </c>
      <c r="B1230" t="s">
        <v>1245</v>
      </c>
      <c r="C1230" t="s">
        <v>22</v>
      </c>
      <c r="D1230">
        <v>1487.4</v>
      </c>
      <c r="E1230" t="s">
        <v>7</v>
      </c>
    </row>
    <row r="1231" spans="1:5" x14ac:dyDescent="0.25">
      <c r="A1231" s="1">
        <v>45321</v>
      </c>
      <c r="B1231" t="s">
        <v>1246</v>
      </c>
      <c r="C1231" t="s">
        <v>22</v>
      </c>
      <c r="D1231">
        <v>1026.74</v>
      </c>
      <c r="E1231" t="s">
        <v>7</v>
      </c>
    </row>
    <row r="1232" spans="1:5" x14ac:dyDescent="0.25">
      <c r="A1232" s="1">
        <v>45323</v>
      </c>
      <c r="B1232" t="s">
        <v>1247</v>
      </c>
      <c r="C1232" t="s">
        <v>35</v>
      </c>
      <c r="D1232">
        <v>1388.94</v>
      </c>
      <c r="E1232" t="s">
        <v>7</v>
      </c>
    </row>
    <row r="1233" spans="1:5" x14ac:dyDescent="0.25">
      <c r="A1233" s="1">
        <v>45328</v>
      </c>
      <c r="B1233" t="s">
        <v>1248</v>
      </c>
      <c r="C1233" t="s">
        <v>20</v>
      </c>
      <c r="D1233">
        <v>3674</v>
      </c>
      <c r="E1233" t="s">
        <v>14</v>
      </c>
    </row>
    <row r="1234" spans="1:5" x14ac:dyDescent="0.25">
      <c r="A1234" s="1">
        <v>45329</v>
      </c>
      <c r="B1234" t="s">
        <v>1249</v>
      </c>
      <c r="C1234" t="s">
        <v>25</v>
      </c>
      <c r="D1234">
        <v>1932.01</v>
      </c>
      <c r="E1234" t="s">
        <v>7</v>
      </c>
    </row>
    <row r="1235" spans="1:5" x14ac:dyDescent="0.25">
      <c r="A1235" s="1">
        <v>45329</v>
      </c>
      <c r="B1235" t="s">
        <v>1250</v>
      </c>
      <c r="C1235" t="s">
        <v>20</v>
      </c>
      <c r="D1235">
        <v>2163</v>
      </c>
      <c r="E1235" t="s">
        <v>14</v>
      </c>
    </row>
    <row r="1236" spans="1:5" x14ac:dyDescent="0.25">
      <c r="A1236" s="1">
        <v>45332</v>
      </c>
      <c r="B1236" t="s">
        <v>1251</v>
      </c>
      <c r="C1236" t="s">
        <v>27</v>
      </c>
      <c r="D1236">
        <v>1661.67</v>
      </c>
      <c r="E1236" t="s">
        <v>7</v>
      </c>
    </row>
    <row r="1237" spans="1:5" x14ac:dyDescent="0.25">
      <c r="A1237" s="1">
        <v>45332</v>
      </c>
      <c r="B1237" t="s">
        <v>1252</v>
      </c>
      <c r="C1237" t="s">
        <v>25</v>
      </c>
      <c r="D1237">
        <v>1512.66</v>
      </c>
      <c r="E1237" t="s">
        <v>7</v>
      </c>
    </row>
    <row r="1238" spans="1:5" x14ac:dyDescent="0.25">
      <c r="A1238" s="1">
        <v>45332</v>
      </c>
      <c r="B1238" t="s">
        <v>1253</v>
      </c>
      <c r="C1238" t="s">
        <v>22</v>
      </c>
      <c r="D1238">
        <v>1554.53</v>
      </c>
      <c r="E1238" t="s">
        <v>7</v>
      </c>
    </row>
    <row r="1239" spans="1:5" x14ac:dyDescent="0.25">
      <c r="A1239" s="1">
        <v>45336</v>
      </c>
      <c r="B1239" t="s">
        <v>1254</v>
      </c>
      <c r="C1239" t="s">
        <v>35</v>
      </c>
      <c r="D1239">
        <v>903.14</v>
      </c>
      <c r="E1239" t="s">
        <v>7</v>
      </c>
    </row>
    <row r="1240" spans="1:5" x14ac:dyDescent="0.25">
      <c r="A1240" s="1">
        <v>45336</v>
      </c>
      <c r="B1240" t="s">
        <v>1255</v>
      </c>
      <c r="C1240" t="s">
        <v>11</v>
      </c>
      <c r="D1240">
        <v>382.08</v>
      </c>
      <c r="E1240" t="s">
        <v>7</v>
      </c>
    </row>
    <row r="1241" spans="1:5" x14ac:dyDescent="0.25">
      <c r="A1241" s="1">
        <v>45337</v>
      </c>
      <c r="B1241" t="s">
        <v>1256</v>
      </c>
      <c r="C1241" t="s">
        <v>13</v>
      </c>
      <c r="D1241">
        <v>3590</v>
      </c>
      <c r="E1241" t="s">
        <v>14</v>
      </c>
    </row>
    <row r="1242" spans="1:5" x14ac:dyDescent="0.25">
      <c r="A1242" s="1">
        <v>45338</v>
      </c>
      <c r="B1242" t="s">
        <v>1257</v>
      </c>
      <c r="C1242" t="s">
        <v>20</v>
      </c>
      <c r="D1242">
        <v>2664</v>
      </c>
      <c r="E1242" t="s">
        <v>14</v>
      </c>
    </row>
    <row r="1243" spans="1:5" x14ac:dyDescent="0.25">
      <c r="A1243" s="1">
        <v>45339</v>
      </c>
      <c r="B1243" t="s">
        <v>1258</v>
      </c>
      <c r="C1243" t="s">
        <v>20</v>
      </c>
      <c r="D1243">
        <v>546</v>
      </c>
      <c r="E1243" t="s">
        <v>14</v>
      </c>
    </row>
    <row r="1244" spans="1:5" x14ac:dyDescent="0.25">
      <c r="A1244" s="1">
        <v>45341</v>
      </c>
      <c r="B1244" t="s">
        <v>1259</v>
      </c>
      <c r="C1244" t="s">
        <v>9</v>
      </c>
      <c r="D1244">
        <v>89.48</v>
      </c>
      <c r="E1244" t="s">
        <v>7</v>
      </c>
    </row>
    <row r="1245" spans="1:5" x14ac:dyDescent="0.25">
      <c r="A1245" s="1">
        <v>45343</v>
      </c>
      <c r="B1245" t="s">
        <v>1260</v>
      </c>
      <c r="C1245" t="s">
        <v>6</v>
      </c>
      <c r="D1245">
        <v>1549.59</v>
      </c>
      <c r="E1245" t="s">
        <v>7</v>
      </c>
    </row>
    <row r="1246" spans="1:5" x14ac:dyDescent="0.25">
      <c r="A1246" s="1">
        <v>45343</v>
      </c>
      <c r="B1246" t="s">
        <v>1261</v>
      </c>
      <c r="C1246" t="s">
        <v>35</v>
      </c>
      <c r="D1246">
        <v>986.2</v>
      </c>
      <c r="E1246" t="s">
        <v>7</v>
      </c>
    </row>
    <row r="1247" spans="1:5" x14ac:dyDescent="0.25">
      <c r="A1247" s="1">
        <v>45343</v>
      </c>
      <c r="B1247" t="s">
        <v>1262</v>
      </c>
      <c r="C1247" t="s">
        <v>25</v>
      </c>
      <c r="D1247">
        <v>155.03</v>
      </c>
      <c r="E1247" t="s">
        <v>7</v>
      </c>
    </row>
    <row r="1248" spans="1:5" x14ac:dyDescent="0.25">
      <c r="A1248" s="1">
        <v>45344</v>
      </c>
      <c r="B1248" t="s">
        <v>1263</v>
      </c>
      <c r="C1248" t="s">
        <v>22</v>
      </c>
      <c r="D1248">
        <v>1914.41</v>
      </c>
      <c r="E1248" t="s">
        <v>7</v>
      </c>
    </row>
    <row r="1249" spans="1:5" x14ac:dyDescent="0.25">
      <c r="A1249" s="1">
        <v>45345</v>
      </c>
      <c r="B1249" t="s">
        <v>1264</v>
      </c>
      <c r="C1249" t="s">
        <v>9</v>
      </c>
      <c r="D1249">
        <v>837.7</v>
      </c>
      <c r="E1249" t="s">
        <v>7</v>
      </c>
    </row>
    <row r="1250" spans="1:5" x14ac:dyDescent="0.25">
      <c r="A1250" s="1">
        <v>45345</v>
      </c>
      <c r="B1250" t="s">
        <v>1265</v>
      </c>
      <c r="C1250" t="s">
        <v>11</v>
      </c>
      <c r="D1250">
        <v>705.31</v>
      </c>
      <c r="E1250" t="s">
        <v>7</v>
      </c>
    </row>
    <row r="1251" spans="1:5" x14ac:dyDescent="0.25">
      <c r="A1251" s="1">
        <v>45346</v>
      </c>
      <c r="B1251" t="s">
        <v>1266</v>
      </c>
      <c r="C1251" t="s">
        <v>25</v>
      </c>
      <c r="D1251">
        <v>668.82</v>
      </c>
      <c r="E1251" t="s">
        <v>7</v>
      </c>
    </row>
    <row r="1252" spans="1:5" x14ac:dyDescent="0.25">
      <c r="A1252" s="1">
        <v>45346</v>
      </c>
      <c r="B1252" t="s">
        <v>1267</v>
      </c>
      <c r="C1252" t="s">
        <v>27</v>
      </c>
      <c r="D1252">
        <v>1993.3</v>
      </c>
      <c r="E1252" t="s">
        <v>7</v>
      </c>
    </row>
    <row r="1253" spans="1:5" x14ac:dyDescent="0.25">
      <c r="A1253" s="1">
        <v>45347</v>
      </c>
      <c r="B1253" t="s">
        <v>1268</v>
      </c>
      <c r="C1253" t="s">
        <v>6</v>
      </c>
      <c r="D1253">
        <v>238.3</v>
      </c>
      <c r="E1253" t="s">
        <v>7</v>
      </c>
    </row>
    <row r="1254" spans="1:5" x14ac:dyDescent="0.25">
      <c r="A1254" s="1">
        <v>45349</v>
      </c>
      <c r="B1254" t="s">
        <v>1269</v>
      </c>
      <c r="C1254" t="s">
        <v>22</v>
      </c>
      <c r="D1254">
        <v>1809.95</v>
      </c>
      <c r="E1254" t="s">
        <v>7</v>
      </c>
    </row>
    <row r="1255" spans="1:5" x14ac:dyDescent="0.25">
      <c r="A1255" s="1">
        <v>45349</v>
      </c>
      <c r="B1255" t="s">
        <v>1270</v>
      </c>
      <c r="C1255" t="s">
        <v>22</v>
      </c>
      <c r="D1255">
        <v>1918.2</v>
      </c>
      <c r="E1255" t="s">
        <v>7</v>
      </c>
    </row>
    <row r="1256" spans="1:5" x14ac:dyDescent="0.25">
      <c r="A1256" s="1">
        <v>45349</v>
      </c>
      <c r="B1256" t="s">
        <v>1271</v>
      </c>
      <c r="C1256" t="s">
        <v>25</v>
      </c>
      <c r="D1256">
        <v>768.93</v>
      </c>
      <c r="E1256" t="s">
        <v>7</v>
      </c>
    </row>
    <row r="1257" spans="1:5" x14ac:dyDescent="0.25">
      <c r="A1257" s="1">
        <v>45350</v>
      </c>
      <c r="B1257" t="s">
        <v>1272</v>
      </c>
      <c r="C1257" t="s">
        <v>11</v>
      </c>
      <c r="D1257">
        <v>777.89</v>
      </c>
      <c r="E1257" t="s">
        <v>7</v>
      </c>
    </row>
    <row r="1258" spans="1:5" x14ac:dyDescent="0.25">
      <c r="A1258" s="1">
        <v>45351</v>
      </c>
      <c r="B1258" t="s">
        <v>1273</v>
      </c>
      <c r="C1258" t="s">
        <v>35</v>
      </c>
      <c r="D1258">
        <v>59.16</v>
      </c>
      <c r="E1258" t="s">
        <v>7</v>
      </c>
    </row>
    <row r="1259" spans="1:5" x14ac:dyDescent="0.25">
      <c r="A1259" s="1">
        <v>45353</v>
      </c>
      <c r="B1259" t="s">
        <v>1274</v>
      </c>
      <c r="C1259" t="s">
        <v>25</v>
      </c>
      <c r="D1259">
        <v>1033.48</v>
      </c>
      <c r="E1259" t="s">
        <v>7</v>
      </c>
    </row>
    <row r="1260" spans="1:5" x14ac:dyDescent="0.25">
      <c r="A1260" s="1">
        <v>45354</v>
      </c>
      <c r="B1260" t="s">
        <v>1275</v>
      </c>
      <c r="C1260" t="s">
        <v>27</v>
      </c>
      <c r="D1260">
        <v>97.26</v>
      </c>
      <c r="E1260" t="s">
        <v>7</v>
      </c>
    </row>
    <row r="1261" spans="1:5" x14ac:dyDescent="0.25">
      <c r="A1261" s="1">
        <v>45356</v>
      </c>
      <c r="B1261" t="s">
        <v>1276</v>
      </c>
      <c r="C1261" t="s">
        <v>22</v>
      </c>
      <c r="D1261">
        <v>647.41999999999996</v>
      </c>
      <c r="E1261" t="s">
        <v>7</v>
      </c>
    </row>
    <row r="1262" spans="1:5" x14ac:dyDescent="0.25">
      <c r="A1262" s="1">
        <v>45356</v>
      </c>
      <c r="B1262" t="s">
        <v>1277</v>
      </c>
      <c r="C1262" t="s">
        <v>13</v>
      </c>
      <c r="D1262">
        <v>1871</v>
      </c>
      <c r="E1262" t="s">
        <v>14</v>
      </c>
    </row>
    <row r="1263" spans="1:5" x14ac:dyDescent="0.25">
      <c r="A1263" s="1">
        <v>45357</v>
      </c>
      <c r="B1263" t="s">
        <v>1278</v>
      </c>
      <c r="C1263" t="s">
        <v>6</v>
      </c>
      <c r="D1263">
        <v>1257.5999999999999</v>
      </c>
      <c r="E1263" t="s">
        <v>7</v>
      </c>
    </row>
    <row r="1264" spans="1:5" x14ac:dyDescent="0.25">
      <c r="A1264" s="1">
        <v>45357</v>
      </c>
      <c r="B1264" t="s">
        <v>1279</v>
      </c>
      <c r="C1264" t="s">
        <v>22</v>
      </c>
      <c r="D1264">
        <v>1731.25</v>
      </c>
      <c r="E1264" t="s">
        <v>7</v>
      </c>
    </row>
    <row r="1265" spans="1:5" x14ac:dyDescent="0.25">
      <c r="A1265" s="1">
        <v>45357</v>
      </c>
      <c r="B1265" t="s">
        <v>1280</v>
      </c>
      <c r="C1265" t="s">
        <v>11</v>
      </c>
      <c r="D1265">
        <v>419.1</v>
      </c>
      <c r="E1265" t="s">
        <v>7</v>
      </c>
    </row>
    <row r="1266" spans="1:5" x14ac:dyDescent="0.25">
      <c r="A1266" s="1">
        <v>45358</v>
      </c>
      <c r="B1266" t="s">
        <v>1281</v>
      </c>
      <c r="C1266" t="s">
        <v>17</v>
      </c>
      <c r="D1266">
        <v>1296.6600000000001</v>
      </c>
      <c r="E1266" t="s">
        <v>7</v>
      </c>
    </row>
    <row r="1267" spans="1:5" x14ac:dyDescent="0.25">
      <c r="A1267" s="1">
        <v>45358</v>
      </c>
      <c r="B1267" t="s">
        <v>1282</v>
      </c>
      <c r="C1267" t="s">
        <v>9</v>
      </c>
      <c r="D1267">
        <v>57.27</v>
      </c>
      <c r="E1267" t="s">
        <v>7</v>
      </c>
    </row>
    <row r="1268" spans="1:5" x14ac:dyDescent="0.25">
      <c r="A1268" s="1">
        <v>45359</v>
      </c>
      <c r="B1268" t="s">
        <v>1283</v>
      </c>
      <c r="C1268" t="s">
        <v>6</v>
      </c>
      <c r="D1268">
        <v>184.17</v>
      </c>
      <c r="E1268" t="s">
        <v>7</v>
      </c>
    </row>
    <row r="1269" spans="1:5" x14ac:dyDescent="0.25">
      <c r="A1269" s="1">
        <v>45362</v>
      </c>
      <c r="B1269" t="s">
        <v>1284</v>
      </c>
      <c r="C1269" t="s">
        <v>20</v>
      </c>
      <c r="D1269">
        <v>1077</v>
      </c>
      <c r="E1269" t="s">
        <v>14</v>
      </c>
    </row>
    <row r="1270" spans="1:5" x14ac:dyDescent="0.25">
      <c r="A1270" s="1">
        <v>45364</v>
      </c>
      <c r="B1270" t="s">
        <v>1285</v>
      </c>
      <c r="C1270" t="s">
        <v>22</v>
      </c>
      <c r="D1270">
        <v>1822.86</v>
      </c>
      <c r="E1270" t="s">
        <v>7</v>
      </c>
    </row>
    <row r="1271" spans="1:5" x14ac:dyDescent="0.25">
      <c r="A1271" s="1">
        <v>45366</v>
      </c>
      <c r="B1271" t="s">
        <v>1286</v>
      </c>
      <c r="C1271" t="s">
        <v>27</v>
      </c>
      <c r="D1271">
        <v>1264.1300000000001</v>
      </c>
      <c r="E1271" t="s">
        <v>7</v>
      </c>
    </row>
    <row r="1272" spans="1:5" x14ac:dyDescent="0.25">
      <c r="A1272" s="1">
        <v>45367</v>
      </c>
      <c r="B1272" t="s">
        <v>1287</v>
      </c>
      <c r="C1272" t="s">
        <v>6</v>
      </c>
      <c r="D1272">
        <v>785.11</v>
      </c>
      <c r="E1272" t="s">
        <v>7</v>
      </c>
    </row>
    <row r="1273" spans="1:5" x14ac:dyDescent="0.25">
      <c r="A1273" s="1">
        <v>45369</v>
      </c>
      <c r="B1273" t="s">
        <v>1288</v>
      </c>
      <c r="C1273" t="s">
        <v>13</v>
      </c>
      <c r="D1273">
        <v>1018</v>
      </c>
      <c r="E1273" t="s">
        <v>14</v>
      </c>
    </row>
    <row r="1274" spans="1:5" x14ac:dyDescent="0.25">
      <c r="A1274" s="1">
        <v>45377</v>
      </c>
      <c r="B1274" t="s">
        <v>1289</v>
      </c>
      <c r="C1274" t="s">
        <v>6</v>
      </c>
      <c r="D1274">
        <v>1404.76</v>
      </c>
      <c r="E1274" t="s">
        <v>7</v>
      </c>
    </row>
    <row r="1275" spans="1:5" x14ac:dyDescent="0.25">
      <c r="A1275" s="1">
        <v>45378</v>
      </c>
      <c r="B1275" t="s">
        <v>1290</v>
      </c>
      <c r="C1275" t="s">
        <v>13</v>
      </c>
      <c r="D1275">
        <v>2874</v>
      </c>
      <c r="E1275" t="s">
        <v>14</v>
      </c>
    </row>
    <row r="1276" spans="1:5" x14ac:dyDescent="0.25">
      <c r="A1276" s="1">
        <v>45379</v>
      </c>
      <c r="B1276" t="s">
        <v>1291</v>
      </c>
      <c r="C1276" t="s">
        <v>35</v>
      </c>
      <c r="D1276">
        <v>1217.07</v>
      </c>
      <c r="E1276" t="s">
        <v>7</v>
      </c>
    </row>
    <row r="1277" spans="1:5" x14ac:dyDescent="0.25">
      <c r="A1277" s="1">
        <v>45380</v>
      </c>
      <c r="B1277" t="s">
        <v>1292</v>
      </c>
      <c r="C1277" t="s">
        <v>27</v>
      </c>
      <c r="D1277">
        <v>769.01</v>
      </c>
      <c r="E1277" t="s">
        <v>7</v>
      </c>
    </row>
    <row r="1278" spans="1:5" x14ac:dyDescent="0.25">
      <c r="A1278" s="1">
        <v>45381</v>
      </c>
      <c r="B1278" t="s">
        <v>1293</v>
      </c>
      <c r="C1278" t="s">
        <v>6</v>
      </c>
      <c r="D1278">
        <v>953.24</v>
      </c>
      <c r="E1278" t="s">
        <v>7</v>
      </c>
    </row>
    <row r="1279" spans="1:5" x14ac:dyDescent="0.25">
      <c r="A1279" s="1">
        <v>45381</v>
      </c>
      <c r="B1279" t="s">
        <v>1294</v>
      </c>
      <c r="C1279" t="s">
        <v>9</v>
      </c>
      <c r="D1279">
        <v>1496.04</v>
      </c>
      <c r="E1279" t="s">
        <v>7</v>
      </c>
    </row>
    <row r="1280" spans="1:5" x14ac:dyDescent="0.25">
      <c r="A1280" s="1">
        <v>45385</v>
      </c>
      <c r="B1280" t="s">
        <v>1295</v>
      </c>
      <c r="C1280" t="s">
        <v>35</v>
      </c>
      <c r="D1280">
        <v>1920.67</v>
      </c>
      <c r="E1280" t="s">
        <v>7</v>
      </c>
    </row>
    <row r="1281" spans="1:5" x14ac:dyDescent="0.25">
      <c r="A1281" s="1">
        <v>45386</v>
      </c>
      <c r="B1281" t="s">
        <v>1296</v>
      </c>
      <c r="C1281" t="s">
        <v>20</v>
      </c>
      <c r="D1281">
        <v>591</v>
      </c>
      <c r="E1281" t="s">
        <v>14</v>
      </c>
    </row>
    <row r="1282" spans="1:5" x14ac:dyDescent="0.25">
      <c r="A1282" s="1">
        <v>45388</v>
      </c>
      <c r="B1282" t="s">
        <v>1297</v>
      </c>
      <c r="C1282" t="s">
        <v>9</v>
      </c>
      <c r="D1282">
        <v>255.24</v>
      </c>
      <c r="E1282" t="s">
        <v>7</v>
      </c>
    </row>
    <row r="1283" spans="1:5" x14ac:dyDescent="0.25">
      <c r="A1283" s="1">
        <v>45389</v>
      </c>
      <c r="B1283" t="s">
        <v>1298</v>
      </c>
      <c r="C1283" t="s">
        <v>20</v>
      </c>
      <c r="D1283">
        <v>4900</v>
      </c>
      <c r="E1283" t="s">
        <v>14</v>
      </c>
    </row>
    <row r="1284" spans="1:5" x14ac:dyDescent="0.25">
      <c r="A1284" s="1">
        <v>45390</v>
      </c>
      <c r="B1284" t="s">
        <v>1299</v>
      </c>
      <c r="C1284" t="s">
        <v>11</v>
      </c>
      <c r="D1284">
        <v>616.34</v>
      </c>
      <c r="E1284" t="s">
        <v>7</v>
      </c>
    </row>
    <row r="1285" spans="1:5" x14ac:dyDescent="0.25">
      <c r="A1285" s="1">
        <v>45391</v>
      </c>
      <c r="B1285" t="s">
        <v>1300</v>
      </c>
      <c r="C1285" t="s">
        <v>25</v>
      </c>
      <c r="D1285">
        <v>431.36</v>
      </c>
      <c r="E1285" t="s">
        <v>7</v>
      </c>
    </row>
    <row r="1286" spans="1:5" x14ac:dyDescent="0.25">
      <c r="A1286" s="1">
        <v>45391</v>
      </c>
      <c r="B1286" t="s">
        <v>1301</v>
      </c>
      <c r="C1286" t="s">
        <v>9</v>
      </c>
      <c r="D1286">
        <v>330.3</v>
      </c>
      <c r="E1286" t="s">
        <v>7</v>
      </c>
    </row>
    <row r="1287" spans="1:5" x14ac:dyDescent="0.25">
      <c r="A1287" s="1">
        <v>45392</v>
      </c>
      <c r="B1287" t="s">
        <v>1302</v>
      </c>
      <c r="C1287" t="s">
        <v>35</v>
      </c>
      <c r="D1287">
        <v>396.71</v>
      </c>
      <c r="E1287" t="s">
        <v>7</v>
      </c>
    </row>
    <row r="1288" spans="1:5" x14ac:dyDescent="0.25">
      <c r="A1288" s="1">
        <v>45392</v>
      </c>
      <c r="B1288" t="s">
        <v>1303</v>
      </c>
      <c r="C1288" t="s">
        <v>13</v>
      </c>
      <c r="D1288">
        <v>4996</v>
      </c>
      <c r="E1288" t="s">
        <v>14</v>
      </c>
    </row>
    <row r="1289" spans="1:5" x14ac:dyDescent="0.25">
      <c r="A1289" s="1">
        <v>45393</v>
      </c>
      <c r="B1289" t="s">
        <v>1304</v>
      </c>
      <c r="C1289" t="s">
        <v>11</v>
      </c>
      <c r="D1289">
        <v>588.4</v>
      </c>
      <c r="E1289" t="s">
        <v>7</v>
      </c>
    </row>
    <row r="1290" spans="1:5" x14ac:dyDescent="0.25">
      <c r="A1290" s="1">
        <v>45395</v>
      </c>
      <c r="B1290" t="s">
        <v>1305</v>
      </c>
      <c r="C1290" t="s">
        <v>13</v>
      </c>
      <c r="D1290">
        <v>2117</v>
      </c>
      <c r="E1290" t="s">
        <v>14</v>
      </c>
    </row>
    <row r="1291" spans="1:5" x14ac:dyDescent="0.25">
      <c r="A1291" s="1">
        <v>45398</v>
      </c>
      <c r="B1291" t="s">
        <v>1306</v>
      </c>
      <c r="C1291" t="s">
        <v>27</v>
      </c>
      <c r="D1291">
        <v>1903.56</v>
      </c>
      <c r="E1291" t="s">
        <v>7</v>
      </c>
    </row>
    <row r="1292" spans="1:5" x14ac:dyDescent="0.25">
      <c r="A1292" s="1">
        <v>45399</v>
      </c>
      <c r="B1292" t="s">
        <v>1307</v>
      </c>
      <c r="C1292" t="s">
        <v>22</v>
      </c>
      <c r="D1292">
        <v>209.09</v>
      </c>
      <c r="E1292" t="s">
        <v>7</v>
      </c>
    </row>
    <row r="1293" spans="1:5" x14ac:dyDescent="0.25">
      <c r="A1293" s="1">
        <v>45399</v>
      </c>
      <c r="B1293" t="s">
        <v>1308</v>
      </c>
      <c r="C1293" t="s">
        <v>22</v>
      </c>
      <c r="D1293">
        <v>642.39</v>
      </c>
      <c r="E1293" t="s">
        <v>7</v>
      </c>
    </row>
    <row r="1294" spans="1:5" x14ac:dyDescent="0.25">
      <c r="A1294" s="1">
        <v>45399</v>
      </c>
      <c r="B1294" t="s">
        <v>1309</v>
      </c>
      <c r="C1294" t="s">
        <v>35</v>
      </c>
      <c r="D1294">
        <v>1389.98</v>
      </c>
      <c r="E1294" t="s">
        <v>7</v>
      </c>
    </row>
    <row r="1295" spans="1:5" x14ac:dyDescent="0.25">
      <c r="A1295" s="1">
        <v>45400</v>
      </c>
      <c r="B1295" t="s">
        <v>1310</v>
      </c>
      <c r="C1295" t="s">
        <v>20</v>
      </c>
      <c r="D1295">
        <v>3091</v>
      </c>
      <c r="E1295" t="s">
        <v>14</v>
      </c>
    </row>
    <row r="1296" spans="1:5" x14ac:dyDescent="0.25">
      <c r="A1296" s="1">
        <v>45402</v>
      </c>
      <c r="B1296" t="s">
        <v>1311</v>
      </c>
      <c r="C1296" t="s">
        <v>9</v>
      </c>
      <c r="D1296">
        <v>19.62</v>
      </c>
      <c r="E1296" t="s">
        <v>7</v>
      </c>
    </row>
    <row r="1297" spans="1:5" x14ac:dyDescent="0.25">
      <c r="A1297" s="1">
        <v>45403</v>
      </c>
      <c r="B1297" t="s">
        <v>1312</v>
      </c>
      <c r="C1297" t="s">
        <v>22</v>
      </c>
      <c r="D1297">
        <v>1427.28</v>
      </c>
      <c r="E1297" t="s">
        <v>7</v>
      </c>
    </row>
    <row r="1298" spans="1:5" x14ac:dyDescent="0.25">
      <c r="A1298" s="1">
        <v>45404</v>
      </c>
      <c r="B1298" t="s">
        <v>1313</v>
      </c>
      <c r="C1298" t="s">
        <v>35</v>
      </c>
      <c r="D1298">
        <v>1681.82</v>
      </c>
      <c r="E1298" t="s">
        <v>7</v>
      </c>
    </row>
    <row r="1299" spans="1:5" x14ac:dyDescent="0.25">
      <c r="A1299" s="1">
        <v>45405</v>
      </c>
      <c r="B1299" t="s">
        <v>1314</v>
      </c>
      <c r="C1299" t="s">
        <v>20</v>
      </c>
      <c r="D1299">
        <v>4431</v>
      </c>
      <c r="E1299" t="s">
        <v>14</v>
      </c>
    </row>
    <row r="1300" spans="1:5" x14ac:dyDescent="0.25">
      <c r="A1300" s="1">
        <v>45407</v>
      </c>
      <c r="B1300" t="s">
        <v>1315</v>
      </c>
      <c r="C1300" t="s">
        <v>25</v>
      </c>
      <c r="D1300">
        <v>1551.79</v>
      </c>
      <c r="E1300" t="s">
        <v>7</v>
      </c>
    </row>
    <row r="1301" spans="1:5" x14ac:dyDescent="0.25">
      <c r="A1301" s="1">
        <v>45408</v>
      </c>
      <c r="B1301" t="s">
        <v>1316</v>
      </c>
      <c r="C1301" t="s">
        <v>11</v>
      </c>
      <c r="D1301">
        <v>359.78</v>
      </c>
      <c r="E1301" t="s">
        <v>7</v>
      </c>
    </row>
    <row r="1302" spans="1:5" x14ac:dyDescent="0.25">
      <c r="A1302" s="1">
        <v>45408</v>
      </c>
      <c r="B1302" t="s">
        <v>1317</v>
      </c>
      <c r="C1302" t="s">
        <v>35</v>
      </c>
      <c r="D1302">
        <v>1718.84</v>
      </c>
      <c r="E1302" t="s">
        <v>7</v>
      </c>
    </row>
    <row r="1303" spans="1:5" x14ac:dyDescent="0.25">
      <c r="A1303" s="1">
        <v>45412</v>
      </c>
      <c r="B1303" t="s">
        <v>1318</v>
      </c>
      <c r="C1303" t="s">
        <v>13</v>
      </c>
      <c r="D1303">
        <v>2656</v>
      </c>
      <c r="E1303" t="s">
        <v>14</v>
      </c>
    </row>
    <row r="1304" spans="1:5" x14ac:dyDescent="0.25">
      <c r="A1304" s="1">
        <v>45414</v>
      </c>
      <c r="B1304" t="s">
        <v>1319</v>
      </c>
      <c r="C1304" t="s">
        <v>11</v>
      </c>
      <c r="D1304">
        <v>1457.58</v>
      </c>
      <c r="E1304" t="s">
        <v>7</v>
      </c>
    </row>
    <row r="1305" spans="1:5" x14ac:dyDescent="0.25">
      <c r="A1305" s="1">
        <v>45415</v>
      </c>
      <c r="B1305" t="s">
        <v>1320</v>
      </c>
      <c r="C1305" t="s">
        <v>6</v>
      </c>
      <c r="D1305">
        <v>1627.16</v>
      </c>
      <c r="E1305" t="s">
        <v>7</v>
      </c>
    </row>
    <row r="1306" spans="1:5" x14ac:dyDescent="0.25">
      <c r="A1306" s="1">
        <v>45416</v>
      </c>
      <c r="B1306" t="s">
        <v>1321</v>
      </c>
      <c r="C1306" t="s">
        <v>22</v>
      </c>
      <c r="D1306">
        <v>1813.54</v>
      </c>
      <c r="E1306" t="s">
        <v>7</v>
      </c>
    </row>
    <row r="1307" spans="1:5" x14ac:dyDescent="0.25">
      <c r="A1307" s="1">
        <v>45416</v>
      </c>
      <c r="B1307" t="s">
        <v>1322</v>
      </c>
      <c r="C1307" t="s">
        <v>27</v>
      </c>
      <c r="D1307">
        <v>1311.28</v>
      </c>
      <c r="E1307" t="s">
        <v>7</v>
      </c>
    </row>
    <row r="1308" spans="1:5" x14ac:dyDescent="0.25">
      <c r="A1308" s="1">
        <v>45417</v>
      </c>
      <c r="B1308" t="s">
        <v>1323</v>
      </c>
      <c r="C1308" t="s">
        <v>20</v>
      </c>
      <c r="D1308">
        <v>2329</v>
      </c>
      <c r="E1308" t="s">
        <v>14</v>
      </c>
    </row>
    <row r="1309" spans="1:5" x14ac:dyDescent="0.25">
      <c r="A1309" s="1">
        <v>45417</v>
      </c>
      <c r="B1309" t="s">
        <v>1324</v>
      </c>
      <c r="C1309" t="s">
        <v>35</v>
      </c>
      <c r="D1309">
        <v>276.42</v>
      </c>
      <c r="E1309" t="s">
        <v>7</v>
      </c>
    </row>
    <row r="1310" spans="1:5" x14ac:dyDescent="0.25">
      <c r="A1310" s="1">
        <v>45426</v>
      </c>
      <c r="B1310" t="s">
        <v>1325</v>
      </c>
      <c r="C1310" t="s">
        <v>11</v>
      </c>
      <c r="D1310">
        <v>799.6</v>
      </c>
      <c r="E1310" t="s">
        <v>7</v>
      </c>
    </row>
    <row r="1311" spans="1:5" x14ac:dyDescent="0.25">
      <c r="A1311" s="1">
        <v>45427</v>
      </c>
      <c r="B1311" t="s">
        <v>1326</v>
      </c>
      <c r="C1311" t="s">
        <v>22</v>
      </c>
      <c r="D1311">
        <v>1697.48</v>
      </c>
      <c r="E1311" t="s">
        <v>7</v>
      </c>
    </row>
    <row r="1312" spans="1:5" x14ac:dyDescent="0.25">
      <c r="A1312" s="1">
        <v>45429</v>
      </c>
      <c r="B1312" t="s">
        <v>1327</v>
      </c>
      <c r="C1312" t="s">
        <v>9</v>
      </c>
      <c r="D1312">
        <v>1516.84</v>
      </c>
      <c r="E1312" t="s">
        <v>7</v>
      </c>
    </row>
    <row r="1313" spans="1:5" x14ac:dyDescent="0.25">
      <c r="A1313" s="1">
        <v>45432</v>
      </c>
      <c r="B1313" t="s">
        <v>1328</v>
      </c>
      <c r="C1313" t="s">
        <v>13</v>
      </c>
      <c r="D1313">
        <v>1967</v>
      </c>
      <c r="E1313" t="s">
        <v>14</v>
      </c>
    </row>
    <row r="1314" spans="1:5" x14ac:dyDescent="0.25">
      <c r="A1314" s="1">
        <v>45434</v>
      </c>
      <c r="B1314" t="s">
        <v>1329</v>
      </c>
      <c r="C1314" t="s">
        <v>9</v>
      </c>
      <c r="D1314">
        <v>1474.48</v>
      </c>
      <c r="E1314" t="s">
        <v>7</v>
      </c>
    </row>
    <row r="1315" spans="1:5" x14ac:dyDescent="0.25">
      <c r="A1315" s="1">
        <v>45435</v>
      </c>
      <c r="B1315" t="s">
        <v>1330</v>
      </c>
      <c r="C1315" t="s">
        <v>25</v>
      </c>
      <c r="D1315">
        <v>90.44</v>
      </c>
      <c r="E1315" t="s">
        <v>7</v>
      </c>
    </row>
    <row r="1316" spans="1:5" x14ac:dyDescent="0.25">
      <c r="A1316" s="1">
        <v>45437</v>
      </c>
      <c r="B1316" t="s">
        <v>1331</v>
      </c>
      <c r="C1316" t="s">
        <v>22</v>
      </c>
      <c r="D1316">
        <v>135.09</v>
      </c>
      <c r="E1316" t="s">
        <v>7</v>
      </c>
    </row>
    <row r="1317" spans="1:5" x14ac:dyDescent="0.25">
      <c r="A1317" s="1">
        <v>45438</v>
      </c>
      <c r="B1317" t="s">
        <v>1332</v>
      </c>
      <c r="C1317" t="s">
        <v>6</v>
      </c>
      <c r="D1317">
        <v>1340.49</v>
      </c>
      <c r="E1317" t="s">
        <v>7</v>
      </c>
    </row>
    <row r="1318" spans="1:5" x14ac:dyDescent="0.25">
      <c r="A1318" s="1">
        <v>45439</v>
      </c>
      <c r="B1318" t="s">
        <v>1333</v>
      </c>
      <c r="C1318" t="s">
        <v>25</v>
      </c>
      <c r="D1318">
        <v>782.31</v>
      </c>
      <c r="E1318" t="s">
        <v>7</v>
      </c>
    </row>
    <row r="1319" spans="1:5" x14ac:dyDescent="0.25">
      <c r="A1319" s="1">
        <v>45439</v>
      </c>
      <c r="B1319" t="s">
        <v>1334</v>
      </c>
      <c r="C1319" t="s">
        <v>6</v>
      </c>
      <c r="D1319">
        <v>89.41</v>
      </c>
      <c r="E1319" t="s">
        <v>7</v>
      </c>
    </row>
    <row r="1320" spans="1:5" x14ac:dyDescent="0.25">
      <c r="A1320" s="1">
        <v>45443</v>
      </c>
      <c r="B1320" t="s">
        <v>1335</v>
      </c>
      <c r="C1320" t="s">
        <v>11</v>
      </c>
      <c r="D1320">
        <v>1410.44</v>
      </c>
      <c r="E1320" t="s">
        <v>7</v>
      </c>
    </row>
    <row r="1321" spans="1:5" x14ac:dyDescent="0.25">
      <c r="A1321" s="1">
        <v>45444</v>
      </c>
      <c r="B1321" t="s">
        <v>1336</v>
      </c>
      <c r="C1321" t="s">
        <v>35</v>
      </c>
      <c r="D1321">
        <v>1671.4</v>
      </c>
      <c r="E1321" t="s">
        <v>7</v>
      </c>
    </row>
    <row r="1322" spans="1:5" x14ac:dyDescent="0.25">
      <c r="A1322" s="1">
        <v>45445</v>
      </c>
      <c r="B1322" t="s">
        <v>1337</v>
      </c>
      <c r="C1322" t="s">
        <v>9</v>
      </c>
      <c r="D1322">
        <v>759.55</v>
      </c>
      <c r="E1322" t="s">
        <v>7</v>
      </c>
    </row>
    <row r="1323" spans="1:5" x14ac:dyDescent="0.25">
      <c r="A1323" s="1">
        <v>45445</v>
      </c>
      <c r="B1323" t="s">
        <v>1338</v>
      </c>
      <c r="C1323" t="s">
        <v>11</v>
      </c>
      <c r="D1323">
        <v>1038.1600000000001</v>
      </c>
      <c r="E1323" t="s">
        <v>7</v>
      </c>
    </row>
    <row r="1324" spans="1:5" x14ac:dyDescent="0.25">
      <c r="A1324" s="1">
        <v>45446</v>
      </c>
      <c r="B1324" t="s">
        <v>1339</v>
      </c>
      <c r="C1324" t="s">
        <v>22</v>
      </c>
      <c r="D1324">
        <v>1037.58</v>
      </c>
      <c r="E1324" t="s">
        <v>7</v>
      </c>
    </row>
    <row r="1325" spans="1:5" x14ac:dyDescent="0.25">
      <c r="A1325" s="1">
        <v>45447</v>
      </c>
      <c r="B1325" t="s">
        <v>1340</v>
      </c>
      <c r="C1325" t="s">
        <v>25</v>
      </c>
      <c r="D1325">
        <v>978.85</v>
      </c>
      <c r="E1325" t="s">
        <v>7</v>
      </c>
    </row>
    <row r="1326" spans="1:5" x14ac:dyDescent="0.25">
      <c r="A1326" s="1">
        <v>45449</v>
      </c>
      <c r="B1326" t="s">
        <v>1341</v>
      </c>
      <c r="C1326" t="s">
        <v>6</v>
      </c>
      <c r="D1326">
        <v>1008.66</v>
      </c>
      <c r="E1326" t="s">
        <v>7</v>
      </c>
    </row>
    <row r="1327" spans="1:5" x14ac:dyDescent="0.25">
      <c r="A1327" s="1">
        <v>45450</v>
      </c>
      <c r="B1327" t="s">
        <v>1342</v>
      </c>
      <c r="C1327" t="s">
        <v>13</v>
      </c>
      <c r="D1327">
        <v>2384</v>
      </c>
      <c r="E1327" t="s">
        <v>14</v>
      </c>
    </row>
    <row r="1328" spans="1:5" x14ac:dyDescent="0.25">
      <c r="A1328" s="1">
        <v>45452</v>
      </c>
      <c r="B1328" t="s">
        <v>1343</v>
      </c>
      <c r="C1328" t="s">
        <v>20</v>
      </c>
      <c r="D1328">
        <v>2232</v>
      </c>
      <c r="E1328" t="s">
        <v>14</v>
      </c>
    </row>
    <row r="1329" spans="1:5" x14ac:dyDescent="0.25">
      <c r="A1329" s="1">
        <v>45453</v>
      </c>
      <c r="B1329" t="s">
        <v>1344</v>
      </c>
      <c r="C1329" t="s">
        <v>13</v>
      </c>
      <c r="D1329">
        <v>3467</v>
      </c>
      <c r="E1329" t="s">
        <v>14</v>
      </c>
    </row>
    <row r="1330" spans="1:5" x14ac:dyDescent="0.25">
      <c r="A1330" s="1">
        <v>45455</v>
      </c>
      <c r="B1330" t="s">
        <v>1345</v>
      </c>
      <c r="C1330" t="s">
        <v>11</v>
      </c>
      <c r="D1330">
        <v>1325.61</v>
      </c>
      <c r="E1330" t="s">
        <v>7</v>
      </c>
    </row>
    <row r="1331" spans="1:5" x14ac:dyDescent="0.25">
      <c r="A1331" s="1">
        <v>45456</v>
      </c>
      <c r="B1331" t="s">
        <v>1346</v>
      </c>
      <c r="C1331" t="s">
        <v>25</v>
      </c>
      <c r="D1331">
        <v>1443.31</v>
      </c>
      <c r="E1331" t="s">
        <v>7</v>
      </c>
    </row>
    <row r="1332" spans="1:5" x14ac:dyDescent="0.25">
      <c r="A1332" s="1">
        <v>45456</v>
      </c>
      <c r="B1332" t="s">
        <v>1347</v>
      </c>
      <c r="C1332" t="s">
        <v>27</v>
      </c>
      <c r="D1332">
        <v>963.25</v>
      </c>
      <c r="E1332" t="s">
        <v>7</v>
      </c>
    </row>
    <row r="1333" spans="1:5" x14ac:dyDescent="0.25">
      <c r="A1333" s="1">
        <v>45457</v>
      </c>
      <c r="B1333" t="s">
        <v>1348</v>
      </c>
      <c r="C1333" t="s">
        <v>17</v>
      </c>
      <c r="D1333">
        <v>54.67</v>
      </c>
      <c r="E1333" t="s">
        <v>7</v>
      </c>
    </row>
    <row r="1334" spans="1:5" x14ac:dyDescent="0.25">
      <c r="A1334" s="1">
        <v>45458</v>
      </c>
      <c r="B1334" t="s">
        <v>1349</v>
      </c>
      <c r="C1334" t="s">
        <v>13</v>
      </c>
      <c r="D1334">
        <v>1603</v>
      </c>
      <c r="E1334" t="s">
        <v>14</v>
      </c>
    </row>
    <row r="1335" spans="1:5" x14ac:dyDescent="0.25">
      <c r="A1335" s="1">
        <v>45459</v>
      </c>
      <c r="B1335" t="s">
        <v>1350</v>
      </c>
      <c r="C1335" t="s">
        <v>6</v>
      </c>
      <c r="D1335">
        <v>1782.69</v>
      </c>
      <c r="E1335" t="s">
        <v>7</v>
      </c>
    </row>
    <row r="1336" spans="1:5" x14ac:dyDescent="0.25">
      <c r="A1336" s="1">
        <v>45460</v>
      </c>
      <c r="B1336" t="s">
        <v>1351</v>
      </c>
      <c r="C1336" t="s">
        <v>13</v>
      </c>
      <c r="D1336">
        <v>2615</v>
      </c>
      <c r="E1336" t="s">
        <v>14</v>
      </c>
    </row>
    <row r="1337" spans="1:5" x14ac:dyDescent="0.25">
      <c r="A1337" s="1">
        <v>45464</v>
      </c>
      <c r="B1337" t="s">
        <v>1352</v>
      </c>
      <c r="C1337" t="s">
        <v>17</v>
      </c>
      <c r="D1337">
        <v>1202.72</v>
      </c>
      <c r="E1337" t="s">
        <v>7</v>
      </c>
    </row>
    <row r="1338" spans="1:5" x14ac:dyDescent="0.25">
      <c r="A1338" s="1">
        <v>45464</v>
      </c>
      <c r="B1338" t="s">
        <v>1353</v>
      </c>
      <c r="C1338" t="s">
        <v>6</v>
      </c>
      <c r="D1338">
        <v>1758.23</v>
      </c>
      <c r="E1338" t="s">
        <v>7</v>
      </c>
    </row>
    <row r="1339" spans="1:5" x14ac:dyDescent="0.25">
      <c r="A1339" s="1">
        <v>45465</v>
      </c>
      <c r="B1339" t="s">
        <v>1354</v>
      </c>
      <c r="C1339" t="s">
        <v>35</v>
      </c>
      <c r="D1339">
        <v>1895.04</v>
      </c>
      <c r="E1339" t="s">
        <v>7</v>
      </c>
    </row>
    <row r="1340" spans="1:5" x14ac:dyDescent="0.25">
      <c r="A1340" s="1">
        <v>45466</v>
      </c>
      <c r="B1340" t="s">
        <v>1355</v>
      </c>
      <c r="C1340" t="s">
        <v>27</v>
      </c>
      <c r="D1340">
        <v>1735.93</v>
      </c>
      <c r="E1340" t="s">
        <v>7</v>
      </c>
    </row>
    <row r="1341" spans="1:5" x14ac:dyDescent="0.25">
      <c r="A1341" s="1">
        <v>45466</v>
      </c>
      <c r="B1341" t="s">
        <v>1356</v>
      </c>
      <c r="C1341" t="s">
        <v>20</v>
      </c>
      <c r="D1341">
        <v>1669</v>
      </c>
      <c r="E1341" t="s">
        <v>14</v>
      </c>
    </row>
    <row r="1342" spans="1:5" x14ac:dyDescent="0.25">
      <c r="A1342" s="1">
        <v>45466</v>
      </c>
      <c r="B1342" t="s">
        <v>1357</v>
      </c>
      <c r="C1342" t="s">
        <v>9</v>
      </c>
      <c r="D1342">
        <v>1250.19</v>
      </c>
      <c r="E1342" t="s">
        <v>7</v>
      </c>
    </row>
    <row r="1343" spans="1:5" x14ac:dyDescent="0.25">
      <c r="A1343" s="1">
        <v>45466</v>
      </c>
      <c r="B1343" t="s">
        <v>1358</v>
      </c>
      <c r="C1343" t="s">
        <v>9</v>
      </c>
      <c r="D1343">
        <v>1451.13</v>
      </c>
      <c r="E1343" t="s">
        <v>7</v>
      </c>
    </row>
    <row r="1344" spans="1:5" x14ac:dyDescent="0.25">
      <c r="A1344" s="1">
        <v>45466</v>
      </c>
      <c r="B1344" t="s">
        <v>1359</v>
      </c>
      <c r="C1344" t="s">
        <v>27</v>
      </c>
      <c r="D1344">
        <v>1197.0999999999999</v>
      </c>
      <c r="E1344" t="s">
        <v>7</v>
      </c>
    </row>
    <row r="1345" spans="1:5" x14ac:dyDescent="0.25">
      <c r="A1345" s="1">
        <v>45474</v>
      </c>
      <c r="B1345" t="s">
        <v>1360</v>
      </c>
      <c r="C1345" t="s">
        <v>20</v>
      </c>
      <c r="D1345">
        <v>3657</v>
      </c>
      <c r="E1345" t="s">
        <v>14</v>
      </c>
    </row>
    <row r="1346" spans="1:5" x14ac:dyDescent="0.25">
      <c r="A1346" s="1">
        <v>45478</v>
      </c>
      <c r="B1346" t="s">
        <v>1361</v>
      </c>
      <c r="C1346" t="s">
        <v>13</v>
      </c>
      <c r="D1346">
        <v>2157</v>
      </c>
      <c r="E1346" t="s">
        <v>14</v>
      </c>
    </row>
    <row r="1347" spans="1:5" x14ac:dyDescent="0.25">
      <c r="A1347" s="1">
        <v>45479</v>
      </c>
      <c r="B1347" t="s">
        <v>1362</v>
      </c>
      <c r="C1347" t="s">
        <v>17</v>
      </c>
      <c r="D1347">
        <v>1654.76</v>
      </c>
      <c r="E1347" t="s">
        <v>7</v>
      </c>
    </row>
    <row r="1348" spans="1:5" x14ac:dyDescent="0.25">
      <c r="A1348" s="1">
        <v>45480</v>
      </c>
      <c r="B1348" t="s">
        <v>1363</v>
      </c>
      <c r="C1348" t="s">
        <v>9</v>
      </c>
      <c r="D1348">
        <v>956.98</v>
      </c>
      <c r="E1348" t="s">
        <v>7</v>
      </c>
    </row>
    <row r="1349" spans="1:5" x14ac:dyDescent="0.25">
      <c r="A1349" s="1">
        <v>45480</v>
      </c>
      <c r="B1349" t="s">
        <v>1364</v>
      </c>
      <c r="C1349" t="s">
        <v>6</v>
      </c>
      <c r="D1349">
        <v>1756.73</v>
      </c>
      <c r="E1349" t="s">
        <v>7</v>
      </c>
    </row>
    <row r="1350" spans="1:5" x14ac:dyDescent="0.25">
      <c r="A1350" s="1">
        <v>45480</v>
      </c>
      <c r="B1350" t="s">
        <v>1365</v>
      </c>
      <c r="C1350" t="s">
        <v>11</v>
      </c>
      <c r="D1350">
        <v>195.45</v>
      </c>
      <c r="E1350" t="s">
        <v>7</v>
      </c>
    </row>
    <row r="1351" spans="1:5" x14ac:dyDescent="0.25">
      <c r="A1351" s="1">
        <v>45480</v>
      </c>
      <c r="B1351" t="s">
        <v>1366</v>
      </c>
      <c r="C1351" t="s">
        <v>6</v>
      </c>
      <c r="D1351">
        <v>1794.97</v>
      </c>
      <c r="E1351" t="s">
        <v>7</v>
      </c>
    </row>
    <row r="1352" spans="1:5" x14ac:dyDescent="0.25">
      <c r="A1352" s="1">
        <v>45486</v>
      </c>
      <c r="B1352" t="s">
        <v>1367</v>
      </c>
      <c r="C1352" t="s">
        <v>17</v>
      </c>
      <c r="D1352">
        <v>1048.8699999999999</v>
      </c>
      <c r="E1352" t="s">
        <v>7</v>
      </c>
    </row>
    <row r="1353" spans="1:5" x14ac:dyDescent="0.25">
      <c r="A1353" s="1">
        <v>45486</v>
      </c>
      <c r="B1353" t="s">
        <v>1368</v>
      </c>
      <c r="C1353" t="s">
        <v>6</v>
      </c>
      <c r="D1353">
        <v>1398.31</v>
      </c>
      <c r="E1353" t="s">
        <v>7</v>
      </c>
    </row>
    <row r="1354" spans="1:5" x14ac:dyDescent="0.25">
      <c r="A1354" s="1">
        <v>45489</v>
      </c>
      <c r="B1354" t="s">
        <v>1369</v>
      </c>
      <c r="C1354" t="s">
        <v>27</v>
      </c>
      <c r="D1354">
        <v>1581.22</v>
      </c>
      <c r="E1354" t="s">
        <v>7</v>
      </c>
    </row>
    <row r="1355" spans="1:5" x14ac:dyDescent="0.25">
      <c r="A1355" s="1">
        <v>45493</v>
      </c>
      <c r="B1355" t="s">
        <v>1370</v>
      </c>
      <c r="C1355" t="s">
        <v>11</v>
      </c>
      <c r="D1355">
        <v>856.72</v>
      </c>
      <c r="E1355" t="s">
        <v>7</v>
      </c>
    </row>
    <row r="1356" spans="1:5" x14ac:dyDescent="0.25">
      <c r="A1356" s="1">
        <v>45494</v>
      </c>
      <c r="B1356" t="s">
        <v>1371</v>
      </c>
      <c r="C1356" t="s">
        <v>22</v>
      </c>
      <c r="D1356">
        <v>1821.07</v>
      </c>
      <c r="E1356" t="s">
        <v>7</v>
      </c>
    </row>
    <row r="1357" spans="1:5" x14ac:dyDescent="0.25">
      <c r="A1357" s="1">
        <v>45495</v>
      </c>
      <c r="B1357" t="s">
        <v>1372</v>
      </c>
      <c r="C1357" t="s">
        <v>20</v>
      </c>
      <c r="D1357">
        <v>2611</v>
      </c>
      <c r="E1357" t="s">
        <v>14</v>
      </c>
    </row>
    <row r="1358" spans="1:5" x14ac:dyDescent="0.25">
      <c r="A1358" s="1">
        <v>45496</v>
      </c>
      <c r="B1358" t="s">
        <v>1373</v>
      </c>
      <c r="C1358" t="s">
        <v>13</v>
      </c>
      <c r="D1358">
        <v>4780</v>
      </c>
      <c r="E1358" t="s">
        <v>14</v>
      </c>
    </row>
    <row r="1359" spans="1:5" x14ac:dyDescent="0.25">
      <c r="A1359" s="1">
        <v>45496</v>
      </c>
      <c r="B1359" t="s">
        <v>1374</v>
      </c>
      <c r="C1359" t="s">
        <v>13</v>
      </c>
      <c r="D1359">
        <v>3572</v>
      </c>
      <c r="E1359" t="s">
        <v>14</v>
      </c>
    </row>
    <row r="1360" spans="1:5" x14ac:dyDescent="0.25">
      <c r="A1360" s="1">
        <v>45498</v>
      </c>
      <c r="B1360" t="s">
        <v>1375</v>
      </c>
      <c r="C1360" t="s">
        <v>25</v>
      </c>
      <c r="D1360">
        <v>823.6</v>
      </c>
      <c r="E1360" t="s">
        <v>7</v>
      </c>
    </row>
    <row r="1361" spans="1:5" x14ac:dyDescent="0.25">
      <c r="A1361" s="1">
        <v>45499</v>
      </c>
      <c r="B1361" t="s">
        <v>1376</v>
      </c>
      <c r="C1361" t="s">
        <v>20</v>
      </c>
      <c r="D1361">
        <v>2577</v>
      </c>
      <c r="E1361" t="s">
        <v>14</v>
      </c>
    </row>
    <row r="1362" spans="1:5" x14ac:dyDescent="0.25">
      <c r="A1362" s="1">
        <v>45499</v>
      </c>
      <c r="B1362" t="s">
        <v>1377</v>
      </c>
      <c r="C1362" t="s">
        <v>17</v>
      </c>
      <c r="D1362">
        <v>1133.69</v>
      </c>
      <c r="E1362" t="s">
        <v>7</v>
      </c>
    </row>
    <row r="1363" spans="1:5" x14ac:dyDescent="0.25">
      <c r="A1363" s="1">
        <v>45499</v>
      </c>
      <c r="B1363" t="s">
        <v>1378</v>
      </c>
      <c r="C1363" t="s">
        <v>17</v>
      </c>
      <c r="D1363">
        <v>1512.39</v>
      </c>
      <c r="E1363" t="s">
        <v>7</v>
      </c>
    </row>
    <row r="1364" spans="1:5" x14ac:dyDescent="0.25">
      <c r="A1364" s="1">
        <v>45499</v>
      </c>
      <c r="B1364" t="s">
        <v>1379</v>
      </c>
      <c r="C1364" t="s">
        <v>27</v>
      </c>
      <c r="D1364">
        <v>365.65</v>
      </c>
      <c r="E1364" t="s">
        <v>7</v>
      </c>
    </row>
    <row r="1365" spans="1:5" x14ac:dyDescent="0.25">
      <c r="A1365" s="1">
        <v>45500</v>
      </c>
      <c r="B1365" t="s">
        <v>1380</v>
      </c>
      <c r="C1365" t="s">
        <v>27</v>
      </c>
      <c r="D1365">
        <v>515.02</v>
      </c>
      <c r="E1365" t="s">
        <v>7</v>
      </c>
    </row>
    <row r="1366" spans="1:5" x14ac:dyDescent="0.25">
      <c r="A1366" s="1">
        <v>45500</v>
      </c>
      <c r="B1366" t="s">
        <v>1381</v>
      </c>
      <c r="C1366" t="s">
        <v>25</v>
      </c>
      <c r="D1366">
        <v>1550.65</v>
      </c>
      <c r="E1366" t="s">
        <v>7</v>
      </c>
    </row>
    <row r="1367" spans="1:5" x14ac:dyDescent="0.25">
      <c r="A1367" s="1">
        <v>45500</v>
      </c>
      <c r="B1367" t="s">
        <v>1382</v>
      </c>
      <c r="C1367" t="s">
        <v>9</v>
      </c>
      <c r="D1367">
        <v>1711.45</v>
      </c>
      <c r="E1367" t="s">
        <v>7</v>
      </c>
    </row>
    <row r="1368" spans="1:5" x14ac:dyDescent="0.25">
      <c r="A1368" s="1">
        <v>45501</v>
      </c>
      <c r="B1368" t="s">
        <v>1383</v>
      </c>
      <c r="C1368" t="s">
        <v>22</v>
      </c>
      <c r="D1368">
        <v>898.72</v>
      </c>
      <c r="E1368" t="s">
        <v>7</v>
      </c>
    </row>
    <row r="1369" spans="1:5" x14ac:dyDescent="0.25">
      <c r="A1369" s="1">
        <v>45501</v>
      </c>
      <c r="B1369" t="s">
        <v>1384</v>
      </c>
      <c r="C1369" t="s">
        <v>9</v>
      </c>
      <c r="D1369">
        <v>209.55</v>
      </c>
      <c r="E1369" t="s">
        <v>7</v>
      </c>
    </row>
    <row r="1370" spans="1:5" x14ac:dyDescent="0.25">
      <c r="A1370" s="1">
        <v>45502</v>
      </c>
      <c r="B1370" t="s">
        <v>1385</v>
      </c>
      <c r="C1370" t="s">
        <v>25</v>
      </c>
      <c r="D1370">
        <v>1603.7</v>
      </c>
      <c r="E1370" t="s">
        <v>7</v>
      </c>
    </row>
    <row r="1371" spans="1:5" x14ac:dyDescent="0.25">
      <c r="A1371" s="1">
        <v>45502</v>
      </c>
      <c r="B1371" t="s">
        <v>1386</v>
      </c>
      <c r="C1371" t="s">
        <v>6</v>
      </c>
      <c r="D1371">
        <v>329.87</v>
      </c>
      <c r="E1371" t="s">
        <v>7</v>
      </c>
    </row>
    <row r="1372" spans="1:5" x14ac:dyDescent="0.25">
      <c r="A1372" s="1">
        <v>45502</v>
      </c>
      <c r="B1372" t="s">
        <v>1387</v>
      </c>
      <c r="C1372" t="s">
        <v>6</v>
      </c>
      <c r="D1372">
        <v>1610.7</v>
      </c>
      <c r="E1372" t="s">
        <v>7</v>
      </c>
    </row>
    <row r="1373" spans="1:5" x14ac:dyDescent="0.25">
      <c r="A1373" s="1">
        <v>45503</v>
      </c>
      <c r="B1373" t="s">
        <v>1388</v>
      </c>
      <c r="C1373" t="s">
        <v>27</v>
      </c>
      <c r="D1373">
        <v>1852.46</v>
      </c>
      <c r="E1373" t="s">
        <v>7</v>
      </c>
    </row>
    <row r="1374" spans="1:5" x14ac:dyDescent="0.25">
      <c r="A1374" s="1">
        <v>45503</v>
      </c>
      <c r="B1374" t="s">
        <v>1389</v>
      </c>
      <c r="C1374" t="s">
        <v>11</v>
      </c>
      <c r="D1374">
        <v>533.54999999999995</v>
      </c>
      <c r="E1374" t="s">
        <v>7</v>
      </c>
    </row>
    <row r="1375" spans="1:5" x14ac:dyDescent="0.25">
      <c r="A1375" s="1">
        <v>45505</v>
      </c>
      <c r="B1375" t="s">
        <v>1390</v>
      </c>
      <c r="C1375" t="s">
        <v>6</v>
      </c>
      <c r="D1375">
        <v>1451.74</v>
      </c>
      <c r="E1375" t="s">
        <v>7</v>
      </c>
    </row>
    <row r="1376" spans="1:5" x14ac:dyDescent="0.25">
      <c r="A1376" s="1">
        <v>45506</v>
      </c>
      <c r="B1376" t="s">
        <v>1391</v>
      </c>
      <c r="C1376" t="s">
        <v>17</v>
      </c>
      <c r="D1376">
        <v>1231.79</v>
      </c>
      <c r="E1376" t="s">
        <v>7</v>
      </c>
    </row>
    <row r="1377" spans="1:5" x14ac:dyDescent="0.25">
      <c r="A1377" s="1">
        <v>45506</v>
      </c>
      <c r="B1377" t="s">
        <v>1392</v>
      </c>
      <c r="C1377" t="s">
        <v>6</v>
      </c>
      <c r="D1377">
        <v>1891.97</v>
      </c>
      <c r="E1377" t="s">
        <v>7</v>
      </c>
    </row>
    <row r="1378" spans="1:5" x14ac:dyDescent="0.25">
      <c r="A1378" s="1">
        <v>45507</v>
      </c>
      <c r="B1378" t="s">
        <v>1393</v>
      </c>
      <c r="C1378" t="s">
        <v>27</v>
      </c>
      <c r="D1378">
        <v>883.55</v>
      </c>
      <c r="E1378" t="s">
        <v>7</v>
      </c>
    </row>
    <row r="1379" spans="1:5" x14ac:dyDescent="0.25">
      <c r="A1379" s="1">
        <v>45507</v>
      </c>
      <c r="B1379" t="s">
        <v>1394</v>
      </c>
      <c r="C1379" t="s">
        <v>35</v>
      </c>
      <c r="D1379">
        <v>397.55</v>
      </c>
      <c r="E1379" t="s">
        <v>7</v>
      </c>
    </row>
    <row r="1380" spans="1:5" x14ac:dyDescent="0.25">
      <c r="A1380" s="1">
        <v>45512</v>
      </c>
      <c r="B1380" t="s">
        <v>1395</v>
      </c>
      <c r="C1380" t="s">
        <v>22</v>
      </c>
      <c r="D1380">
        <v>1234.23</v>
      </c>
      <c r="E1380" t="s">
        <v>7</v>
      </c>
    </row>
    <row r="1381" spans="1:5" x14ac:dyDescent="0.25">
      <c r="A1381" s="1">
        <v>45513</v>
      </c>
      <c r="B1381" t="s">
        <v>1396</v>
      </c>
      <c r="C1381" t="s">
        <v>25</v>
      </c>
      <c r="D1381">
        <v>486.12</v>
      </c>
      <c r="E1381" t="s">
        <v>7</v>
      </c>
    </row>
    <row r="1382" spans="1:5" x14ac:dyDescent="0.25">
      <c r="A1382" s="1">
        <v>45515</v>
      </c>
      <c r="B1382" t="s">
        <v>1397</v>
      </c>
      <c r="C1382" t="s">
        <v>13</v>
      </c>
      <c r="D1382">
        <v>1211</v>
      </c>
      <c r="E1382" t="s">
        <v>14</v>
      </c>
    </row>
    <row r="1383" spans="1:5" x14ac:dyDescent="0.25">
      <c r="A1383" s="1">
        <v>45518</v>
      </c>
      <c r="B1383" t="s">
        <v>1398</v>
      </c>
      <c r="C1383" t="s">
        <v>17</v>
      </c>
      <c r="D1383">
        <v>712.72</v>
      </c>
      <c r="E1383" t="s">
        <v>7</v>
      </c>
    </row>
    <row r="1384" spans="1:5" x14ac:dyDescent="0.25">
      <c r="A1384" s="1">
        <v>45518</v>
      </c>
      <c r="B1384" t="s">
        <v>1399</v>
      </c>
      <c r="C1384" t="s">
        <v>22</v>
      </c>
      <c r="D1384">
        <v>1040.31</v>
      </c>
      <c r="E1384" t="s">
        <v>7</v>
      </c>
    </row>
    <row r="1385" spans="1:5" x14ac:dyDescent="0.25">
      <c r="A1385" s="1">
        <v>45518</v>
      </c>
      <c r="B1385" t="s">
        <v>1400</v>
      </c>
      <c r="C1385" t="s">
        <v>11</v>
      </c>
      <c r="D1385">
        <v>1839.16</v>
      </c>
      <c r="E1385" t="s">
        <v>7</v>
      </c>
    </row>
    <row r="1386" spans="1:5" x14ac:dyDescent="0.25">
      <c r="A1386" s="1">
        <v>45519</v>
      </c>
      <c r="B1386" t="s">
        <v>1401</v>
      </c>
      <c r="C1386" t="s">
        <v>25</v>
      </c>
      <c r="D1386">
        <v>701.48</v>
      </c>
      <c r="E1386" t="s">
        <v>7</v>
      </c>
    </row>
    <row r="1387" spans="1:5" x14ac:dyDescent="0.25">
      <c r="A1387" s="1">
        <v>45526</v>
      </c>
      <c r="B1387" t="s">
        <v>1402</v>
      </c>
      <c r="C1387" t="s">
        <v>22</v>
      </c>
      <c r="D1387">
        <v>1216.6600000000001</v>
      </c>
      <c r="E1387" t="s">
        <v>7</v>
      </c>
    </row>
    <row r="1388" spans="1:5" x14ac:dyDescent="0.25">
      <c r="A1388" s="1">
        <v>45527</v>
      </c>
      <c r="B1388" t="s">
        <v>1403</v>
      </c>
      <c r="C1388" t="s">
        <v>20</v>
      </c>
      <c r="D1388">
        <v>538</v>
      </c>
      <c r="E1388" t="s">
        <v>14</v>
      </c>
    </row>
    <row r="1389" spans="1:5" x14ac:dyDescent="0.25">
      <c r="A1389" s="1">
        <v>45529</v>
      </c>
      <c r="B1389" t="s">
        <v>1404</v>
      </c>
      <c r="C1389" t="s">
        <v>17</v>
      </c>
      <c r="D1389">
        <v>1017.41</v>
      </c>
      <c r="E1389" t="s">
        <v>7</v>
      </c>
    </row>
    <row r="1390" spans="1:5" x14ac:dyDescent="0.25">
      <c r="A1390" s="1">
        <v>45529</v>
      </c>
      <c r="B1390" t="s">
        <v>1405</v>
      </c>
      <c r="C1390" t="s">
        <v>35</v>
      </c>
      <c r="D1390">
        <v>686.53</v>
      </c>
      <c r="E1390" t="s">
        <v>7</v>
      </c>
    </row>
    <row r="1391" spans="1:5" x14ac:dyDescent="0.25">
      <c r="A1391" s="1">
        <v>45529</v>
      </c>
      <c r="B1391" t="s">
        <v>1406</v>
      </c>
      <c r="C1391" t="s">
        <v>20</v>
      </c>
      <c r="D1391">
        <v>4906</v>
      </c>
      <c r="E1391" t="s">
        <v>14</v>
      </c>
    </row>
    <row r="1392" spans="1:5" x14ac:dyDescent="0.25">
      <c r="A1392" s="1">
        <v>45531</v>
      </c>
      <c r="B1392" t="s">
        <v>1407</v>
      </c>
      <c r="C1392" t="s">
        <v>35</v>
      </c>
      <c r="D1392">
        <v>1391.44</v>
      </c>
      <c r="E1392" t="s">
        <v>7</v>
      </c>
    </row>
    <row r="1393" spans="1:5" x14ac:dyDescent="0.25">
      <c r="A1393" s="1">
        <v>45531</v>
      </c>
      <c r="B1393" t="s">
        <v>1408</v>
      </c>
      <c r="C1393" t="s">
        <v>27</v>
      </c>
      <c r="D1393">
        <v>1542.23</v>
      </c>
      <c r="E1393" t="s">
        <v>7</v>
      </c>
    </row>
    <row r="1394" spans="1:5" x14ac:dyDescent="0.25">
      <c r="A1394" s="1">
        <v>45532</v>
      </c>
      <c r="B1394" t="s">
        <v>1409</v>
      </c>
      <c r="C1394" t="s">
        <v>27</v>
      </c>
      <c r="D1394">
        <v>1366.37</v>
      </c>
      <c r="E1394" t="s">
        <v>7</v>
      </c>
    </row>
    <row r="1395" spans="1:5" x14ac:dyDescent="0.25">
      <c r="A1395" s="1">
        <v>45532</v>
      </c>
      <c r="B1395" t="s">
        <v>1410</v>
      </c>
      <c r="C1395" t="s">
        <v>6</v>
      </c>
      <c r="D1395">
        <v>969.12</v>
      </c>
      <c r="E1395" t="s">
        <v>7</v>
      </c>
    </row>
    <row r="1396" spans="1:5" x14ac:dyDescent="0.25">
      <c r="A1396" s="1">
        <v>45532</v>
      </c>
      <c r="B1396" t="s">
        <v>1411</v>
      </c>
      <c r="C1396" t="s">
        <v>17</v>
      </c>
      <c r="D1396">
        <v>1270.99</v>
      </c>
      <c r="E1396" t="s">
        <v>7</v>
      </c>
    </row>
    <row r="1397" spans="1:5" x14ac:dyDescent="0.25">
      <c r="A1397" s="1">
        <v>45534</v>
      </c>
      <c r="B1397" t="s">
        <v>1412</v>
      </c>
      <c r="C1397" t="s">
        <v>22</v>
      </c>
      <c r="D1397">
        <v>1602.32</v>
      </c>
      <c r="E1397" t="s">
        <v>7</v>
      </c>
    </row>
    <row r="1398" spans="1:5" x14ac:dyDescent="0.25">
      <c r="A1398" s="1">
        <v>45536</v>
      </c>
      <c r="B1398" t="s">
        <v>1413</v>
      </c>
      <c r="C1398" t="s">
        <v>25</v>
      </c>
      <c r="D1398">
        <v>1037.8399999999999</v>
      </c>
      <c r="E1398" t="s">
        <v>7</v>
      </c>
    </row>
    <row r="1399" spans="1:5" x14ac:dyDescent="0.25">
      <c r="A1399" s="1">
        <v>45537</v>
      </c>
      <c r="B1399" t="s">
        <v>1414</v>
      </c>
      <c r="C1399" t="s">
        <v>20</v>
      </c>
      <c r="D1399">
        <v>2533</v>
      </c>
      <c r="E1399" t="s">
        <v>14</v>
      </c>
    </row>
    <row r="1400" spans="1:5" x14ac:dyDescent="0.25">
      <c r="A1400" s="1">
        <v>45540</v>
      </c>
      <c r="B1400" t="s">
        <v>1415</v>
      </c>
      <c r="C1400" t="s">
        <v>17</v>
      </c>
      <c r="D1400">
        <v>1350.66</v>
      </c>
      <c r="E1400" t="s">
        <v>7</v>
      </c>
    </row>
    <row r="1401" spans="1:5" x14ac:dyDescent="0.25">
      <c r="A1401" s="1">
        <v>45540</v>
      </c>
      <c r="B1401" t="s">
        <v>1416</v>
      </c>
      <c r="C1401" t="s">
        <v>11</v>
      </c>
      <c r="D1401">
        <v>1113.56</v>
      </c>
      <c r="E1401" t="s">
        <v>7</v>
      </c>
    </row>
    <row r="1402" spans="1:5" x14ac:dyDescent="0.25">
      <c r="A1402" s="1">
        <v>45540</v>
      </c>
      <c r="B1402" t="s">
        <v>1417</v>
      </c>
      <c r="C1402" t="s">
        <v>20</v>
      </c>
      <c r="D1402">
        <v>3396</v>
      </c>
      <c r="E1402" t="s">
        <v>14</v>
      </c>
    </row>
    <row r="1403" spans="1:5" x14ac:dyDescent="0.25">
      <c r="A1403" s="1">
        <v>45540</v>
      </c>
      <c r="B1403" t="s">
        <v>1418</v>
      </c>
      <c r="C1403" t="s">
        <v>35</v>
      </c>
      <c r="D1403">
        <v>373.74</v>
      </c>
      <c r="E1403" t="s">
        <v>7</v>
      </c>
    </row>
    <row r="1404" spans="1:5" x14ac:dyDescent="0.25">
      <c r="A1404" s="1">
        <v>45541</v>
      </c>
      <c r="B1404" t="s">
        <v>1419</v>
      </c>
      <c r="C1404" t="s">
        <v>22</v>
      </c>
      <c r="D1404">
        <v>1003.01</v>
      </c>
      <c r="E1404" t="s">
        <v>7</v>
      </c>
    </row>
    <row r="1405" spans="1:5" x14ac:dyDescent="0.25">
      <c r="A1405" s="1">
        <v>45542</v>
      </c>
      <c r="B1405" t="s">
        <v>1420</v>
      </c>
      <c r="C1405" t="s">
        <v>13</v>
      </c>
      <c r="D1405">
        <v>2674</v>
      </c>
      <c r="E1405" t="s">
        <v>14</v>
      </c>
    </row>
    <row r="1406" spans="1:5" x14ac:dyDescent="0.25">
      <c r="A1406" s="1">
        <v>45543</v>
      </c>
      <c r="B1406" t="s">
        <v>1421</v>
      </c>
      <c r="C1406" t="s">
        <v>22</v>
      </c>
      <c r="D1406">
        <v>1671.53</v>
      </c>
      <c r="E1406" t="s">
        <v>7</v>
      </c>
    </row>
    <row r="1407" spans="1:5" x14ac:dyDescent="0.25">
      <c r="A1407" s="1">
        <v>45545</v>
      </c>
      <c r="B1407" t="s">
        <v>1422</v>
      </c>
      <c r="C1407" t="s">
        <v>25</v>
      </c>
      <c r="D1407">
        <v>320.43</v>
      </c>
      <c r="E1407" t="s">
        <v>7</v>
      </c>
    </row>
    <row r="1408" spans="1:5" x14ac:dyDescent="0.25">
      <c r="A1408" s="1">
        <v>45548</v>
      </c>
      <c r="B1408" t="s">
        <v>1423</v>
      </c>
      <c r="C1408" t="s">
        <v>13</v>
      </c>
      <c r="D1408">
        <v>4535</v>
      </c>
      <c r="E1408" t="s">
        <v>14</v>
      </c>
    </row>
    <row r="1409" spans="1:5" x14ac:dyDescent="0.25">
      <c r="A1409" s="1">
        <v>45550</v>
      </c>
      <c r="B1409" t="s">
        <v>1424</v>
      </c>
      <c r="C1409" t="s">
        <v>6</v>
      </c>
      <c r="D1409">
        <v>1697.54</v>
      </c>
      <c r="E1409" t="s">
        <v>7</v>
      </c>
    </row>
    <row r="1410" spans="1:5" x14ac:dyDescent="0.25">
      <c r="A1410" s="1">
        <v>45551</v>
      </c>
      <c r="B1410" t="s">
        <v>1425</v>
      </c>
      <c r="C1410" t="s">
        <v>25</v>
      </c>
      <c r="D1410">
        <v>989.76</v>
      </c>
      <c r="E1410" t="s">
        <v>7</v>
      </c>
    </row>
    <row r="1411" spans="1:5" x14ac:dyDescent="0.25">
      <c r="A1411" s="1">
        <v>45552</v>
      </c>
      <c r="B1411" t="s">
        <v>1426</v>
      </c>
      <c r="C1411" t="s">
        <v>35</v>
      </c>
      <c r="D1411">
        <v>986.7</v>
      </c>
      <c r="E1411" t="s">
        <v>7</v>
      </c>
    </row>
    <row r="1412" spans="1:5" x14ac:dyDescent="0.25">
      <c r="A1412" s="1">
        <v>45552</v>
      </c>
      <c r="B1412" t="s">
        <v>1427</v>
      </c>
      <c r="C1412" t="s">
        <v>35</v>
      </c>
      <c r="D1412">
        <v>801.78</v>
      </c>
      <c r="E1412" t="s">
        <v>7</v>
      </c>
    </row>
    <row r="1413" spans="1:5" x14ac:dyDescent="0.25">
      <c r="A1413" s="1">
        <v>45552</v>
      </c>
      <c r="B1413" t="s">
        <v>1428</v>
      </c>
      <c r="C1413" t="s">
        <v>9</v>
      </c>
      <c r="D1413">
        <v>117.75</v>
      </c>
      <c r="E1413" t="s">
        <v>7</v>
      </c>
    </row>
    <row r="1414" spans="1:5" x14ac:dyDescent="0.25">
      <c r="A1414" s="1">
        <v>45553</v>
      </c>
      <c r="B1414" t="s">
        <v>1429</v>
      </c>
      <c r="C1414" t="s">
        <v>27</v>
      </c>
      <c r="D1414">
        <v>1879.91</v>
      </c>
      <c r="E1414" t="s">
        <v>7</v>
      </c>
    </row>
    <row r="1415" spans="1:5" x14ac:dyDescent="0.25">
      <c r="A1415" s="1">
        <v>45556</v>
      </c>
      <c r="B1415" t="s">
        <v>1430</v>
      </c>
      <c r="C1415" t="s">
        <v>20</v>
      </c>
      <c r="D1415">
        <v>3725</v>
      </c>
      <c r="E1415" t="s">
        <v>14</v>
      </c>
    </row>
    <row r="1416" spans="1:5" x14ac:dyDescent="0.25">
      <c r="A1416" s="1">
        <v>45557</v>
      </c>
      <c r="B1416" t="s">
        <v>1431</v>
      </c>
      <c r="C1416" t="s">
        <v>9</v>
      </c>
      <c r="D1416">
        <v>919.82</v>
      </c>
      <c r="E1416" t="s">
        <v>7</v>
      </c>
    </row>
    <row r="1417" spans="1:5" x14ac:dyDescent="0.25">
      <c r="A1417" s="1">
        <v>45558</v>
      </c>
      <c r="B1417" t="s">
        <v>1432</v>
      </c>
      <c r="C1417" t="s">
        <v>20</v>
      </c>
      <c r="D1417">
        <v>3085</v>
      </c>
      <c r="E1417" t="s">
        <v>14</v>
      </c>
    </row>
    <row r="1418" spans="1:5" x14ac:dyDescent="0.25">
      <c r="A1418" s="1">
        <v>45559</v>
      </c>
      <c r="B1418" t="s">
        <v>1433</v>
      </c>
      <c r="C1418" t="s">
        <v>6</v>
      </c>
      <c r="D1418">
        <v>1351.47</v>
      </c>
      <c r="E1418" t="s">
        <v>7</v>
      </c>
    </row>
    <row r="1419" spans="1:5" x14ac:dyDescent="0.25">
      <c r="A1419" s="1">
        <v>45560</v>
      </c>
      <c r="B1419" t="s">
        <v>1434</v>
      </c>
      <c r="C1419" t="s">
        <v>11</v>
      </c>
      <c r="D1419">
        <v>657.62</v>
      </c>
      <c r="E1419" t="s">
        <v>7</v>
      </c>
    </row>
    <row r="1420" spans="1:5" x14ac:dyDescent="0.25">
      <c r="A1420" s="1">
        <v>45561</v>
      </c>
      <c r="B1420" t="s">
        <v>1435</v>
      </c>
      <c r="C1420" t="s">
        <v>35</v>
      </c>
      <c r="D1420">
        <v>382.43</v>
      </c>
      <c r="E1420" t="s">
        <v>7</v>
      </c>
    </row>
    <row r="1421" spans="1:5" x14ac:dyDescent="0.25">
      <c r="A1421" s="1">
        <v>45561</v>
      </c>
      <c r="B1421" t="s">
        <v>1436</v>
      </c>
      <c r="C1421" t="s">
        <v>35</v>
      </c>
      <c r="D1421">
        <v>947.98</v>
      </c>
      <c r="E1421" t="s">
        <v>7</v>
      </c>
    </row>
    <row r="1422" spans="1:5" x14ac:dyDescent="0.25">
      <c r="A1422" s="1">
        <v>45562</v>
      </c>
      <c r="B1422" t="s">
        <v>1437</v>
      </c>
      <c r="C1422" t="s">
        <v>25</v>
      </c>
      <c r="D1422">
        <v>375.99</v>
      </c>
      <c r="E1422" t="s">
        <v>7</v>
      </c>
    </row>
    <row r="1423" spans="1:5" x14ac:dyDescent="0.25">
      <c r="A1423" s="1">
        <v>45562</v>
      </c>
      <c r="B1423" t="s">
        <v>1438</v>
      </c>
      <c r="C1423" t="s">
        <v>17</v>
      </c>
      <c r="D1423">
        <v>1404.42</v>
      </c>
      <c r="E1423" t="s">
        <v>7</v>
      </c>
    </row>
    <row r="1424" spans="1:5" x14ac:dyDescent="0.25">
      <c r="A1424" s="1">
        <v>45566</v>
      </c>
      <c r="B1424" t="s">
        <v>1439</v>
      </c>
      <c r="C1424" t="s">
        <v>17</v>
      </c>
      <c r="D1424">
        <v>566.46</v>
      </c>
      <c r="E1424" t="s">
        <v>7</v>
      </c>
    </row>
    <row r="1425" spans="1:5" x14ac:dyDescent="0.25">
      <c r="A1425" s="1">
        <v>45566</v>
      </c>
      <c r="B1425" t="s">
        <v>1440</v>
      </c>
      <c r="C1425" t="s">
        <v>13</v>
      </c>
      <c r="D1425">
        <v>2372</v>
      </c>
      <c r="E1425" t="s">
        <v>14</v>
      </c>
    </row>
    <row r="1426" spans="1:5" x14ac:dyDescent="0.25">
      <c r="A1426" s="1">
        <v>45567</v>
      </c>
      <c r="B1426" t="s">
        <v>1441</v>
      </c>
      <c r="C1426" t="s">
        <v>35</v>
      </c>
      <c r="D1426">
        <v>1610.13</v>
      </c>
      <c r="E1426" t="s">
        <v>7</v>
      </c>
    </row>
    <row r="1427" spans="1:5" x14ac:dyDescent="0.25">
      <c r="A1427" s="1">
        <v>45567</v>
      </c>
      <c r="B1427" t="s">
        <v>1442</v>
      </c>
      <c r="C1427" t="s">
        <v>17</v>
      </c>
      <c r="D1427">
        <v>400.17</v>
      </c>
      <c r="E1427" t="s">
        <v>7</v>
      </c>
    </row>
    <row r="1428" spans="1:5" x14ac:dyDescent="0.25">
      <c r="A1428" s="1">
        <v>45568</v>
      </c>
      <c r="B1428" t="s">
        <v>1443</v>
      </c>
      <c r="C1428" t="s">
        <v>9</v>
      </c>
      <c r="D1428">
        <v>951.24</v>
      </c>
      <c r="E1428" t="s">
        <v>7</v>
      </c>
    </row>
    <row r="1429" spans="1:5" x14ac:dyDescent="0.25">
      <c r="A1429" s="1">
        <v>45569</v>
      </c>
      <c r="B1429" t="s">
        <v>1444</v>
      </c>
      <c r="C1429" t="s">
        <v>20</v>
      </c>
      <c r="D1429">
        <v>4592</v>
      </c>
      <c r="E1429" t="s">
        <v>14</v>
      </c>
    </row>
    <row r="1430" spans="1:5" x14ac:dyDescent="0.25">
      <c r="A1430" s="1">
        <v>45569</v>
      </c>
      <c r="B1430" t="s">
        <v>1445</v>
      </c>
      <c r="C1430" t="s">
        <v>20</v>
      </c>
      <c r="D1430">
        <v>4486</v>
      </c>
      <c r="E1430" t="s">
        <v>14</v>
      </c>
    </row>
    <row r="1431" spans="1:5" x14ac:dyDescent="0.25">
      <c r="A1431" s="1">
        <v>45572</v>
      </c>
      <c r="B1431" t="s">
        <v>1446</v>
      </c>
      <c r="C1431" t="s">
        <v>6</v>
      </c>
      <c r="D1431">
        <v>802.82</v>
      </c>
      <c r="E1431" t="s">
        <v>7</v>
      </c>
    </row>
    <row r="1432" spans="1:5" x14ac:dyDescent="0.25">
      <c r="A1432" s="1">
        <v>45573</v>
      </c>
      <c r="B1432" t="s">
        <v>1447</v>
      </c>
      <c r="C1432" t="s">
        <v>6</v>
      </c>
      <c r="D1432">
        <v>438.78</v>
      </c>
      <c r="E1432" t="s">
        <v>7</v>
      </c>
    </row>
    <row r="1433" spans="1:5" x14ac:dyDescent="0.25">
      <c r="A1433" s="1">
        <v>45574</v>
      </c>
      <c r="B1433" t="s">
        <v>1448</v>
      </c>
      <c r="C1433" t="s">
        <v>11</v>
      </c>
      <c r="D1433">
        <v>905.21</v>
      </c>
      <c r="E1433" t="s">
        <v>7</v>
      </c>
    </row>
    <row r="1434" spans="1:5" x14ac:dyDescent="0.25">
      <c r="A1434" s="1">
        <v>45575</v>
      </c>
      <c r="B1434" t="s">
        <v>1449</v>
      </c>
      <c r="C1434" t="s">
        <v>25</v>
      </c>
      <c r="D1434">
        <v>727.01</v>
      </c>
      <c r="E1434" t="s">
        <v>7</v>
      </c>
    </row>
    <row r="1435" spans="1:5" x14ac:dyDescent="0.25">
      <c r="A1435" s="1">
        <v>45575</v>
      </c>
      <c r="B1435" t="s">
        <v>1450</v>
      </c>
      <c r="C1435" t="s">
        <v>35</v>
      </c>
      <c r="D1435">
        <v>694.84</v>
      </c>
      <c r="E1435" t="s">
        <v>7</v>
      </c>
    </row>
    <row r="1436" spans="1:5" x14ac:dyDescent="0.25">
      <c r="A1436" s="1">
        <v>45576</v>
      </c>
      <c r="B1436" t="s">
        <v>1451</v>
      </c>
      <c r="C1436" t="s">
        <v>25</v>
      </c>
      <c r="D1436">
        <v>1736.06</v>
      </c>
      <c r="E1436" t="s">
        <v>7</v>
      </c>
    </row>
    <row r="1437" spans="1:5" x14ac:dyDescent="0.25">
      <c r="A1437" s="1">
        <v>45577</v>
      </c>
      <c r="B1437" t="s">
        <v>1452</v>
      </c>
      <c r="C1437" t="s">
        <v>22</v>
      </c>
      <c r="D1437">
        <v>1157.94</v>
      </c>
      <c r="E1437" t="s">
        <v>7</v>
      </c>
    </row>
    <row r="1438" spans="1:5" x14ac:dyDescent="0.25">
      <c r="A1438" s="1">
        <v>45580</v>
      </c>
      <c r="B1438" t="s">
        <v>1453</v>
      </c>
      <c r="C1438" t="s">
        <v>9</v>
      </c>
      <c r="D1438">
        <v>1958.95</v>
      </c>
      <c r="E1438" t="s">
        <v>7</v>
      </c>
    </row>
    <row r="1439" spans="1:5" x14ac:dyDescent="0.25">
      <c r="A1439" s="1">
        <v>45582</v>
      </c>
      <c r="B1439" t="s">
        <v>1454</v>
      </c>
      <c r="C1439" t="s">
        <v>25</v>
      </c>
      <c r="D1439">
        <v>1349.65</v>
      </c>
      <c r="E1439" t="s">
        <v>7</v>
      </c>
    </row>
    <row r="1440" spans="1:5" x14ac:dyDescent="0.25">
      <c r="A1440" s="1">
        <v>45582</v>
      </c>
      <c r="B1440" t="s">
        <v>1455</v>
      </c>
      <c r="C1440" t="s">
        <v>27</v>
      </c>
      <c r="D1440">
        <v>1780.37</v>
      </c>
      <c r="E1440" t="s">
        <v>7</v>
      </c>
    </row>
    <row r="1441" spans="1:5" x14ac:dyDescent="0.25">
      <c r="A1441" s="1">
        <v>45583</v>
      </c>
      <c r="B1441" t="s">
        <v>1456</v>
      </c>
      <c r="C1441" t="s">
        <v>35</v>
      </c>
      <c r="D1441">
        <v>932.87</v>
      </c>
      <c r="E1441" t="s">
        <v>7</v>
      </c>
    </row>
    <row r="1442" spans="1:5" x14ac:dyDescent="0.25">
      <c r="A1442" s="1">
        <v>45584</v>
      </c>
      <c r="B1442" t="s">
        <v>1457</v>
      </c>
      <c r="C1442" t="s">
        <v>9</v>
      </c>
      <c r="D1442">
        <v>1284.76</v>
      </c>
      <c r="E1442" t="s">
        <v>7</v>
      </c>
    </row>
    <row r="1443" spans="1:5" x14ac:dyDescent="0.25">
      <c r="A1443" s="1">
        <v>45584</v>
      </c>
      <c r="B1443" t="s">
        <v>1458</v>
      </c>
      <c r="C1443" t="s">
        <v>17</v>
      </c>
      <c r="D1443">
        <v>1266.23</v>
      </c>
      <c r="E1443" t="s">
        <v>7</v>
      </c>
    </row>
    <row r="1444" spans="1:5" x14ac:dyDescent="0.25">
      <c r="A1444" s="1">
        <v>45586</v>
      </c>
      <c r="B1444" t="s">
        <v>1459</v>
      </c>
      <c r="C1444" t="s">
        <v>11</v>
      </c>
      <c r="D1444">
        <v>167.43</v>
      </c>
      <c r="E1444" t="s">
        <v>7</v>
      </c>
    </row>
    <row r="1445" spans="1:5" x14ac:dyDescent="0.25">
      <c r="A1445" s="1">
        <v>45586</v>
      </c>
      <c r="B1445" t="s">
        <v>1460</v>
      </c>
      <c r="C1445" t="s">
        <v>25</v>
      </c>
      <c r="D1445">
        <v>640.59</v>
      </c>
      <c r="E1445" t="s">
        <v>7</v>
      </c>
    </row>
    <row r="1446" spans="1:5" x14ac:dyDescent="0.25">
      <c r="A1446" s="1">
        <v>45586</v>
      </c>
      <c r="B1446" t="s">
        <v>1461</v>
      </c>
      <c r="C1446" t="s">
        <v>35</v>
      </c>
      <c r="D1446">
        <v>1214.72</v>
      </c>
      <c r="E1446" t="s">
        <v>7</v>
      </c>
    </row>
    <row r="1447" spans="1:5" x14ac:dyDescent="0.25">
      <c r="A1447" s="1">
        <v>45588</v>
      </c>
      <c r="B1447" t="s">
        <v>1462</v>
      </c>
      <c r="C1447" t="s">
        <v>27</v>
      </c>
      <c r="D1447">
        <v>1564.14</v>
      </c>
      <c r="E1447" t="s">
        <v>7</v>
      </c>
    </row>
    <row r="1448" spans="1:5" x14ac:dyDescent="0.25">
      <c r="A1448" s="1">
        <v>45589</v>
      </c>
      <c r="B1448" t="s">
        <v>1463</v>
      </c>
      <c r="C1448" t="s">
        <v>27</v>
      </c>
      <c r="D1448">
        <v>833.84</v>
      </c>
      <c r="E1448" t="s">
        <v>7</v>
      </c>
    </row>
    <row r="1449" spans="1:5" x14ac:dyDescent="0.25">
      <c r="A1449" s="1">
        <v>45593</v>
      </c>
      <c r="B1449" t="s">
        <v>1464</v>
      </c>
      <c r="C1449" t="s">
        <v>13</v>
      </c>
      <c r="D1449">
        <v>1524</v>
      </c>
      <c r="E1449" t="s">
        <v>14</v>
      </c>
    </row>
    <row r="1450" spans="1:5" x14ac:dyDescent="0.25">
      <c r="A1450" s="1">
        <v>45597</v>
      </c>
      <c r="B1450" t="s">
        <v>1465</v>
      </c>
      <c r="C1450" t="s">
        <v>35</v>
      </c>
      <c r="D1450">
        <v>1881.47</v>
      </c>
      <c r="E1450" t="s">
        <v>7</v>
      </c>
    </row>
    <row r="1451" spans="1:5" x14ac:dyDescent="0.25">
      <c r="A1451" s="1">
        <v>45598</v>
      </c>
      <c r="B1451" t="s">
        <v>1466</v>
      </c>
      <c r="C1451" t="s">
        <v>11</v>
      </c>
      <c r="D1451">
        <v>429.04</v>
      </c>
      <c r="E1451" t="s">
        <v>7</v>
      </c>
    </row>
    <row r="1452" spans="1:5" x14ac:dyDescent="0.25">
      <c r="A1452" s="1">
        <v>45599</v>
      </c>
      <c r="B1452" t="s">
        <v>1467</v>
      </c>
      <c r="C1452" t="s">
        <v>11</v>
      </c>
      <c r="D1452">
        <v>136.94999999999999</v>
      </c>
      <c r="E1452" t="s">
        <v>7</v>
      </c>
    </row>
    <row r="1453" spans="1:5" x14ac:dyDescent="0.25">
      <c r="A1453" s="1">
        <v>45599</v>
      </c>
      <c r="B1453" t="s">
        <v>1468</v>
      </c>
      <c r="C1453" t="s">
        <v>6</v>
      </c>
      <c r="D1453">
        <v>62.47</v>
      </c>
      <c r="E1453" t="s">
        <v>7</v>
      </c>
    </row>
    <row r="1454" spans="1:5" x14ac:dyDescent="0.25">
      <c r="A1454" s="1">
        <v>45607</v>
      </c>
      <c r="B1454" t="s">
        <v>1469</v>
      </c>
      <c r="C1454" t="s">
        <v>11</v>
      </c>
      <c r="D1454">
        <v>216.82</v>
      </c>
      <c r="E1454" t="s">
        <v>7</v>
      </c>
    </row>
    <row r="1455" spans="1:5" x14ac:dyDescent="0.25">
      <c r="A1455" s="1">
        <v>45607</v>
      </c>
      <c r="B1455" t="s">
        <v>1470</v>
      </c>
      <c r="C1455" t="s">
        <v>11</v>
      </c>
      <c r="D1455">
        <v>1313.12</v>
      </c>
      <c r="E1455" t="s">
        <v>7</v>
      </c>
    </row>
    <row r="1456" spans="1:5" x14ac:dyDescent="0.25">
      <c r="A1456" s="1">
        <v>45608</v>
      </c>
      <c r="B1456" t="s">
        <v>1471</v>
      </c>
      <c r="C1456" t="s">
        <v>35</v>
      </c>
      <c r="D1456">
        <v>466.42</v>
      </c>
      <c r="E1456" t="s">
        <v>7</v>
      </c>
    </row>
    <row r="1457" spans="1:5" x14ac:dyDescent="0.25">
      <c r="A1457" s="1">
        <v>45609</v>
      </c>
      <c r="B1457" t="s">
        <v>1472</v>
      </c>
      <c r="C1457" t="s">
        <v>27</v>
      </c>
      <c r="D1457">
        <v>1256.7</v>
      </c>
      <c r="E1457" t="s">
        <v>7</v>
      </c>
    </row>
    <row r="1458" spans="1:5" x14ac:dyDescent="0.25">
      <c r="A1458" s="1">
        <v>45609</v>
      </c>
      <c r="B1458" t="s">
        <v>1473</v>
      </c>
      <c r="C1458" t="s">
        <v>13</v>
      </c>
      <c r="D1458">
        <v>734</v>
      </c>
      <c r="E1458" t="s">
        <v>14</v>
      </c>
    </row>
    <row r="1459" spans="1:5" x14ac:dyDescent="0.25">
      <c r="A1459" s="1">
        <v>45609</v>
      </c>
      <c r="B1459" t="s">
        <v>1474</v>
      </c>
      <c r="C1459" t="s">
        <v>20</v>
      </c>
      <c r="D1459">
        <v>3164</v>
      </c>
      <c r="E1459" t="s">
        <v>14</v>
      </c>
    </row>
    <row r="1460" spans="1:5" x14ac:dyDescent="0.25">
      <c r="A1460" s="1">
        <v>45609</v>
      </c>
      <c r="B1460" t="s">
        <v>1475</v>
      </c>
      <c r="C1460" t="s">
        <v>27</v>
      </c>
      <c r="D1460">
        <v>1950.21</v>
      </c>
      <c r="E1460" t="s">
        <v>7</v>
      </c>
    </row>
    <row r="1461" spans="1:5" x14ac:dyDescent="0.25">
      <c r="A1461" s="1">
        <v>45610</v>
      </c>
      <c r="B1461" t="s">
        <v>1476</v>
      </c>
      <c r="C1461" t="s">
        <v>35</v>
      </c>
      <c r="D1461">
        <v>1101.6099999999999</v>
      </c>
      <c r="E1461" t="s">
        <v>7</v>
      </c>
    </row>
    <row r="1462" spans="1:5" x14ac:dyDescent="0.25">
      <c r="A1462" s="1">
        <v>45610</v>
      </c>
      <c r="B1462" t="s">
        <v>1477</v>
      </c>
      <c r="C1462" t="s">
        <v>13</v>
      </c>
      <c r="D1462">
        <v>4240</v>
      </c>
      <c r="E1462" t="s">
        <v>14</v>
      </c>
    </row>
    <row r="1463" spans="1:5" x14ac:dyDescent="0.25">
      <c r="A1463" s="1">
        <v>45612</v>
      </c>
      <c r="B1463" t="s">
        <v>1478</v>
      </c>
      <c r="C1463" t="s">
        <v>17</v>
      </c>
      <c r="D1463">
        <v>1051.69</v>
      </c>
      <c r="E1463" t="s">
        <v>7</v>
      </c>
    </row>
    <row r="1464" spans="1:5" x14ac:dyDescent="0.25">
      <c r="A1464" s="1">
        <v>45613</v>
      </c>
      <c r="B1464" t="s">
        <v>1479</v>
      </c>
      <c r="C1464" t="s">
        <v>35</v>
      </c>
      <c r="D1464">
        <v>1818.76</v>
      </c>
      <c r="E1464" t="s">
        <v>7</v>
      </c>
    </row>
    <row r="1465" spans="1:5" x14ac:dyDescent="0.25">
      <c r="A1465" s="1">
        <v>45613</v>
      </c>
      <c r="B1465" t="s">
        <v>1480</v>
      </c>
      <c r="C1465" t="s">
        <v>22</v>
      </c>
      <c r="D1465">
        <v>1611.37</v>
      </c>
      <c r="E1465" t="s">
        <v>7</v>
      </c>
    </row>
    <row r="1466" spans="1:5" x14ac:dyDescent="0.25">
      <c r="A1466" s="1">
        <v>45613</v>
      </c>
      <c r="B1466" t="s">
        <v>1481</v>
      </c>
      <c r="C1466" t="s">
        <v>25</v>
      </c>
      <c r="D1466">
        <v>830.29</v>
      </c>
      <c r="E1466" t="s">
        <v>7</v>
      </c>
    </row>
    <row r="1467" spans="1:5" x14ac:dyDescent="0.25">
      <c r="A1467" s="1">
        <v>45613</v>
      </c>
      <c r="B1467" t="s">
        <v>1482</v>
      </c>
      <c r="C1467" t="s">
        <v>13</v>
      </c>
      <c r="D1467">
        <v>500</v>
      </c>
      <c r="E1467" t="s">
        <v>14</v>
      </c>
    </row>
    <row r="1468" spans="1:5" x14ac:dyDescent="0.25">
      <c r="A1468" s="1">
        <v>45614</v>
      </c>
      <c r="B1468" t="s">
        <v>1483</v>
      </c>
      <c r="C1468" t="s">
        <v>9</v>
      </c>
      <c r="D1468">
        <v>694.33</v>
      </c>
      <c r="E1468" t="s">
        <v>7</v>
      </c>
    </row>
    <row r="1469" spans="1:5" x14ac:dyDescent="0.25">
      <c r="A1469" s="1">
        <v>45614</v>
      </c>
      <c r="B1469" t="s">
        <v>1484</v>
      </c>
      <c r="C1469" t="s">
        <v>6</v>
      </c>
      <c r="D1469">
        <v>1378.66</v>
      </c>
      <c r="E1469" t="s">
        <v>7</v>
      </c>
    </row>
    <row r="1470" spans="1:5" x14ac:dyDescent="0.25">
      <c r="A1470" s="1">
        <v>45615</v>
      </c>
      <c r="B1470" t="s">
        <v>1485</v>
      </c>
      <c r="C1470" t="s">
        <v>27</v>
      </c>
      <c r="D1470">
        <v>606.22</v>
      </c>
      <c r="E1470" t="s">
        <v>7</v>
      </c>
    </row>
    <row r="1471" spans="1:5" x14ac:dyDescent="0.25">
      <c r="A1471" s="1">
        <v>45616</v>
      </c>
      <c r="B1471" t="s">
        <v>1486</v>
      </c>
      <c r="C1471" t="s">
        <v>35</v>
      </c>
      <c r="D1471">
        <v>1198.04</v>
      </c>
      <c r="E1471" t="s">
        <v>7</v>
      </c>
    </row>
    <row r="1472" spans="1:5" x14ac:dyDescent="0.25">
      <c r="A1472" s="1">
        <v>45616</v>
      </c>
      <c r="B1472" t="s">
        <v>1487</v>
      </c>
      <c r="C1472" t="s">
        <v>25</v>
      </c>
      <c r="D1472">
        <v>385.26</v>
      </c>
      <c r="E1472" t="s">
        <v>7</v>
      </c>
    </row>
    <row r="1473" spans="1:5" x14ac:dyDescent="0.25">
      <c r="A1473" s="1">
        <v>45618</v>
      </c>
      <c r="B1473" t="s">
        <v>1488</v>
      </c>
      <c r="C1473" t="s">
        <v>17</v>
      </c>
      <c r="D1473">
        <v>795.56</v>
      </c>
      <c r="E1473" t="s">
        <v>7</v>
      </c>
    </row>
    <row r="1474" spans="1:5" x14ac:dyDescent="0.25">
      <c r="A1474" s="1">
        <v>45619</v>
      </c>
      <c r="B1474" t="s">
        <v>1489</v>
      </c>
      <c r="C1474" t="s">
        <v>20</v>
      </c>
      <c r="D1474">
        <v>3599</v>
      </c>
      <c r="E1474" t="s">
        <v>14</v>
      </c>
    </row>
    <row r="1475" spans="1:5" x14ac:dyDescent="0.25">
      <c r="A1475" s="1">
        <v>45620</v>
      </c>
      <c r="B1475" t="s">
        <v>1490</v>
      </c>
      <c r="C1475" t="s">
        <v>11</v>
      </c>
      <c r="D1475">
        <v>850.26</v>
      </c>
      <c r="E1475" t="s">
        <v>7</v>
      </c>
    </row>
    <row r="1476" spans="1:5" x14ac:dyDescent="0.25">
      <c r="A1476" s="1">
        <v>45620</v>
      </c>
      <c r="B1476" t="s">
        <v>1491</v>
      </c>
      <c r="C1476" t="s">
        <v>35</v>
      </c>
      <c r="D1476">
        <v>576.51</v>
      </c>
      <c r="E1476" t="s">
        <v>7</v>
      </c>
    </row>
    <row r="1477" spans="1:5" x14ac:dyDescent="0.25">
      <c r="A1477" s="1">
        <v>45620</v>
      </c>
      <c r="B1477" t="s">
        <v>1492</v>
      </c>
      <c r="C1477" t="s">
        <v>35</v>
      </c>
      <c r="D1477">
        <v>831.68</v>
      </c>
      <c r="E1477" t="s">
        <v>7</v>
      </c>
    </row>
    <row r="1478" spans="1:5" x14ac:dyDescent="0.25">
      <c r="A1478" s="1">
        <v>45621</v>
      </c>
      <c r="B1478" t="s">
        <v>1493</v>
      </c>
      <c r="C1478" t="s">
        <v>9</v>
      </c>
      <c r="D1478">
        <v>281.88</v>
      </c>
      <c r="E1478" t="s">
        <v>7</v>
      </c>
    </row>
    <row r="1479" spans="1:5" x14ac:dyDescent="0.25">
      <c r="A1479" s="1">
        <v>45621</v>
      </c>
      <c r="B1479" t="s">
        <v>1494</v>
      </c>
      <c r="C1479" t="s">
        <v>20</v>
      </c>
      <c r="D1479">
        <v>4209</v>
      </c>
      <c r="E1479" t="s">
        <v>14</v>
      </c>
    </row>
    <row r="1480" spans="1:5" x14ac:dyDescent="0.25">
      <c r="A1480" s="1">
        <v>45621</v>
      </c>
      <c r="B1480" t="s">
        <v>1495</v>
      </c>
      <c r="C1480" t="s">
        <v>27</v>
      </c>
      <c r="D1480">
        <v>383.7</v>
      </c>
      <c r="E1480" t="s">
        <v>7</v>
      </c>
    </row>
    <row r="1481" spans="1:5" x14ac:dyDescent="0.25">
      <c r="A1481" s="1">
        <v>45622</v>
      </c>
      <c r="B1481" t="s">
        <v>1496</v>
      </c>
      <c r="C1481" t="s">
        <v>13</v>
      </c>
      <c r="D1481">
        <v>4882</v>
      </c>
      <c r="E1481" t="s">
        <v>14</v>
      </c>
    </row>
    <row r="1482" spans="1:5" x14ac:dyDescent="0.25">
      <c r="A1482" s="1">
        <v>45625</v>
      </c>
      <c r="B1482" t="s">
        <v>1497</v>
      </c>
      <c r="C1482" t="s">
        <v>13</v>
      </c>
      <c r="D1482">
        <v>2811</v>
      </c>
      <c r="E1482" t="s">
        <v>14</v>
      </c>
    </row>
    <row r="1483" spans="1:5" x14ac:dyDescent="0.25">
      <c r="A1483" s="1">
        <v>45626</v>
      </c>
      <c r="B1483" t="s">
        <v>1498</v>
      </c>
      <c r="C1483" t="s">
        <v>27</v>
      </c>
      <c r="D1483">
        <v>1456.94</v>
      </c>
      <c r="E1483" t="s">
        <v>7</v>
      </c>
    </row>
    <row r="1484" spans="1:5" x14ac:dyDescent="0.25">
      <c r="A1484" s="1">
        <v>45628</v>
      </c>
      <c r="B1484" t="s">
        <v>1499</v>
      </c>
      <c r="C1484" t="s">
        <v>9</v>
      </c>
      <c r="D1484">
        <v>39.299999999999997</v>
      </c>
      <c r="E1484" t="s">
        <v>7</v>
      </c>
    </row>
    <row r="1485" spans="1:5" x14ac:dyDescent="0.25">
      <c r="A1485" s="1">
        <v>45631</v>
      </c>
      <c r="B1485" t="s">
        <v>1500</v>
      </c>
      <c r="C1485" t="s">
        <v>17</v>
      </c>
      <c r="D1485">
        <v>630.04</v>
      </c>
      <c r="E1485" t="s">
        <v>7</v>
      </c>
    </row>
    <row r="1486" spans="1:5" x14ac:dyDescent="0.25">
      <c r="A1486" s="1">
        <v>45632</v>
      </c>
      <c r="B1486" t="s">
        <v>1501</v>
      </c>
      <c r="C1486" t="s">
        <v>25</v>
      </c>
      <c r="D1486">
        <v>932.73</v>
      </c>
      <c r="E1486" t="s">
        <v>7</v>
      </c>
    </row>
    <row r="1487" spans="1:5" x14ac:dyDescent="0.25">
      <c r="A1487" s="1">
        <v>45635</v>
      </c>
      <c r="B1487" t="s">
        <v>1502</v>
      </c>
      <c r="C1487" t="s">
        <v>25</v>
      </c>
      <c r="D1487">
        <v>169.64</v>
      </c>
      <c r="E1487" t="s">
        <v>7</v>
      </c>
    </row>
    <row r="1488" spans="1:5" x14ac:dyDescent="0.25">
      <c r="A1488" s="1">
        <v>45637</v>
      </c>
      <c r="B1488" t="s">
        <v>1503</v>
      </c>
      <c r="C1488" t="s">
        <v>9</v>
      </c>
      <c r="D1488">
        <v>121.52</v>
      </c>
      <c r="E1488" t="s">
        <v>7</v>
      </c>
    </row>
    <row r="1489" spans="1:5" x14ac:dyDescent="0.25">
      <c r="A1489" s="1">
        <v>45638</v>
      </c>
      <c r="B1489" t="s">
        <v>1504</v>
      </c>
      <c r="C1489" t="s">
        <v>11</v>
      </c>
      <c r="D1489">
        <v>1090.95</v>
      </c>
      <c r="E1489" t="s">
        <v>7</v>
      </c>
    </row>
    <row r="1490" spans="1:5" x14ac:dyDescent="0.25">
      <c r="A1490" s="1">
        <v>45638</v>
      </c>
      <c r="B1490" t="s">
        <v>1505</v>
      </c>
      <c r="C1490" t="s">
        <v>20</v>
      </c>
      <c r="D1490">
        <v>3625</v>
      </c>
      <c r="E1490" t="s">
        <v>14</v>
      </c>
    </row>
    <row r="1491" spans="1:5" x14ac:dyDescent="0.25">
      <c r="A1491" s="1">
        <v>45641</v>
      </c>
      <c r="B1491" t="s">
        <v>1506</v>
      </c>
      <c r="C1491" t="s">
        <v>11</v>
      </c>
      <c r="D1491">
        <v>1949.45</v>
      </c>
      <c r="E1491" t="s">
        <v>7</v>
      </c>
    </row>
    <row r="1492" spans="1:5" x14ac:dyDescent="0.25">
      <c r="A1492" s="1">
        <v>45642</v>
      </c>
      <c r="B1492" t="s">
        <v>1507</v>
      </c>
      <c r="C1492" t="s">
        <v>17</v>
      </c>
      <c r="D1492">
        <v>1544.74</v>
      </c>
      <c r="E1492" t="s">
        <v>7</v>
      </c>
    </row>
    <row r="1493" spans="1:5" x14ac:dyDescent="0.25">
      <c r="A1493" s="1">
        <v>45645</v>
      </c>
      <c r="B1493" t="s">
        <v>1508</v>
      </c>
      <c r="C1493" t="s">
        <v>6</v>
      </c>
      <c r="D1493">
        <v>406.37</v>
      </c>
      <c r="E1493" t="s">
        <v>7</v>
      </c>
    </row>
    <row r="1494" spans="1:5" x14ac:dyDescent="0.25">
      <c r="A1494" s="1">
        <v>45645</v>
      </c>
      <c r="B1494" t="s">
        <v>1509</v>
      </c>
      <c r="C1494" t="s">
        <v>11</v>
      </c>
      <c r="D1494">
        <v>1047.07</v>
      </c>
      <c r="E1494" t="s">
        <v>7</v>
      </c>
    </row>
    <row r="1495" spans="1:5" x14ac:dyDescent="0.25">
      <c r="A1495" s="1">
        <v>45647</v>
      </c>
      <c r="B1495" t="s">
        <v>1510</v>
      </c>
      <c r="C1495" t="s">
        <v>27</v>
      </c>
      <c r="D1495">
        <v>784.35</v>
      </c>
      <c r="E1495" t="s">
        <v>7</v>
      </c>
    </row>
    <row r="1496" spans="1:5" x14ac:dyDescent="0.25">
      <c r="A1496" s="1">
        <v>45649</v>
      </c>
      <c r="B1496" t="s">
        <v>1511</v>
      </c>
      <c r="C1496" t="s">
        <v>25</v>
      </c>
      <c r="D1496">
        <v>325.64</v>
      </c>
      <c r="E1496" t="s">
        <v>7</v>
      </c>
    </row>
    <row r="1497" spans="1:5" x14ac:dyDescent="0.25">
      <c r="A1497" s="1">
        <v>45654</v>
      </c>
      <c r="B1497" t="s">
        <v>1512</v>
      </c>
      <c r="C1497" t="s">
        <v>11</v>
      </c>
      <c r="D1497">
        <v>514.09</v>
      </c>
      <c r="E1497" t="s">
        <v>7</v>
      </c>
    </row>
    <row r="1498" spans="1:5" x14ac:dyDescent="0.25">
      <c r="A1498" s="1">
        <v>45654</v>
      </c>
      <c r="B1498" t="s">
        <v>1513</v>
      </c>
      <c r="C1498" t="s">
        <v>22</v>
      </c>
      <c r="D1498">
        <v>727.25</v>
      </c>
      <c r="E1498" t="s">
        <v>7</v>
      </c>
    </row>
    <row r="1499" spans="1:5" x14ac:dyDescent="0.25">
      <c r="A1499" s="1">
        <v>45654</v>
      </c>
      <c r="B1499" t="s">
        <v>1514</v>
      </c>
      <c r="C1499" t="s">
        <v>13</v>
      </c>
      <c r="D1499">
        <v>1425</v>
      </c>
      <c r="E1499" t="s">
        <v>14</v>
      </c>
    </row>
    <row r="1500" spans="1:5" x14ac:dyDescent="0.25">
      <c r="A1500" s="1">
        <v>45655</v>
      </c>
      <c r="B1500" t="s">
        <v>1515</v>
      </c>
      <c r="C1500" t="s">
        <v>17</v>
      </c>
      <c r="D1500">
        <v>655.78</v>
      </c>
      <c r="E1500" t="s">
        <v>7</v>
      </c>
    </row>
    <row r="1501" spans="1:5" x14ac:dyDescent="0.25">
      <c r="A1501" s="1">
        <v>45655</v>
      </c>
      <c r="B1501" t="s">
        <v>1516</v>
      </c>
      <c r="C1501" t="s">
        <v>20</v>
      </c>
      <c r="D1501">
        <v>1480</v>
      </c>
      <c r="E15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DA92-6300-4A9D-A14B-38F68B917B82}">
  <dimension ref="A1:J1501"/>
  <sheetViews>
    <sheetView zoomScale="88" workbookViewId="0">
      <selection activeCell="G18" sqref="G18"/>
    </sheetView>
  </sheetViews>
  <sheetFormatPr defaultRowHeight="15" x14ac:dyDescent="0.25"/>
  <cols>
    <col min="1" max="1" width="10.42578125" bestFit="1" customWidth="1"/>
    <col min="2" max="2" width="45" bestFit="1" customWidth="1"/>
    <col min="3" max="3" width="15.28515625" bestFit="1" customWidth="1"/>
    <col min="4" max="4" width="11.42578125" style="2" bestFit="1" customWidth="1"/>
    <col min="5" max="5" width="8.140625" bestFit="1" customWidth="1"/>
    <col min="6" max="6" width="14" bestFit="1" customWidth="1"/>
    <col min="7" max="7" width="7.5703125" bestFit="1" customWidth="1"/>
    <col min="8" max="8" width="17.7109375" bestFit="1" customWidth="1"/>
    <col min="9" max="9" width="18.42578125" customWidth="1"/>
    <col min="10" max="10" width="14" bestFit="1" customWidth="1"/>
  </cols>
  <sheetData>
    <row r="1" spans="1:10" x14ac:dyDescent="0.25">
      <c r="A1" t="s">
        <v>0</v>
      </c>
      <c r="B1" t="s">
        <v>1</v>
      </c>
      <c r="C1" t="s">
        <v>2</v>
      </c>
      <c r="D1" s="2" t="s">
        <v>3</v>
      </c>
      <c r="E1" t="s">
        <v>4</v>
      </c>
      <c r="F1" t="s">
        <v>1517</v>
      </c>
      <c r="G1" t="s">
        <v>1518</v>
      </c>
      <c r="H1" t="s">
        <v>1579</v>
      </c>
      <c r="I1" t="s">
        <v>1580</v>
      </c>
      <c r="J1" t="s">
        <v>1581</v>
      </c>
    </row>
    <row r="2" spans="1:10" x14ac:dyDescent="0.25">
      <c r="A2" s="1">
        <v>43832</v>
      </c>
      <c r="B2" t="s">
        <v>5</v>
      </c>
      <c r="C2" t="s">
        <v>6</v>
      </c>
      <c r="D2" s="2">
        <v>1485.69</v>
      </c>
      <c r="E2" t="s">
        <v>7</v>
      </c>
      <c r="F2" t="s">
        <v>1519</v>
      </c>
      <c r="G2">
        <v>2020</v>
      </c>
      <c r="H2">
        <f>IF(Table1_1[[#This Row],[Type]]="Expense", _xlfn.XLOOKUP(Table1_1[[#This Row],[Category]], Budget_Ref[Category], Budget_Ref[Monthly Budget], 0), 0)</f>
        <v>500</v>
      </c>
      <c r="I2" t="str">
        <f>IF(Table1_1[[#This Row],[Type]]="Expense", IF(Table1_1[[#This Row],[Amount]]&gt;Table1_1[[#This Row],[Monthly Budget]], "Over Budget", "OK"), "-")</f>
        <v>Over Budget</v>
      </c>
      <c r="J2">
        <f>IF(Table1_1[[#This Row],[Type]]="Income", Table1_1[[#This Row],[Amount]], -Table1_1[[#This Row],[Amount]])</f>
        <v>-1485.69</v>
      </c>
    </row>
    <row r="3" spans="1:10" x14ac:dyDescent="0.25">
      <c r="A3" s="1">
        <v>43832</v>
      </c>
      <c r="B3" t="s">
        <v>8</v>
      </c>
      <c r="C3" t="s">
        <v>9</v>
      </c>
      <c r="D3" s="2">
        <v>1475.58</v>
      </c>
      <c r="E3" t="s">
        <v>7</v>
      </c>
      <c r="F3" t="s">
        <v>1519</v>
      </c>
      <c r="G3">
        <v>2020</v>
      </c>
      <c r="H3">
        <f>IF(Table1_1[[#This Row],[Type]]="Expense", _xlfn.XLOOKUP(Table1_1[[#This Row],[Category]], Budget_Ref[Category], Budget_Ref[Monthly Budget], 0), 0)</f>
        <v>150</v>
      </c>
      <c r="I3" t="str">
        <f>IF(Table1_1[[#This Row],[Type]]="Expense", IF(Table1_1[[#This Row],[Amount]]&gt;Table1_1[[#This Row],[Monthly Budget]], "Over Budget", "OK"), "-")</f>
        <v>Over Budget</v>
      </c>
      <c r="J3">
        <f>IF(Table1_1[[#This Row],[Type]]="Income", Table1_1[[#This Row],[Amount]], -Table1_1[[#This Row],[Amount]])</f>
        <v>-1475.58</v>
      </c>
    </row>
    <row r="4" spans="1:10" x14ac:dyDescent="0.25">
      <c r="A4" s="1">
        <v>43834</v>
      </c>
      <c r="B4" t="s">
        <v>10</v>
      </c>
      <c r="C4" t="s">
        <v>11</v>
      </c>
      <c r="D4" s="2">
        <v>1185.08</v>
      </c>
      <c r="E4" t="s">
        <v>7</v>
      </c>
      <c r="F4" t="s">
        <v>1519</v>
      </c>
      <c r="G4">
        <v>2020</v>
      </c>
      <c r="H4">
        <f>IF(Table1_1[[#This Row],[Type]]="Expense", _xlfn.XLOOKUP(Table1_1[[#This Row],[Category]], Budget_Ref[Category], Budget_Ref[Monthly Budget], 0), 0)</f>
        <v>1500</v>
      </c>
      <c r="I4" t="str">
        <f>IF(Table1_1[[#This Row],[Type]]="Expense", IF(Table1_1[[#This Row],[Amount]]&gt;Table1_1[[#This Row],[Monthly Budget]], "Over Budget", "OK"), "-")</f>
        <v>OK</v>
      </c>
      <c r="J4">
        <f>IF(Table1_1[[#This Row],[Type]]="Income", Table1_1[[#This Row],[Amount]], -Table1_1[[#This Row],[Amount]])</f>
        <v>-1185.08</v>
      </c>
    </row>
    <row r="5" spans="1:10" x14ac:dyDescent="0.25">
      <c r="A5" s="1">
        <v>43835</v>
      </c>
      <c r="B5" t="s">
        <v>12</v>
      </c>
      <c r="C5" t="s">
        <v>13</v>
      </c>
      <c r="D5" s="2">
        <v>2291</v>
      </c>
      <c r="E5" t="s">
        <v>14</v>
      </c>
      <c r="F5" t="s">
        <v>1519</v>
      </c>
      <c r="G5">
        <v>2020</v>
      </c>
      <c r="H5">
        <f>IF(Table1_1[[#This Row],[Type]]="Expense", _xlfn.XLOOKUP(Table1_1[[#This Row],[Category]], Budget_Ref[Category], Budget_Ref[Monthly Budget], 0), 0)</f>
        <v>0</v>
      </c>
      <c r="I5" t="str">
        <f>IF(Table1_1[[#This Row],[Type]]="Expense", IF(Table1_1[[#This Row],[Amount]]&gt;Table1_1[[#This Row],[Monthly Budget]], "Over Budget", "OK"), "-")</f>
        <v>-</v>
      </c>
      <c r="J5">
        <f>IF(Table1_1[[#This Row],[Type]]="Income", Table1_1[[#This Row],[Amount]], -Table1_1[[#This Row],[Amount]])</f>
        <v>2291</v>
      </c>
    </row>
    <row r="6" spans="1:10" x14ac:dyDescent="0.25">
      <c r="A6" s="1">
        <v>43843</v>
      </c>
      <c r="B6" t="s">
        <v>15</v>
      </c>
      <c r="C6" t="s">
        <v>6</v>
      </c>
      <c r="D6" s="2">
        <v>1126.8800000000001</v>
      </c>
      <c r="E6" t="s">
        <v>7</v>
      </c>
      <c r="F6" t="s">
        <v>1519</v>
      </c>
      <c r="G6">
        <v>2020</v>
      </c>
      <c r="H6">
        <f>IF(Table1_1[[#This Row],[Type]]="Expense", _xlfn.XLOOKUP(Table1_1[[#This Row],[Category]], Budget_Ref[Category], Budget_Ref[Monthly Budget], 0), 0)</f>
        <v>500</v>
      </c>
      <c r="I6" t="str">
        <f>IF(Table1_1[[#This Row],[Type]]="Expense", IF(Table1_1[[#This Row],[Amount]]&gt;Table1_1[[#This Row],[Monthly Budget]], "Over Budget", "OK"), "-")</f>
        <v>Over Budget</v>
      </c>
      <c r="J6">
        <f>IF(Table1_1[[#This Row],[Type]]="Income", Table1_1[[#This Row],[Amount]], -Table1_1[[#This Row],[Amount]])</f>
        <v>-1126.8800000000001</v>
      </c>
    </row>
    <row r="7" spans="1:10" x14ac:dyDescent="0.25">
      <c r="A7" s="1">
        <v>43844</v>
      </c>
      <c r="B7" t="s">
        <v>16</v>
      </c>
      <c r="C7" t="s">
        <v>17</v>
      </c>
      <c r="D7" s="2">
        <v>448.68</v>
      </c>
      <c r="E7" t="s">
        <v>7</v>
      </c>
      <c r="F7" t="s">
        <v>1519</v>
      </c>
      <c r="G7">
        <v>2020</v>
      </c>
      <c r="H7">
        <f>IF(Table1_1[[#This Row],[Type]]="Expense", _xlfn.XLOOKUP(Table1_1[[#This Row],[Category]], Budget_Ref[Category], Budget_Ref[Monthly Budget], 0), 0)</f>
        <v>300</v>
      </c>
      <c r="I7" t="str">
        <f>IF(Table1_1[[#This Row],[Type]]="Expense", IF(Table1_1[[#This Row],[Amount]]&gt;Table1_1[[#This Row],[Monthly Budget]], "Over Budget", "OK"), "-")</f>
        <v>Over Budget</v>
      </c>
      <c r="J7">
        <f>IF(Table1_1[[#This Row],[Type]]="Income", Table1_1[[#This Row],[Amount]], -Table1_1[[#This Row],[Amount]])</f>
        <v>-448.68</v>
      </c>
    </row>
    <row r="8" spans="1:10" x14ac:dyDescent="0.25">
      <c r="A8" s="1">
        <v>43848</v>
      </c>
      <c r="B8" t="s">
        <v>18</v>
      </c>
      <c r="C8" t="s">
        <v>6</v>
      </c>
      <c r="D8" s="2">
        <v>1520.03</v>
      </c>
      <c r="E8" t="s">
        <v>7</v>
      </c>
      <c r="F8" t="s">
        <v>1519</v>
      </c>
      <c r="G8">
        <v>2020</v>
      </c>
      <c r="H8">
        <f>IF(Table1_1[[#This Row],[Type]]="Expense", _xlfn.XLOOKUP(Table1_1[[#This Row],[Category]], Budget_Ref[Category], Budget_Ref[Monthly Budget], 0), 0)</f>
        <v>500</v>
      </c>
      <c r="I8" t="str">
        <f>IF(Table1_1[[#This Row],[Type]]="Expense", IF(Table1_1[[#This Row],[Amount]]&gt;Table1_1[[#This Row],[Monthly Budget]], "Over Budget", "OK"), "-")</f>
        <v>Over Budget</v>
      </c>
      <c r="J8">
        <f>IF(Table1_1[[#This Row],[Type]]="Income", Table1_1[[#This Row],[Amount]], -Table1_1[[#This Row],[Amount]])</f>
        <v>-1520.03</v>
      </c>
    </row>
    <row r="9" spans="1:10" x14ac:dyDescent="0.25">
      <c r="A9" s="1">
        <v>43849</v>
      </c>
      <c r="B9" t="s">
        <v>19</v>
      </c>
      <c r="C9" t="s">
        <v>20</v>
      </c>
      <c r="D9" s="2">
        <v>3287</v>
      </c>
      <c r="E9" t="s">
        <v>14</v>
      </c>
      <c r="F9" t="s">
        <v>1519</v>
      </c>
      <c r="G9">
        <v>2020</v>
      </c>
      <c r="H9">
        <f>IF(Table1_1[[#This Row],[Type]]="Expense", _xlfn.XLOOKUP(Table1_1[[#This Row],[Category]], Budget_Ref[Category], Budget_Ref[Monthly Budget], 0), 0)</f>
        <v>0</v>
      </c>
      <c r="I9" t="str">
        <f>IF(Table1_1[[#This Row],[Type]]="Expense", IF(Table1_1[[#This Row],[Amount]]&gt;Table1_1[[#This Row],[Monthly Budget]], "Over Budget", "OK"), "-")</f>
        <v>-</v>
      </c>
      <c r="J9">
        <f>IF(Table1_1[[#This Row],[Type]]="Income", Table1_1[[#This Row],[Amount]], -Table1_1[[#This Row],[Amount]])</f>
        <v>3287</v>
      </c>
    </row>
    <row r="10" spans="1:10" x14ac:dyDescent="0.25">
      <c r="A10" s="1">
        <v>43851</v>
      </c>
      <c r="B10" t="s">
        <v>21</v>
      </c>
      <c r="C10" t="s">
        <v>22</v>
      </c>
      <c r="D10" s="2">
        <v>1914.85</v>
      </c>
      <c r="E10" t="s">
        <v>7</v>
      </c>
      <c r="F10" t="s">
        <v>1519</v>
      </c>
      <c r="G10">
        <v>2020</v>
      </c>
      <c r="H10">
        <f>IF(Table1_1[[#This Row],[Type]]="Expense", _xlfn.XLOOKUP(Table1_1[[#This Row],[Category]], Budget_Ref[Category], Budget_Ref[Monthly Budget], 0), 0)</f>
        <v>200</v>
      </c>
      <c r="I10" t="str">
        <f>IF(Table1_1[[#This Row],[Type]]="Expense", IF(Table1_1[[#This Row],[Amount]]&gt;Table1_1[[#This Row],[Monthly Budget]], "Over Budget", "OK"), "-")</f>
        <v>Over Budget</v>
      </c>
      <c r="J10">
        <f>IF(Table1_1[[#This Row],[Type]]="Income", Table1_1[[#This Row],[Amount]], -Table1_1[[#This Row],[Amount]])</f>
        <v>-1914.85</v>
      </c>
    </row>
    <row r="11" spans="1:10" x14ac:dyDescent="0.25">
      <c r="A11" s="1">
        <v>43855</v>
      </c>
      <c r="B11" t="s">
        <v>23</v>
      </c>
      <c r="C11" t="s">
        <v>11</v>
      </c>
      <c r="D11" s="2">
        <v>766.06</v>
      </c>
      <c r="E11" t="s">
        <v>7</v>
      </c>
      <c r="F11" t="s">
        <v>1519</v>
      </c>
      <c r="G11">
        <v>2020</v>
      </c>
      <c r="H11">
        <f>IF(Table1_1[[#This Row],[Type]]="Expense", _xlfn.XLOOKUP(Table1_1[[#This Row],[Category]], Budget_Ref[Category], Budget_Ref[Monthly Budget], 0), 0)</f>
        <v>1500</v>
      </c>
      <c r="I11" t="str">
        <f>IF(Table1_1[[#This Row],[Type]]="Expense", IF(Table1_1[[#This Row],[Amount]]&gt;Table1_1[[#This Row],[Monthly Budget]], "Over Budget", "OK"), "-")</f>
        <v>OK</v>
      </c>
      <c r="J11">
        <f>IF(Table1_1[[#This Row],[Type]]="Income", Table1_1[[#This Row],[Amount]], -Table1_1[[#This Row],[Amount]])</f>
        <v>-766.06</v>
      </c>
    </row>
    <row r="12" spans="1:10" x14ac:dyDescent="0.25">
      <c r="A12" s="1">
        <v>43855</v>
      </c>
      <c r="B12" t="s">
        <v>24</v>
      </c>
      <c r="C12" t="s">
        <v>25</v>
      </c>
      <c r="D12" s="2">
        <v>1211.4100000000001</v>
      </c>
      <c r="E12" t="s">
        <v>7</v>
      </c>
      <c r="F12" t="s">
        <v>1519</v>
      </c>
      <c r="G12">
        <v>2020</v>
      </c>
      <c r="H12">
        <f>IF(Table1_1[[#This Row],[Type]]="Expense", _xlfn.XLOOKUP(Table1_1[[#This Row],[Category]], Budget_Ref[Category], Budget_Ref[Monthly Budget], 0), 0)</f>
        <v>150</v>
      </c>
      <c r="I12" t="str">
        <f>IF(Table1_1[[#This Row],[Type]]="Expense", IF(Table1_1[[#This Row],[Amount]]&gt;Table1_1[[#This Row],[Monthly Budget]], "Over Budget", "OK"), "-")</f>
        <v>Over Budget</v>
      </c>
      <c r="J12">
        <f>IF(Table1_1[[#This Row],[Type]]="Income", Table1_1[[#This Row],[Amount]], -Table1_1[[#This Row],[Amount]])</f>
        <v>-1211.4100000000001</v>
      </c>
    </row>
    <row r="13" spans="1:10" x14ac:dyDescent="0.25">
      <c r="A13" s="1">
        <v>43856</v>
      </c>
      <c r="B13" t="s">
        <v>26</v>
      </c>
      <c r="C13" t="s">
        <v>27</v>
      </c>
      <c r="D13" s="2">
        <v>1077.0899999999999</v>
      </c>
      <c r="E13" t="s">
        <v>14</v>
      </c>
      <c r="F13" t="s">
        <v>1519</v>
      </c>
      <c r="G13">
        <v>2020</v>
      </c>
      <c r="H13">
        <f>IF(Table1_1[[#This Row],[Type]]="Expense", _xlfn.XLOOKUP(Table1_1[[#This Row],[Category]], Budget_Ref[Category], Budget_Ref[Monthly Budget], 0), 0)</f>
        <v>0</v>
      </c>
      <c r="I13" t="str">
        <f>IF(Table1_1[[#This Row],[Type]]="Expense", IF(Table1_1[[#This Row],[Amount]]&gt;Table1_1[[#This Row],[Monthly Budget]], "Over Budget", "OK"), "-")</f>
        <v>-</v>
      </c>
      <c r="J13">
        <f>IF(Table1_1[[#This Row],[Type]]="Income", Table1_1[[#This Row],[Amount]], -Table1_1[[#This Row],[Amount]])</f>
        <v>1077.0899999999999</v>
      </c>
    </row>
    <row r="14" spans="1:10" x14ac:dyDescent="0.25">
      <c r="A14" s="1">
        <v>43859</v>
      </c>
      <c r="B14" t="s">
        <v>28</v>
      </c>
      <c r="C14" t="s">
        <v>17</v>
      </c>
      <c r="D14" s="2">
        <v>166.81</v>
      </c>
      <c r="E14" t="s">
        <v>7</v>
      </c>
      <c r="F14" t="s">
        <v>1519</v>
      </c>
      <c r="G14">
        <v>2020</v>
      </c>
      <c r="H14">
        <f>IF(Table1_1[[#This Row],[Type]]="Expense", _xlfn.XLOOKUP(Table1_1[[#This Row],[Category]], Budget_Ref[Category], Budget_Ref[Monthly Budget], 0), 0)</f>
        <v>300</v>
      </c>
      <c r="I14" t="str">
        <f>IF(Table1_1[[#This Row],[Type]]="Expense", IF(Table1_1[[#This Row],[Amount]]&gt;Table1_1[[#This Row],[Monthly Budget]], "Over Budget", "OK"), "-")</f>
        <v>OK</v>
      </c>
      <c r="J14">
        <f>IF(Table1_1[[#This Row],[Type]]="Income", Table1_1[[#This Row],[Amount]], -Table1_1[[#This Row],[Amount]])</f>
        <v>-166.81</v>
      </c>
    </row>
    <row r="15" spans="1:10" x14ac:dyDescent="0.25">
      <c r="A15" s="1">
        <v>43860</v>
      </c>
      <c r="B15" t="s">
        <v>29</v>
      </c>
      <c r="C15" t="s">
        <v>25</v>
      </c>
      <c r="D15" s="2">
        <v>1158.93</v>
      </c>
      <c r="E15" t="s">
        <v>7</v>
      </c>
      <c r="F15" t="s">
        <v>1519</v>
      </c>
      <c r="G15">
        <v>2020</v>
      </c>
      <c r="H15">
        <f>IF(Table1_1[[#This Row],[Type]]="Expense", _xlfn.XLOOKUP(Table1_1[[#This Row],[Category]], Budget_Ref[Category], Budget_Ref[Monthly Budget], 0), 0)</f>
        <v>150</v>
      </c>
      <c r="I15" t="str">
        <f>IF(Table1_1[[#This Row],[Type]]="Expense", IF(Table1_1[[#This Row],[Amount]]&gt;Table1_1[[#This Row],[Monthly Budget]], "Over Budget", "OK"), "-")</f>
        <v>Over Budget</v>
      </c>
      <c r="J15">
        <f>IF(Table1_1[[#This Row],[Type]]="Income", Table1_1[[#This Row],[Amount]], -Table1_1[[#This Row],[Amount]])</f>
        <v>-1158.93</v>
      </c>
    </row>
    <row r="16" spans="1:10" x14ac:dyDescent="0.25">
      <c r="A16" s="1">
        <v>43861</v>
      </c>
      <c r="B16" t="s">
        <v>30</v>
      </c>
      <c r="C16" t="s">
        <v>6</v>
      </c>
      <c r="D16" s="2">
        <v>1325.91</v>
      </c>
      <c r="E16" t="s">
        <v>7</v>
      </c>
      <c r="F16" t="s">
        <v>1519</v>
      </c>
      <c r="G16">
        <v>2020</v>
      </c>
      <c r="H16">
        <f>IF(Table1_1[[#This Row],[Type]]="Expense", _xlfn.XLOOKUP(Table1_1[[#This Row],[Category]], Budget_Ref[Category], Budget_Ref[Monthly Budget], 0), 0)</f>
        <v>500</v>
      </c>
      <c r="I16" t="str">
        <f>IF(Table1_1[[#This Row],[Type]]="Expense", IF(Table1_1[[#This Row],[Amount]]&gt;Table1_1[[#This Row],[Monthly Budget]], "Over Budget", "OK"), "-")</f>
        <v>Over Budget</v>
      </c>
      <c r="J16">
        <f>IF(Table1_1[[#This Row],[Type]]="Income", Table1_1[[#This Row],[Amount]], -Table1_1[[#This Row],[Amount]])</f>
        <v>-1325.91</v>
      </c>
    </row>
    <row r="17" spans="1:10" x14ac:dyDescent="0.25">
      <c r="A17" s="1">
        <v>43861</v>
      </c>
      <c r="B17" t="s">
        <v>31</v>
      </c>
      <c r="C17" t="s">
        <v>11</v>
      </c>
      <c r="D17" s="2">
        <v>1712.08</v>
      </c>
      <c r="E17" t="s">
        <v>7</v>
      </c>
      <c r="F17" t="s">
        <v>1519</v>
      </c>
      <c r="G17">
        <v>2020</v>
      </c>
      <c r="H17">
        <f>IF(Table1_1[[#This Row],[Type]]="Expense", _xlfn.XLOOKUP(Table1_1[[#This Row],[Category]], Budget_Ref[Category], Budget_Ref[Monthly Budget], 0), 0)</f>
        <v>1500</v>
      </c>
      <c r="I17" t="str">
        <f>IF(Table1_1[[#This Row],[Type]]="Expense", IF(Table1_1[[#This Row],[Amount]]&gt;Table1_1[[#This Row],[Monthly Budget]], "Over Budget", "OK"), "-")</f>
        <v>Over Budget</v>
      </c>
      <c r="J17">
        <f>IF(Table1_1[[#This Row],[Type]]="Income", Table1_1[[#This Row],[Amount]], -Table1_1[[#This Row],[Amount]])</f>
        <v>-1712.08</v>
      </c>
    </row>
    <row r="18" spans="1:10" x14ac:dyDescent="0.25">
      <c r="A18" s="1">
        <v>43861</v>
      </c>
      <c r="B18" t="s">
        <v>32</v>
      </c>
      <c r="C18" t="s">
        <v>17</v>
      </c>
      <c r="D18" s="2">
        <v>563.16999999999996</v>
      </c>
      <c r="E18" t="s">
        <v>7</v>
      </c>
      <c r="F18" t="s">
        <v>1519</v>
      </c>
      <c r="G18">
        <v>2020</v>
      </c>
      <c r="H18">
        <f>IF(Table1_1[[#This Row],[Type]]="Expense", _xlfn.XLOOKUP(Table1_1[[#This Row],[Category]], Budget_Ref[Category], Budget_Ref[Monthly Budget], 0), 0)</f>
        <v>300</v>
      </c>
      <c r="I18" t="str">
        <f>IF(Table1_1[[#This Row],[Type]]="Expense", IF(Table1_1[[#This Row],[Amount]]&gt;Table1_1[[#This Row],[Monthly Budget]], "Over Budget", "OK"), "-")</f>
        <v>Over Budget</v>
      </c>
      <c r="J18">
        <f>IF(Table1_1[[#This Row],[Type]]="Income", Table1_1[[#This Row],[Amount]], -Table1_1[[#This Row],[Amount]])</f>
        <v>-563.16999999999996</v>
      </c>
    </row>
    <row r="19" spans="1:10" x14ac:dyDescent="0.25">
      <c r="A19" s="1">
        <v>43863</v>
      </c>
      <c r="B19" t="s">
        <v>33</v>
      </c>
      <c r="C19" t="s">
        <v>25</v>
      </c>
      <c r="D19" s="2">
        <v>333.68</v>
      </c>
      <c r="E19" t="s">
        <v>7</v>
      </c>
      <c r="F19" t="s">
        <v>1520</v>
      </c>
      <c r="G19">
        <v>2020</v>
      </c>
      <c r="H19">
        <f>IF(Table1_1[[#This Row],[Type]]="Expense", _xlfn.XLOOKUP(Table1_1[[#This Row],[Category]], Budget_Ref[Category], Budget_Ref[Monthly Budget], 0), 0)</f>
        <v>150</v>
      </c>
      <c r="I19" t="str">
        <f>IF(Table1_1[[#This Row],[Type]]="Expense", IF(Table1_1[[#This Row],[Amount]]&gt;Table1_1[[#This Row],[Monthly Budget]], "Over Budget", "OK"), "-")</f>
        <v>Over Budget</v>
      </c>
      <c r="J19">
        <f>IF(Table1_1[[#This Row],[Type]]="Income", Table1_1[[#This Row],[Amount]], -Table1_1[[#This Row],[Amount]])</f>
        <v>-333.68</v>
      </c>
    </row>
    <row r="20" spans="1:10" x14ac:dyDescent="0.25">
      <c r="A20" s="1">
        <v>43865</v>
      </c>
      <c r="B20" t="s">
        <v>34</v>
      </c>
      <c r="C20" t="s">
        <v>35</v>
      </c>
      <c r="D20" s="2">
        <v>1406.62</v>
      </c>
      <c r="E20" t="s">
        <v>7</v>
      </c>
      <c r="F20" t="s">
        <v>1520</v>
      </c>
      <c r="G20">
        <v>2020</v>
      </c>
      <c r="H20">
        <f>IF(Table1_1[[#This Row],[Type]]="Expense", _xlfn.XLOOKUP(Table1_1[[#This Row],[Category]], Budget_Ref[Category], Budget_Ref[Monthly Budget], 0), 0)</f>
        <v>200</v>
      </c>
      <c r="I20" t="str">
        <f>IF(Table1_1[[#This Row],[Type]]="Expense", IF(Table1_1[[#This Row],[Amount]]&gt;Table1_1[[#This Row],[Monthly Budget]], "Over Budget", "OK"), "-")</f>
        <v>Over Budget</v>
      </c>
      <c r="J20">
        <f>IF(Table1_1[[#This Row],[Type]]="Income", Table1_1[[#This Row],[Amount]], -Table1_1[[#This Row],[Amount]])</f>
        <v>-1406.62</v>
      </c>
    </row>
    <row r="21" spans="1:10" x14ac:dyDescent="0.25">
      <c r="A21" s="1">
        <v>43866</v>
      </c>
      <c r="B21" t="s">
        <v>36</v>
      </c>
      <c r="C21" t="s">
        <v>11</v>
      </c>
      <c r="D21" s="2">
        <v>1222.17</v>
      </c>
      <c r="E21" t="s">
        <v>7</v>
      </c>
      <c r="F21" t="s">
        <v>1520</v>
      </c>
      <c r="G21">
        <v>2020</v>
      </c>
      <c r="H21">
        <f>IF(Table1_1[[#This Row],[Type]]="Expense", _xlfn.XLOOKUP(Table1_1[[#This Row],[Category]], Budget_Ref[Category], Budget_Ref[Monthly Budget], 0), 0)</f>
        <v>1500</v>
      </c>
      <c r="I21" t="str">
        <f>IF(Table1_1[[#This Row],[Type]]="Expense", IF(Table1_1[[#This Row],[Amount]]&gt;Table1_1[[#This Row],[Monthly Budget]], "Over Budget", "OK"), "-")</f>
        <v>OK</v>
      </c>
      <c r="J21">
        <f>IF(Table1_1[[#This Row],[Type]]="Income", Table1_1[[#This Row],[Amount]], -Table1_1[[#This Row],[Amount]])</f>
        <v>-1222.17</v>
      </c>
    </row>
    <row r="22" spans="1:10" x14ac:dyDescent="0.25">
      <c r="A22" s="1">
        <v>43866</v>
      </c>
      <c r="B22" t="s">
        <v>37</v>
      </c>
      <c r="C22" t="s">
        <v>13</v>
      </c>
      <c r="D22" s="2">
        <v>1838</v>
      </c>
      <c r="E22" t="s">
        <v>14</v>
      </c>
      <c r="F22" t="s">
        <v>1520</v>
      </c>
      <c r="G22">
        <v>2020</v>
      </c>
      <c r="H22">
        <f>IF(Table1_1[[#This Row],[Type]]="Expense", _xlfn.XLOOKUP(Table1_1[[#This Row],[Category]], Budget_Ref[Category], Budget_Ref[Monthly Budget], 0), 0)</f>
        <v>0</v>
      </c>
      <c r="I22" t="str">
        <f>IF(Table1_1[[#This Row],[Type]]="Expense", IF(Table1_1[[#This Row],[Amount]]&gt;Table1_1[[#This Row],[Monthly Budget]], "Over Budget", "OK"), "-")</f>
        <v>-</v>
      </c>
      <c r="J22">
        <f>IF(Table1_1[[#This Row],[Type]]="Income", Table1_1[[#This Row],[Amount]], -Table1_1[[#This Row],[Amount]])</f>
        <v>1838</v>
      </c>
    </row>
    <row r="23" spans="1:10" x14ac:dyDescent="0.25">
      <c r="A23" s="1">
        <v>43868</v>
      </c>
      <c r="B23" t="s">
        <v>38</v>
      </c>
      <c r="C23" t="s">
        <v>35</v>
      </c>
      <c r="D23" s="2">
        <v>1979.15</v>
      </c>
      <c r="E23" t="s">
        <v>7</v>
      </c>
      <c r="F23" t="s">
        <v>1520</v>
      </c>
      <c r="G23">
        <v>2020</v>
      </c>
      <c r="H23">
        <f>IF(Table1_1[[#This Row],[Type]]="Expense", _xlfn.XLOOKUP(Table1_1[[#This Row],[Category]], Budget_Ref[Category], Budget_Ref[Monthly Budget], 0), 0)</f>
        <v>200</v>
      </c>
      <c r="I23" t="str">
        <f>IF(Table1_1[[#This Row],[Type]]="Expense", IF(Table1_1[[#This Row],[Amount]]&gt;Table1_1[[#This Row],[Monthly Budget]], "Over Budget", "OK"), "-")</f>
        <v>Over Budget</v>
      </c>
      <c r="J23">
        <f>IF(Table1_1[[#This Row],[Type]]="Income", Table1_1[[#This Row],[Amount]], -Table1_1[[#This Row],[Amount]])</f>
        <v>-1979.15</v>
      </c>
    </row>
    <row r="24" spans="1:10" x14ac:dyDescent="0.25">
      <c r="A24" s="1">
        <v>43868</v>
      </c>
      <c r="B24" t="s">
        <v>39</v>
      </c>
      <c r="C24" t="s">
        <v>22</v>
      </c>
      <c r="D24" s="2">
        <v>1372.38</v>
      </c>
      <c r="E24" t="s">
        <v>7</v>
      </c>
      <c r="F24" t="s">
        <v>1520</v>
      </c>
      <c r="G24">
        <v>2020</v>
      </c>
      <c r="H24">
        <f>IF(Table1_1[[#This Row],[Type]]="Expense", _xlfn.XLOOKUP(Table1_1[[#This Row],[Category]], Budget_Ref[Category], Budget_Ref[Monthly Budget], 0), 0)</f>
        <v>200</v>
      </c>
      <c r="I24" t="str">
        <f>IF(Table1_1[[#This Row],[Type]]="Expense", IF(Table1_1[[#This Row],[Amount]]&gt;Table1_1[[#This Row],[Monthly Budget]], "Over Budget", "OK"), "-")</f>
        <v>Over Budget</v>
      </c>
      <c r="J24">
        <f>IF(Table1_1[[#This Row],[Type]]="Income", Table1_1[[#This Row],[Amount]], -Table1_1[[#This Row],[Amount]])</f>
        <v>-1372.38</v>
      </c>
    </row>
    <row r="25" spans="1:10" x14ac:dyDescent="0.25">
      <c r="A25" s="1">
        <v>43869</v>
      </c>
      <c r="B25" t="s">
        <v>40</v>
      </c>
      <c r="C25" t="s">
        <v>6</v>
      </c>
      <c r="D25" s="2">
        <v>465.81</v>
      </c>
      <c r="E25" t="s">
        <v>7</v>
      </c>
      <c r="F25" t="s">
        <v>1520</v>
      </c>
      <c r="G25">
        <v>2020</v>
      </c>
      <c r="H25">
        <f>IF(Table1_1[[#This Row],[Type]]="Expense", _xlfn.XLOOKUP(Table1_1[[#This Row],[Category]], Budget_Ref[Category], Budget_Ref[Monthly Budget], 0), 0)</f>
        <v>500</v>
      </c>
      <c r="I25" t="str">
        <f>IF(Table1_1[[#This Row],[Type]]="Expense", IF(Table1_1[[#This Row],[Amount]]&gt;Table1_1[[#This Row],[Monthly Budget]], "Over Budget", "OK"), "-")</f>
        <v>OK</v>
      </c>
      <c r="J25">
        <f>IF(Table1_1[[#This Row],[Type]]="Income", Table1_1[[#This Row],[Amount]], -Table1_1[[#This Row],[Amount]])</f>
        <v>-465.81</v>
      </c>
    </row>
    <row r="26" spans="1:10" x14ac:dyDescent="0.25">
      <c r="A26" s="1">
        <v>43869</v>
      </c>
      <c r="B26" t="s">
        <v>41</v>
      </c>
      <c r="C26" t="s">
        <v>20</v>
      </c>
      <c r="D26" s="2">
        <v>3786</v>
      </c>
      <c r="E26" t="s">
        <v>14</v>
      </c>
      <c r="F26" t="s">
        <v>1520</v>
      </c>
      <c r="G26">
        <v>2020</v>
      </c>
      <c r="H26">
        <f>IF(Table1_1[[#This Row],[Type]]="Expense", _xlfn.XLOOKUP(Table1_1[[#This Row],[Category]], Budget_Ref[Category], Budget_Ref[Monthly Budget], 0), 0)</f>
        <v>0</v>
      </c>
      <c r="I26" t="str">
        <f>IF(Table1_1[[#This Row],[Type]]="Expense", IF(Table1_1[[#This Row],[Amount]]&gt;Table1_1[[#This Row],[Monthly Budget]], "Over Budget", "OK"), "-")</f>
        <v>-</v>
      </c>
      <c r="J26">
        <f>IF(Table1_1[[#This Row],[Type]]="Income", Table1_1[[#This Row],[Amount]], -Table1_1[[#This Row],[Amount]])</f>
        <v>3786</v>
      </c>
    </row>
    <row r="27" spans="1:10" x14ac:dyDescent="0.25">
      <c r="A27" s="1">
        <v>43870</v>
      </c>
      <c r="B27" t="s">
        <v>42</v>
      </c>
      <c r="C27" t="s">
        <v>22</v>
      </c>
      <c r="D27" s="2">
        <v>1827.14</v>
      </c>
      <c r="E27" t="s">
        <v>7</v>
      </c>
      <c r="F27" t="s">
        <v>1520</v>
      </c>
      <c r="G27">
        <v>2020</v>
      </c>
      <c r="H27">
        <f>IF(Table1_1[[#This Row],[Type]]="Expense", _xlfn.XLOOKUP(Table1_1[[#This Row],[Category]], Budget_Ref[Category], Budget_Ref[Monthly Budget], 0), 0)</f>
        <v>200</v>
      </c>
      <c r="I27" t="str">
        <f>IF(Table1_1[[#This Row],[Type]]="Expense", IF(Table1_1[[#This Row],[Amount]]&gt;Table1_1[[#This Row],[Monthly Budget]], "Over Budget", "OK"), "-")</f>
        <v>Over Budget</v>
      </c>
      <c r="J27">
        <f>IF(Table1_1[[#This Row],[Type]]="Income", Table1_1[[#This Row],[Amount]], -Table1_1[[#This Row],[Amount]])</f>
        <v>-1827.14</v>
      </c>
    </row>
    <row r="28" spans="1:10" x14ac:dyDescent="0.25">
      <c r="A28" s="1">
        <v>43872</v>
      </c>
      <c r="B28" t="s">
        <v>43</v>
      </c>
      <c r="C28" t="s">
        <v>25</v>
      </c>
      <c r="D28" s="2">
        <v>433.13</v>
      </c>
      <c r="E28" t="s">
        <v>7</v>
      </c>
      <c r="F28" t="s">
        <v>1520</v>
      </c>
      <c r="G28">
        <v>2020</v>
      </c>
      <c r="H28">
        <f>IF(Table1_1[[#This Row],[Type]]="Expense", _xlfn.XLOOKUP(Table1_1[[#This Row],[Category]], Budget_Ref[Category], Budget_Ref[Monthly Budget], 0), 0)</f>
        <v>150</v>
      </c>
      <c r="I28" t="str">
        <f>IF(Table1_1[[#This Row],[Type]]="Expense", IF(Table1_1[[#This Row],[Amount]]&gt;Table1_1[[#This Row],[Monthly Budget]], "Over Budget", "OK"), "-")</f>
        <v>Over Budget</v>
      </c>
      <c r="J28">
        <f>IF(Table1_1[[#This Row],[Type]]="Income", Table1_1[[#This Row],[Amount]], -Table1_1[[#This Row],[Amount]])</f>
        <v>-433.13</v>
      </c>
    </row>
    <row r="29" spans="1:10" x14ac:dyDescent="0.25">
      <c r="A29" s="1">
        <v>43874</v>
      </c>
      <c r="B29" t="s">
        <v>44</v>
      </c>
      <c r="C29" t="s">
        <v>27</v>
      </c>
      <c r="D29" s="2">
        <v>294.31</v>
      </c>
      <c r="E29" t="s">
        <v>14</v>
      </c>
      <c r="F29" t="s">
        <v>1520</v>
      </c>
      <c r="G29">
        <v>2020</v>
      </c>
      <c r="H29">
        <f>IF(Table1_1[[#This Row],[Type]]="Expense", _xlfn.XLOOKUP(Table1_1[[#This Row],[Category]], Budget_Ref[Category], Budget_Ref[Monthly Budget], 0), 0)</f>
        <v>0</v>
      </c>
      <c r="I29" t="str">
        <f>IF(Table1_1[[#This Row],[Type]]="Expense", IF(Table1_1[[#This Row],[Amount]]&gt;Table1_1[[#This Row],[Monthly Budget]], "Over Budget", "OK"), "-")</f>
        <v>-</v>
      </c>
      <c r="J29">
        <f>IF(Table1_1[[#This Row],[Type]]="Income", Table1_1[[#This Row],[Amount]], -Table1_1[[#This Row],[Amount]])</f>
        <v>294.31</v>
      </c>
    </row>
    <row r="30" spans="1:10" x14ac:dyDescent="0.25">
      <c r="A30" s="1">
        <v>43876</v>
      </c>
      <c r="B30" t="s">
        <v>45</v>
      </c>
      <c r="C30" t="s">
        <v>20</v>
      </c>
      <c r="D30" s="2">
        <v>4009</v>
      </c>
      <c r="E30" t="s">
        <v>14</v>
      </c>
      <c r="F30" t="s">
        <v>1520</v>
      </c>
      <c r="G30">
        <v>2020</v>
      </c>
      <c r="H30">
        <f>IF(Table1_1[[#This Row],[Type]]="Expense", _xlfn.XLOOKUP(Table1_1[[#This Row],[Category]], Budget_Ref[Category], Budget_Ref[Monthly Budget], 0), 0)</f>
        <v>0</v>
      </c>
      <c r="I30" t="str">
        <f>IF(Table1_1[[#This Row],[Type]]="Expense", IF(Table1_1[[#This Row],[Amount]]&gt;Table1_1[[#This Row],[Monthly Budget]], "Over Budget", "OK"), "-")</f>
        <v>-</v>
      </c>
      <c r="J30">
        <f>IF(Table1_1[[#This Row],[Type]]="Income", Table1_1[[#This Row],[Amount]], -Table1_1[[#This Row],[Amount]])</f>
        <v>4009</v>
      </c>
    </row>
    <row r="31" spans="1:10" x14ac:dyDescent="0.25">
      <c r="A31" s="1">
        <v>43877</v>
      </c>
      <c r="B31" t="s">
        <v>46</v>
      </c>
      <c r="C31" t="s">
        <v>17</v>
      </c>
      <c r="D31" s="2">
        <v>730.37</v>
      </c>
      <c r="E31" t="s">
        <v>7</v>
      </c>
      <c r="F31" t="s">
        <v>1520</v>
      </c>
      <c r="G31">
        <v>2020</v>
      </c>
      <c r="H31">
        <f>IF(Table1_1[[#This Row],[Type]]="Expense", _xlfn.XLOOKUP(Table1_1[[#This Row],[Category]], Budget_Ref[Category], Budget_Ref[Monthly Budget], 0), 0)</f>
        <v>300</v>
      </c>
      <c r="I31" t="str">
        <f>IF(Table1_1[[#This Row],[Type]]="Expense", IF(Table1_1[[#This Row],[Amount]]&gt;Table1_1[[#This Row],[Monthly Budget]], "Over Budget", "OK"), "-")</f>
        <v>Over Budget</v>
      </c>
      <c r="J31">
        <f>IF(Table1_1[[#This Row],[Type]]="Income", Table1_1[[#This Row],[Amount]], -Table1_1[[#This Row],[Amount]])</f>
        <v>-730.37</v>
      </c>
    </row>
    <row r="32" spans="1:10" x14ac:dyDescent="0.25">
      <c r="A32" s="1">
        <v>43877</v>
      </c>
      <c r="B32" t="s">
        <v>47</v>
      </c>
      <c r="C32" t="s">
        <v>9</v>
      </c>
      <c r="D32" s="2">
        <v>1023.96</v>
      </c>
      <c r="E32" t="s">
        <v>7</v>
      </c>
      <c r="F32" t="s">
        <v>1520</v>
      </c>
      <c r="G32">
        <v>2020</v>
      </c>
      <c r="H32">
        <f>IF(Table1_1[[#This Row],[Type]]="Expense", _xlfn.XLOOKUP(Table1_1[[#This Row],[Category]], Budget_Ref[Category], Budget_Ref[Monthly Budget], 0), 0)</f>
        <v>150</v>
      </c>
      <c r="I32" t="str">
        <f>IF(Table1_1[[#This Row],[Type]]="Expense", IF(Table1_1[[#This Row],[Amount]]&gt;Table1_1[[#This Row],[Monthly Budget]], "Over Budget", "OK"), "-")</f>
        <v>Over Budget</v>
      </c>
      <c r="J32">
        <f>IF(Table1_1[[#This Row],[Type]]="Income", Table1_1[[#This Row],[Amount]], -Table1_1[[#This Row],[Amount]])</f>
        <v>-1023.96</v>
      </c>
    </row>
    <row r="33" spans="1:10" x14ac:dyDescent="0.25">
      <c r="A33" s="1">
        <v>43879</v>
      </c>
      <c r="B33" t="s">
        <v>48</v>
      </c>
      <c r="C33" t="s">
        <v>13</v>
      </c>
      <c r="D33" s="2">
        <v>1398</v>
      </c>
      <c r="E33" t="s">
        <v>14</v>
      </c>
      <c r="F33" t="s">
        <v>1520</v>
      </c>
      <c r="G33">
        <v>2020</v>
      </c>
      <c r="H33">
        <f>IF(Table1_1[[#This Row],[Type]]="Expense", _xlfn.XLOOKUP(Table1_1[[#This Row],[Category]], Budget_Ref[Category], Budget_Ref[Monthly Budget], 0), 0)</f>
        <v>0</v>
      </c>
      <c r="I33" t="str">
        <f>IF(Table1_1[[#This Row],[Type]]="Expense", IF(Table1_1[[#This Row],[Amount]]&gt;Table1_1[[#This Row],[Monthly Budget]], "Over Budget", "OK"), "-")</f>
        <v>-</v>
      </c>
      <c r="J33">
        <f>IF(Table1_1[[#This Row],[Type]]="Income", Table1_1[[#This Row],[Amount]], -Table1_1[[#This Row],[Amount]])</f>
        <v>1398</v>
      </c>
    </row>
    <row r="34" spans="1:10" x14ac:dyDescent="0.25">
      <c r="A34" s="1">
        <v>43880</v>
      </c>
      <c r="B34" t="s">
        <v>49</v>
      </c>
      <c r="C34" t="s">
        <v>13</v>
      </c>
      <c r="D34" s="2">
        <v>3958</v>
      </c>
      <c r="E34" t="s">
        <v>14</v>
      </c>
      <c r="F34" t="s">
        <v>1520</v>
      </c>
      <c r="G34">
        <v>2020</v>
      </c>
      <c r="H34">
        <f>IF(Table1_1[[#This Row],[Type]]="Expense", _xlfn.XLOOKUP(Table1_1[[#This Row],[Category]], Budget_Ref[Category], Budget_Ref[Monthly Budget], 0), 0)</f>
        <v>0</v>
      </c>
      <c r="I34" t="str">
        <f>IF(Table1_1[[#This Row],[Type]]="Expense", IF(Table1_1[[#This Row],[Amount]]&gt;Table1_1[[#This Row],[Monthly Budget]], "Over Budget", "OK"), "-")</f>
        <v>-</v>
      </c>
      <c r="J34">
        <f>IF(Table1_1[[#This Row],[Type]]="Income", Table1_1[[#This Row],[Amount]], -Table1_1[[#This Row],[Amount]])</f>
        <v>3958</v>
      </c>
    </row>
    <row r="35" spans="1:10" x14ac:dyDescent="0.25">
      <c r="A35" s="1">
        <v>43881</v>
      </c>
      <c r="B35" t="s">
        <v>50</v>
      </c>
      <c r="C35" t="s">
        <v>17</v>
      </c>
      <c r="D35" s="2">
        <v>769.42</v>
      </c>
      <c r="E35" t="s">
        <v>7</v>
      </c>
      <c r="F35" t="s">
        <v>1520</v>
      </c>
      <c r="G35">
        <v>2020</v>
      </c>
      <c r="H35">
        <f>IF(Table1_1[[#This Row],[Type]]="Expense", _xlfn.XLOOKUP(Table1_1[[#This Row],[Category]], Budget_Ref[Category], Budget_Ref[Monthly Budget], 0), 0)</f>
        <v>300</v>
      </c>
      <c r="I35" t="str">
        <f>IF(Table1_1[[#This Row],[Type]]="Expense", IF(Table1_1[[#This Row],[Amount]]&gt;Table1_1[[#This Row],[Monthly Budget]], "Over Budget", "OK"), "-")</f>
        <v>Over Budget</v>
      </c>
      <c r="J35">
        <f>IF(Table1_1[[#This Row],[Type]]="Income", Table1_1[[#This Row],[Amount]], -Table1_1[[#This Row],[Amount]])</f>
        <v>-769.42</v>
      </c>
    </row>
    <row r="36" spans="1:10" x14ac:dyDescent="0.25">
      <c r="A36" s="1">
        <v>43887</v>
      </c>
      <c r="B36" t="s">
        <v>51</v>
      </c>
      <c r="C36" t="s">
        <v>35</v>
      </c>
      <c r="D36" s="2">
        <v>1942.45</v>
      </c>
      <c r="E36" t="s">
        <v>7</v>
      </c>
      <c r="F36" t="s">
        <v>1520</v>
      </c>
      <c r="G36">
        <v>2020</v>
      </c>
      <c r="H36">
        <f>IF(Table1_1[[#This Row],[Type]]="Expense", _xlfn.XLOOKUP(Table1_1[[#This Row],[Category]], Budget_Ref[Category], Budget_Ref[Monthly Budget], 0), 0)</f>
        <v>200</v>
      </c>
      <c r="I36" t="str">
        <f>IF(Table1_1[[#This Row],[Type]]="Expense", IF(Table1_1[[#This Row],[Amount]]&gt;Table1_1[[#This Row],[Monthly Budget]], "Over Budget", "OK"), "-")</f>
        <v>Over Budget</v>
      </c>
      <c r="J36">
        <f>IF(Table1_1[[#This Row],[Type]]="Income", Table1_1[[#This Row],[Amount]], -Table1_1[[#This Row],[Amount]])</f>
        <v>-1942.45</v>
      </c>
    </row>
    <row r="37" spans="1:10" x14ac:dyDescent="0.25">
      <c r="A37" s="1">
        <v>43888</v>
      </c>
      <c r="B37" t="s">
        <v>52</v>
      </c>
      <c r="C37" t="s">
        <v>6</v>
      </c>
      <c r="D37" s="2">
        <v>1363.76</v>
      </c>
      <c r="E37" t="s">
        <v>7</v>
      </c>
      <c r="F37" t="s">
        <v>1520</v>
      </c>
      <c r="G37">
        <v>2020</v>
      </c>
      <c r="H37">
        <f>IF(Table1_1[[#This Row],[Type]]="Expense", _xlfn.XLOOKUP(Table1_1[[#This Row],[Category]], Budget_Ref[Category], Budget_Ref[Monthly Budget], 0), 0)</f>
        <v>500</v>
      </c>
      <c r="I37" t="str">
        <f>IF(Table1_1[[#This Row],[Type]]="Expense", IF(Table1_1[[#This Row],[Amount]]&gt;Table1_1[[#This Row],[Monthly Budget]], "Over Budget", "OK"), "-")</f>
        <v>Over Budget</v>
      </c>
      <c r="J37">
        <f>IF(Table1_1[[#This Row],[Type]]="Income", Table1_1[[#This Row],[Amount]], -Table1_1[[#This Row],[Amount]])</f>
        <v>-1363.76</v>
      </c>
    </row>
    <row r="38" spans="1:10" x14ac:dyDescent="0.25">
      <c r="A38" s="1">
        <v>43889</v>
      </c>
      <c r="B38" t="s">
        <v>53</v>
      </c>
      <c r="C38" t="s">
        <v>20</v>
      </c>
      <c r="D38" s="2">
        <v>3286</v>
      </c>
      <c r="E38" t="s">
        <v>14</v>
      </c>
      <c r="F38" t="s">
        <v>1520</v>
      </c>
      <c r="G38">
        <v>2020</v>
      </c>
      <c r="H38">
        <f>IF(Table1_1[[#This Row],[Type]]="Expense", _xlfn.XLOOKUP(Table1_1[[#This Row],[Category]], Budget_Ref[Category], Budget_Ref[Monthly Budget], 0), 0)</f>
        <v>0</v>
      </c>
      <c r="I38" t="str">
        <f>IF(Table1_1[[#This Row],[Type]]="Expense", IF(Table1_1[[#This Row],[Amount]]&gt;Table1_1[[#This Row],[Monthly Budget]], "Over Budget", "OK"), "-")</f>
        <v>-</v>
      </c>
      <c r="J38">
        <f>IF(Table1_1[[#This Row],[Type]]="Income", Table1_1[[#This Row],[Amount]], -Table1_1[[#This Row],[Amount]])</f>
        <v>3286</v>
      </c>
    </row>
    <row r="39" spans="1:10" x14ac:dyDescent="0.25">
      <c r="A39" s="1">
        <v>43889</v>
      </c>
      <c r="B39" t="s">
        <v>54</v>
      </c>
      <c r="C39" t="s">
        <v>20</v>
      </c>
      <c r="D39" s="2">
        <v>1795</v>
      </c>
      <c r="E39" t="s">
        <v>14</v>
      </c>
      <c r="F39" t="s">
        <v>1520</v>
      </c>
      <c r="G39">
        <v>2020</v>
      </c>
      <c r="H39">
        <f>IF(Table1_1[[#This Row],[Type]]="Expense", _xlfn.XLOOKUP(Table1_1[[#This Row],[Category]], Budget_Ref[Category], Budget_Ref[Monthly Budget], 0), 0)</f>
        <v>0</v>
      </c>
      <c r="I39" t="str">
        <f>IF(Table1_1[[#This Row],[Type]]="Expense", IF(Table1_1[[#This Row],[Amount]]&gt;Table1_1[[#This Row],[Monthly Budget]], "Over Budget", "OK"), "-")</f>
        <v>-</v>
      </c>
      <c r="J39">
        <f>IF(Table1_1[[#This Row],[Type]]="Income", Table1_1[[#This Row],[Amount]], -Table1_1[[#This Row],[Amount]])</f>
        <v>1795</v>
      </c>
    </row>
    <row r="40" spans="1:10" x14ac:dyDescent="0.25">
      <c r="A40" s="1">
        <v>43890</v>
      </c>
      <c r="B40" t="s">
        <v>55</v>
      </c>
      <c r="C40" t="s">
        <v>35</v>
      </c>
      <c r="D40" s="2">
        <v>1944.06</v>
      </c>
      <c r="E40" t="s">
        <v>7</v>
      </c>
      <c r="F40" t="s">
        <v>1520</v>
      </c>
      <c r="G40">
        <v>2020</v>
      </c>
      <c r="H40">
        <f>IF(Table1_1[[#This Row],[Type]]="Expense", _xlfn.XLOOKUP(Table1_1[[#This Row],[Category]], Budget_Ref[Category], Budget_Ref[Monthly Budget], 0), 0)</f>
        <v>200</v>
      </c>
      <c r="I40" t="str">
        <f>IF(Table1_1[[#This Row],[Type]]="Expense", IF(Table1_1[[#This Row],[Amount]]&gt;Table1_1[[#This Row],[Monthly Budget]], "Over Budget", "OK"), "-")</f>
        <v>Over Budget</v>
      </c>
      <c r="J40">
        <f>IF(Table1_1[[#This Row],[Type]]="Income", Table1_1[[#This Row],[Amount]], -Table1_1[[#This Row],[Amount]])</f>
        <v>-1944.06</v>
      </c>
    </row>
    <row r="41" spans="1:10" x14ac:dyDescent="0.25">
      <c r="A41" s="1">
        <v>43893</v>
      </c>
      <c r="B41" t="s">
        <v>56</v>
      </c>
      <c r="C41" t="s">
        <v>11</v>
      </c>
      <c r="D41" s="2">
        <v>1742.33</v>
      </c>
      <c r="E41" t="s">
        <v>7</v>
      </c>
      <c r="F41" t="s">
        <v>1521</v>
      </c>
      <c r="G41">
        <v>2020</v>
      </c>
      <c r="H41">
        <f>IF(Table1_1[[#This Row],[Type]]="Expense", _xlfn.XLOOKUP(Table1_1[[#This Row],[Category]], Budget_Ref[Category], Budget_Ref[Monthly Budget], 0), 0)</f>
        <v>1500</v>
      </c>
      <c r="I41" t="str">
        <f>IF(Table1_1[[#This Row],[Type]]="Expense", IF(Table1_1[[#This Row],[Amount]]&gt;Table1_1[[#This Row],[Monthly Budget]], "Over Budget", "OK"), "-")</f>
        <v>Over Budget</v>
      </c>
      <c r="J41">
        <f>IF(Table1_1[[#This Row],[Type]]="Income", Table1_1[[#This Row],[Amount]], -Table1_1[[#This Row],[Amount]])</f>
        <v>-1742.33</v>
      </c>
    </row>
    <row r="42" spans="1:10" x14ac:dyDescent="0.25">
      <c r="A42" s="1">
        <v>43894</v>
      </c>
      <c r="B42" t="s">
        <v>57</v>
      </c>
      <c r="C42" t="s">
        <v>22</v>
      </c>
      <c r="D42" s="2">
        <v>314.14999999999998</v>
      </c>
      <c r="E42" t="s">
        <v>7</v>
      </c>
      <c r="F42" t="s">
        <v>1521</v>
      </c>
      <c r="G42">
        <v>2020</v>
      </c>
      <c r="H42">
        <f>IF(Table1_1[[#This Row],[Type]]="Expense", _xlfn.XLOOKUP(Table1_1[[#This Row],[Category]], Budget_Ref[Category], Budget_Ref[Monthly Budget], 0), 0)</f>
        <v>200</v>
      </c>
      <c r="I42" t="str">
        <f>IF(Table1_1[[#This Row],[Type]]="Expense", IF(Table1_1[[#This Row],[Amount]]&gt;Table1_1[[#This Row],[Monthly Budget]], "Over Budget", "OK"), "-")</f>
        <v>Over Budget</v>
      </c>
      <c r="J42">
        <f>IF(Table1_1[[#This Row],[Type]]="Income", Table1_1[[#This Row],[Amount]], -Table1_1[[#This Row],[Amount]])</f>
        <v>-314.14999999999998</v>
      </c>
    </row>
    <row r="43" spans="1:10" x14ac:dyDescent="0.25">
      <c r="A43" s="1">
        <v>43894</v>
      </c>
      <c r="B43" t="s">
        <v>58</v>
      </c>
      <c r="C43" t="s">
        <v>6</v>
      </c>
      <c r="D43" s="2">
        <v>1201.9000000000001</v>
      </c>
      <c r="E43" t="s">
        <v>7</v>
      </c>
      <c r="F43" t="s">
        <v>1521</v>
      </c>
      <c r="G43">
        <v>2020</v>
      </c>
      <c r="H43">
        <f>IF(Table1_1[[#This Row],[Type]]="Expense", _xlfn.XLOOKUP(Table1_1[[#This Row],[Category]], Budget_Ref[Category], Budget_Ref[Monthly Budget], 0), 0)</f>
        <v>500</v>
      </c>
      <c r="I43" t="str">
        <f>IF(Table1_1[[#This Row],[Type]]="Expense", IF(Table1_1[[#This Row],[Amount]]&gt;Table1_1[[#This Row],[Monthly Budget]], "Over Budget", "OK"), "-")</f>
        <v>Over Budget</v>
      </c>
      <c r="J43">
        <f>IF(Table1_1[[#This Row],[Type]]="Income", Table1_1[[#This Row],[Amount]], -Table1_1[[#This Row],[Amount]])</f>
        <v>-1201.9000000000001</v>
      </c>
    </row>
    <row r="44" spans="1:10" x14ac:dyDescent="0.25">
      <c r="A44" s="1">
        <v>43899</v>
      </c>
      <c r="B44" t="s">
        <v>59</v>
      </c>
      <c r="C44" t="s">
        <v>11</v>
      </c>
      <c r="D44" s="2">
        <v>1858.91</v>
      </c>
      <c r="E44" t="s">
        <v>7</v>
      </c>
      <c r="F44" t="s">
        <v>1521</v>
      </c>
      <c r="G44">
        <v>2020</v>
      </c>
      <c r="H44">
        <f>IF(Table1_1[[#This Row],[Type]]="Expense", _xlfn.XLOOKUP(Table1_1[[#This Row],[Category]], Budget_Ref[Category], Budget_Ref[Monthly Budget], 0), 0)</f>
        <v>1500</v>
      </c>
      <c r="I44" t="str">
        <f>IF(Table1_1[[#This Row],[Type]]="Expense", IF(Table1_1[[#This Row],[Amount]]&gt;Table1_1[[#This Row],[Monthly Budget]], "Over Budget", "OK"), "-")</f>
        <v>Over Budget</v>
      </c>
      <c r="J44">
        <f>IF(Table1_1[[#This Row],[Type]]="Income", Table1_1[[#This Row],[Amount]], -Table1_1[[#This Row],[Amount]])</f>
        <v>-1858.91</v>
      </c>
    </row>
    <row r="45" spans="1:10" x14ac:dyDescent="0.25">
      <c r="A45" s="1">
        <v>43899</v>
      </c>
      <c r="B45" t="s">
        <v>60</v>
      </c>
      <c r="C45" t="s">
        <v>35</v>
      </c>
      <c r="D45" s="2">
        <v>486.51</v>
      </c>
      <c r="E45" t="s">
        <v>7</v>
      </c>
      <c r="F45" t="s">
        <v>1521</v>
      </c>
      <c r="G45">
        <v>2020</v>
      </c>
      <c r="H45">
        <f>IF(Table1_1[[#This Row],[Type]]="Expense", _xlfn.XLOOKUP(Table1_1[[#This Row],[Category]], Budget_Ref[Category], Budget_Ref[Monthly Budget], 0), 0)</f>
        <v>200</v>
      </c>
      <c r="I45" t="str">
        <f>IF(Table1_1[[#This Row],[Type]]="Expense", IF(Table1_1[[#This Row],[Amount]]&gt;Table1_1[[#This Row],[Monthly Budget]], "Over Budget", "OK"), "-")</f>
        <v>Over Budget</v>
      </c>
      <c r="J45">
        <f>IF(Table1_1[[#This Row],[Type]]="Income", Table1_1[[#This Row],[Amount]], -Table1_1[[#This Row],[Amount]])</f>
        <v>-486.51</v>
      </c>
    </row>
    <row r="46" spans="1:10" x14ac:dyDescent="0.25">
      <c r="A46" s="1">
        <v>43901</v>
      </c>
      <c r="B46" t="s">
        <v>61</v>
      </c>
      <c r="C46" t="s">
        <v>11</v>
      </c>
      <c r="D46" s="2">
        <v>180.45</v>
      </c>
      <c r="E46" t="s">
        <v>7</v>
      </c>
      <c r="F46" t="s">
        <v>1521</v>
      </c>
      <c r="G46">
        <v>2020</v>
      </c>
      <c r="H46">
        <f>IF(Table1_1[[#This Row],[Type]]="Expense", _xlfn.XLOOKUP(Table1_1[[#This Row],[Category]], Budget_Ref[Category], Budget_Ref[Monthly Budget], 0), 0)</f>
        <v>1500</v>
      </c>
      <c r="I46" t="str">
        <f>IF(Table1_1[[#This Row],[Type]]="Expense", IF(Table1_1[[#This Row],[Amount]]&gt;Table1_1[[#This Row],[Monthly Budget]], "Over Budget", "OK"), "-")</f>
        <v>OK</v>
      </c>
      <c r="J46">
        <f>IF(Table1_1[[#This Row],[Type]]="Income", Table1_1[[#This Row],[Amount]], -Table1_1[[#This Row],[Amount]])</f>
        <v>-180.45</v>
      </c>
    </row>
    <row r="47" spans="1:10" x14ac:dyDescent="0.25">
      <c r="A47" s="1">
        <v>43901</v>
      </c>
      <c r="B47" t="s">
        <v>62</v>
      </c>
      <c r="C47" t="s">
        <v>11</v>
      </c>
      <c r="D47" s="2">
        <v>1956.19</v>
      </c>
      <c r="E47" t="s">
        <v>7</v>
      </c>
      <c r="F47" t="s">
        <v>1521</v>
      </c>
      <c r="G47">
        <v>2020</v>
      </c>
      <c r="H47">
        <f>IF(Table1_1[[#This Row],[Type]]="Expense", _xlfn.XLOOKUP(Table1_1[[#This Row],[Category]], Budget_Ref[Category], Budget_Ref[Monthly Budget], 0), 0)</f>
        <v>1500</v>
      </c>
      <c r="I47" t="str">
        <f>IF(Table1_1[[#This Row],[Type]]="Expense", IF(Table1_1[[#This Row],[Amount]]&gt;Table1_1[[#This Row],[Monthly Budget]], "Over Budget", "OK"), "-")</f>
        <v>Over Budget</v>
      </c>
      <c r="J47">
        <f>IF(Table1_1[[#This Row],[Type]]="Income", Table1_1[[#This Row],[Amount]], -Table1_1[[#This Row],[Amount]])</f>
        <v>-1956.19</v>
      </c>
    </row>
    <row r="48" spans="1:10" x14ac:dyDescent="0.25">
      <c r="A48" s="1">
        <v>43902</v>
      </c>
      <c r="B48" t="s">
        <v>63</v>
      </c>
      <c r="C48" t="s">
        <v>9</v>
      </c>
      <c r="D48" s="2">
        <v>265.5</v>
      </c>
      <c r="E48" t="s">
        <v>7</v>
      </c>
      <c r="F48" t="s">
        <v>1521</v>
      </c>
      <c r="G48">
        <v>2020</v>
      </c>
      <c r="H48">
        <f>IF(Table1_1[[#This Row],[Type]]="Expense", _xlfn.XLOOKUP(Table1_1[[#This Row],[Category]], Budget_Ref[Category], Budget_Ref[Monthly Budget], 0), 0)</f>
        <v>150</v>
      </c>
      <c r="I48" t="str">
        <f>IF(Table1_1[[#This Row],[Type]]="Expense", IF(Table1_1[[#This Row],[Amount]]&gt;Table1_1[[#This Row],[Monthly Budget]], "Over Budget", "OK"), "-")</f>
        <v>Over Budget</v>
      </c>
      <c r="J48">
        <f>IF(Table1_1[[#This Row],[Type]]="Income", Table1_1[[#This Row],[Amount]], -Table1_1[[#This Row],[Amount]])</f>
        <v>-265.5</v>
      </c>
    </row>
    <row r="49" spans="1:10" x14ac:dyDescent="0.25">
      <c r="A49" s="1">
        <v>43902</v>
      </c>
      <c r="B49" t="s">
        <v>64</v>
      </c>
      <c r="C49" t="s">
        <v>9</v>
      </c>
      <c r="D49" s="2">
        <v>537.46</v>
      </c>
      <c r="E49" t="s">
        <v>7</v>
      </c>
      <c r="F49" t="s">
        <v>1521</v>
      </c>
      <c r="G49">
        <v>2020</v>
      </c>
      <c r="H49">
        <f>IF(Table1_1[[#This Row],[Type]]="Expense", _xlfn.XLOOKUP(Table1_1[[#This Row],[Category]], Budget_Ref[Category], Budget_Ref[Monthly Budget], 0), 0)</f>
        <v>150</v>
      </c>
      <c r="I49" t="str">
        <f>IF(Table1_1[[#This Row],[Type]]="Expense", IF(Table1_1[[#This Row],[Amount]]&gt;Table1_1[[#This Row],[Monthly Budget]], "Over Budget", "OK"), "-")</f>
        <v>Over Budget</v>
      </c>
      <c r="J49">
        <f>IF(Table1_1[[#This Row],[Type]]="Income", Table1_1[[#This Row],[Amount]], -Table1_1[[#This Row],[Amount]])</f>
        <v>-537.46</v>
      </c>
    </row>
    <row r="50" spans="1:10" x14ac:dyDescent="0.25">
      <c r="A50" s="1">
        <v>43904</v>
      </c>
      <c r="B50" t="s">
        <v>65</v>
      </c>
      <c r="C50" t="s">
        <v>17</v>
      </c>
      <c r="D50" s="2">
        <v>1929.08</v>
      </c>
      <c r="E50" t="s">
        <v>7</v>
      </c>
      <c r="F50" t="s">
        <v>1521</v>
      </c>
      <c r="G50">
        <v>2020</v>
      </c>
      <c r="H50">
        <f>IF(Table1_1[[#This Row],[Type]]="Expense", _xlfn.XLOOKUP(Table1_1[[#This Row],[Category]], Budget_Ref[Category], Budget_Ref[Monthly Budget], 0), 0)</f>
        <v>300</v>
      </c>
      <c r="I50" t="str">
        <f>IF(Table1_1[[#This Row],[Type]]="Expense", IF(Table1_1[[#This Row],[Amount]]&gt;Table1_1[[#This Row],[Monthly Budget]], "Over Budget", "OK"), "-")</f>
        <v>Over Budget</v>
      </c>
      <c r="J50">
        <f>IF(Table1_1[[#This Row],[Type]]="Income", Table1_1[[#This Row],[Amount]], -Table1_1[[#This Row],[Amount]])</f>
        <v>-1929.08</v>
      </c>
    </row>
    <row r="51" spans="1:10" x14ac:dyDescent="0.25">
      <c r="A51" s="1">
        <v>43905</v>
      </c>
      <c r="B51" t="s">
        <v>66</v>
      </c>
      <c r="C51" t="s">
        <v>22</v>
      </c>
      <c r="D51" s="2">
        <v>1428.77</v>
      </c>
      <c r="E51" t="s">
        <v>7</v>
      </c>
      <c r="F51" t="s">
        <v>1521</v>
      </c>
      <c r="G51">
        <v>2020</v>
      </c>
      <c r="H51">
        <f>IF(Table1_1[[#This Row],[Type]]="Expense", _xlfn.XLOOKUP(Table1_1[[#This Row],[Category]], Budget_Ref[Category], Budget_Ref[Monthly Budget], 0), 0)</f>
        <v>200</v>
      </c>
      <c r="I51" t="str">
        <f>IF(Table1_1[[#This Row],[Type]]="Expense", IF(Table1_1[[#This Row],[Amount]]&gt;Table1_1[[#This Row],[Monthly Budget]], "Over Budget", "OK"), "-")</f>
        <v>Over Budget</v>
      </c>
      <c r="J51">
        <f>IF(Table1_1[[#This Row],[Type]]="Income", Table1_1[[#This Row],[Amount]], -Table1_1[[#This Row],[Amount]])</f>
        <v>-1428.77</v>
      </c>
    </row>
    <row r="52" spans="1:10" x14ac:dyDescent="0.25">
      <c r="A52" s="1">
        <v>43908</v>
      </c>
      <c r="B52" t="s">
        <v>67</v>
      </c>
      <c r="C52" t="s">
        <v>25</v>
      </c>
      <c r="D52" s="2">
        <v>881.82</v>
      </c>
      <c r="E52" t="s">
        <v>7</v>
      </c>
      <c r="F52" t="s">
        <v>1521</v>
      </c>
      <c r="G52">
        <v>2020</v>
      </c>
      <c r="H52">
        <f>IF(Table1_1[[#This Row],[Type]]="Expense", _xlfn.XLOOKUP(Table1_1[[#This Row],[Category]], Budget_Ref[Category], Budget_Ref[Monthly Budget], 0), 0)</f>
        <v>150</v>
      </c>
      <c r="I52" t="str">
        <f>IF(Table1_1[[#This Row],[Type]]="Expense", IF(Table1_1[[#This Row],[Amount]]&gt;Table1_1[[#This Row],[Monthly Budget]], "Over Budget", "OK"), "-")</f>
        <v>Over Budget</v>
      </c>
      <c r="J52">
        <f>IF(Table1_1[[#This Row],[Type]]="Income", Table1_1[[#This Row],[Amount]], -Table1_1[[#This Row],[Amount]])</f>
        <v>-881.82</v>
      </c>
    </row>
    <row r="53" spans="1:10" x14ac:dyDescent="0.25">
      <c r="A53" s="1">
        <v>43911</v>
      </c>
      <c r="B53" t="s">
        <v>68</v>
      </c>
      <c r="C53" t="s">
        <v>11</v>
      </c>
      <c r="D53" s="2">
        <v>503.33</v>
      </c>
      <c r="E53" t="s">
        <v>7</v>
      </c>
      <c r="F53" t="s">
        <v>1521</v>
      </c>
      <c r="G53">
        <v>2020</v>
      </c>
      <c r="H53">
        <f>IF(Table1_1[[#This Row],[Type]]="Expense", _xlfn.XLOOKUP(Table1_1[[#This Row],[Category]], Budget_Ref[Category], Budget_Ref[Monthly Budget], 0), 0)</f>
        <v>1500</v>
      </c>
      <c r="I53" t="str">
        <f>IF(Table1_1[[#This Row],[Type]]="Expense", IF(Table1_1[[#This Row],[Amount]]&gt;Table1_1[[#This Row],[Monthly Budget]], "Over Budget", "OK"), "-")</f>
        <v>OK</v>
      </c>
      <c r="J53">
        <f>IF(Table1_1[[#This Row],[Type]]="Income", Table1_1[[#This Row],[Amount]], -Table1_1[[#This Row],[Amount]])</f>
        <v>-503.33</v>
      </c>
    </row>
    <row r="54" spans="1:10" x14ac:dyDescent="0.25">
      <c r="A54" s="1">
        <v>43913</v>
      </c>
      <c r="B54" t="s">
        <v>69</v>
      </c>
      <c r="C54" t="s">
        <v>13</v>
      </c>
      <c r="D54" s="2">
        <v>2385</v>
      </c>
      <c r="E54" t="s">
        <v>14</v>
      </c>
      <c r="F54" t="s">
        <v>1521</v>
      </c>
      <c r="G54">
        <v>2020</v>
      </c>
      <c r="H54">
        <f>IF(Table1_1[[#This Row],[Type]]="Expense", _xlfn.XLOOKUP(Table1_1[[#This Row],[Category]], Budget_Ref[Category], Budget_Ref[Monthly Budget], 0), 0)</f>
        <v>0</v>
      </c>
      <c r="I54" t="str">
        <f>IF(Table1_1[[#This Row],[Type]]="Expense", IF(Table1_1[[#This Row],[Amount]]&gt;Table1_1[[#This Row],[Monthly Budget]], "Over Budget", "OK"), "-")</f>
        <v>-</v>
      </c>
      <c r="J54">
        <f>IF(Table1_1[[#This Row],[Type]]="Income", Table1_1[[#This Row],[Amount]], -Table1_1[[#This Row],[Amount]])</f>
        <v>2385</v>
      </c>
    </row>
    <row r="55" spans="1:10" x14ac:dyDescent="0.25">
      <c r="A55" s="1">
        <v>43913</v>
      </c>
      <c r="B55" t="s">
        <v>70</v>
      </c>
      <c r="C55" t="s">
        <v>6</v>
      </c>
      <c r="D55" s="2">
        <v>151.28</v>
      </c>
      <c r="E55" t="s">
        <v>7</v>
      </c>
      <c r="F55" t="s">
        <v>1521</v>
      </c>
      <c r="G55">
        <v>2020</v>
      </c>
      <c r="H55">
        <f>IF(Table1_1[[#This Row],[Type]]="Expense", _xlfn.XLOOKUP(Table1_1[[#This Row],[Category]], Budget_Ref[Category], Budget_Ref[Monthly Budget], 0), 0)</f>
        <v>500</v>
      </c>
      <c r="I55" t="str">
        <f>IF(Table1_1[[#This Row],[Type]]="Expense", IF(Table1_1[[#This Row],[Amount]]&gt;Table1_1[[#This Row],[Monthly Budget]], "Over Budget", "OK"), "-")</f>
        <v>OK</v>
      </c>
      <c r="J55">
        <f>IF(Table1_1[[#This Row],[Type]]="Income", Table1_1[[#This Row],[Amount]], -Table1_1[[#This Row],[Amount]])</f>
        <v>-151.28</v>
      </c>
    </row>
    <row r="56" spans="1:10" x14ac:dyDescent="0.25">
      <c r="A56" s="1">
        <v>43914</v>
      </c>
      <c r="B56" t="s">
        <v>71</v>
      </c>
      <c r="C56" t="s">
        <v>22</v>
      </c>
      <c r="D56" s="2">
        <v>144.13</v>
      </c>
      <c r="E56" t="s">
        <v>7</v>
      </c>
      <c r="F56" t="s">
        <v>1521</v>
      </c>
      <c r="G56">
        <v>2020</v>
      </c>
      <c r="H56">
        <f>IF(Table1_1[[#This Row],[Type]]="Expense", _xlfn.XLOOKUP(Table1_1[[#This Row],[Category]], Budget_Ref[Category], Budget_Ref[Monthly Budget], 0), 0)</f>
        <v>200</v>
      </c>
      <c r="I56" t="str">
        <f>IF(Table1_1[[#This Row],[Type]]="Expense", IF(Table1_1[[#This Row],[Amount]]&gt;Table1_1[[#This Row],[Monthly Budget]], "Over Budget", "OK"), "-")</f>
        <v>OK</v>
      </c>
      <c r="J56">
        <f>IF(Table1_1[[#This Row],[Type]]="Income", Table1_1[[#This Row],[Amount]], -Table1_1[[#This Row],[Amount]])</f>
        <v>-144.13</v>
      </c>
    </row>
    <row r="57" spans="1:10" x14ac:dyDescent="0.25">
      <c r="A57" s="1">
        <v>43918</v>
      </c>
      <c r="B57" t="s">
        <v>72</v>
      </c>
      <c r="C57" t="s">
        <v>20</v>
      </c>
      <c r="D57" s="2">
        <v>1080</v>
      </c>
      <c r="E57" t="s">
        <v>14</v>
      </c>
      <c r="F57" t="s">
        <v>1521</v>
      </c>
      <c r="G57">
        <v>2020</v>
      </c>
      <c r="H57">
        <f>IF(Table1_1[[#This Row],[Type]]="Expense", _xlfn.XLOOKUP(Table1_1[[#This Row],[Category]], Budget_Ref[Category], Budget_Ref[Monthly Budget], 0), 0)</f>
        <v>0</v>
      </c>
      <c r="I57" t="str">
        <f>IF(Table1_1[[#This Row],[Type]]="Expense", IF(Table1_1[[#This Row],[Amount]]&gt;Table1_1[[#This Row],[Monthly Budget]], "Over Budget", "OK"), "-")</f>
        <v>-</v>
      </c>
      <c r="J57">
        <f>IF(Table1_1[[#This Row],[Type]]="Income", Table1_1[[#This Row],[Amount]], -Table1_1[[#This Row],[Amount]])</f>
        <v>1080</v>
      </c>
    </row>
    <row r="58" spans="1:10" x14ac:dyDescent="0.25">
      <c r="A58" s="1">
        <v>43922</v>
      </c>
      <c r="B58" t="s">
        <v>73</v>
      </c>
      <c r="C58" t="s">
        <v>35</v>
      </c>
      <c r="D58" s="2">
        <v>1341.27</v>
      </c>
      <c r="E58" t="s">
        <v>7</v>
      </c>
      <c r="F58" t="s">
        <v>1522</v>
      </c>
      <c r="G58">
        <v>2020</v>
      </c>
      <c r="H58">
        <f>IF(Table1_1[[#This Row],[Type]]="Expense", _xlfn.XLOOKUP(Table1_1[[#This Row],[Category]], Budget_Ref[Category], Budget_Ref[Monthly Budget], 0), 0)</f>
        <v>200</v>
      </c>
      <c r="I58" t="str">
        <f>IF(Table1_1[[#This Row],[Type]]="Expense", IF(Table1_1[[#This Row],[Amount]]&gt;Table1_1[[#This Row],[Monthly Budget]], "Over Budget", "OK"), "-")</f>
        <v>Over Budget</v>
      </c>
      <c r="J58">
        <f>IF(Table1_1[[#This Row],[Type]]="Income", Table1_1[[#This Row],[Amount]], -Table1_1[[#This Row],[Amount]])</f>
        <v>-1341.27</v>
      </c>
    </row>
    <row r="59" spans="1:10" x14ac:dyDescent="0.25">
      <c r="A59" s="1">
        <v>43926</v>
      </c>
      <c r="B59" t="s">
        <v>74</v>
      </c>
      <c r="C59" t="s">
        <v>9</v>
      </c>
      <c r="D59" s="2">
        <v>1449.47</v>
      </c>
      <c r="E59" t="s">
        <v>7</v>
      </c>
      <c r="F59" t="s">
        <v>1522</v>
      </c>
      <c r="G59">
        <v>2020</v>
      </c>
      <c r="H59">
        <f>IF(Table1_1[[#This Row],[Type]]="Expense", _xlfn.XLOOKUP(Table1_1[[#This Row],[Category]], Budget_Ref[Category], Budget_Ref[Monthly Budget], 0), 0)</f>
        <v>150</v>
      </c>
      <c r="I59" t="str">
        <f>IF(Table1_1[[#This Row],[Type]]="Expense", IF(Table1_1[[#This Row],[Amount]]&gt;Table1_1[[#This Row],[Monthly Budget]], "Over Budget", "OK"), "-")</f>
        <v>Over Budget</v>
      </c>
      <c r="J59">
        <f>IF(Table1_1[[#This Row],[Type]]="Income", Table1_1[[#This Row],[Amount]], -Table1_1[[#This Row],[Amount]])</f>
        <v>-1449.47</v>
      </c>
    </row>
    <row r="60" spans="1:10" x14ac:dyDescent="0.25">
      <c r="A60" s="1">
        <v>43927</v>
      </c>
      <c r="B60" t="s">
        <v>75</v>
      </c>
      <c r="C60" t="s">
        <v>27</v>
      </c>
      <c r="D60" s="2">
        <v>493.56</v>
      </c>
      <c r="E60" t="s">
        <v>14</v>
      </c>
      <c r="F60" t="s">
        <v>1522</v>
      </c>
      <c r="G60">
        <v>2020</v>
      </c>
      <c r="H60">
        <f>IF(Table1_1[[#This Row],[Type]]="Expense", _xlfn.XLOOKUP(Table1_1[[#This Row],[Category]], Budget_Ref[Category], Budget_Ref[Monthly Budget], 0), 0)</f>
        <v>0</v>
      </c>
      <c r="I60" t="str">
        <f>IF(Table1_1[[#This Row],[Type]]="Expense", IF(Table1_1[[#This Row],[Amount]]&gt;Table1_1[[#This Row],[Monthly Budget]], "Over Budget", "OK"), "-")</f>
        <v>-</v>
      </c>
      <c r="J60">
        <f>IF(Table1_1[[#This Row],[Type]]="Income", Table1_1[[#This Row],[Amount]], -Table1_1[[#This Row],[Amount]])</f>
        <v>493.56</v>
      </c>
    </row>
    <row r="61" spans="1:10" x14ac:dyDescent="0.25">
      <c r="A61" s="1">
        <v>43927</v>
      </c>
      <c r="B61" t="s">
        <v>76</v>
      </c>
      <c r="C61" t="s">
        <v>17</v>
      </c>
      <c r="D61" s="2">
        <v>388.92</v>
      </c>
      <c r="E61" t="s">
        <v>7</v>
      </c>
      <c r="F61" t="s">
        <v>1522</v>
      </c>
      <c r="G61">
        <v>2020</v>
      </c>
      <c r="H61">
        <f>IF(Table1_1[[#This Row],[Type]]="Expense", _xlfn.XLOOKUP(Table1_1[[#This Row],[Category]], Budget_Ref[Category], Budget_Ref[Monthly Budget], 0), 0)</f>
        <v>300</v>
      </c>
      <c r="I61" t="str">
        <f>IF(Table1_1[[#This Row],[Type]]="Expense", IF(Table1_1[[#This Row],[Amount]]&gt;Table1_1[[#This Row],[Monthly Budget]], "Over Budget", "OK"), "-")</f>
        <v>Over Budget</v>
      </c>
      <c r="J61">
        <f>IF(Table1_1[[#This Row],[Type]]="Income", Table1_1[[#This Row],[Amount]], -Table1_1[[#This Row],[Amount]])</f>
        <v>-388.92</v>
      </c>
    </row>
    <row r="62" spans="1:10" x14ac:dyDescent="0.25">
      <c r="A62" s="1">
        <v>43931</v>
      </c>
      <c r="B62" t="s">
        <v>77</v>
      </c>
      <c r="C62" t="s">
        <v>20</v>
      </c>
      <c r="D62" s="2">
        <v>3402</v>
      </c>
      <c r="E62" t="s">
        <v>14</v>
      </c>
      <c r="F62" t="s">
        <v>1522</v>
      </c>
      <c r="G62">
        <v>2020</v>
      </c>
      <c r="H62">
        <f>IF(Table1_1[[#This Row],[Type]]="Expense", _xlfn.XLOOKUP(Table1_1[[#This Row],[Category]], Budget_Ref[Category], Budget_Ref[Monthly Budget], 0), 0)</f>
        <v>0</v>
      </c>
      <c r="I62" t="str">
        <f>IF(Table1_1[[#This Row],[Type]]="Expense", IF(Table1_1[[#This Row],[Amount]]&gt;Table1_1[[#This Row],[Monthly Budget]], "Over Budget", "OK"), "-")</f>
        <v>-</v>
      </c>
      <c r="J62">
        <f>IF(Table1_1[[#This Row],[Type]]="Income", Table1_1[[#This Row],[Amount]], -Table1_1[[#This Row],[Amount]])</f>
        <v>3402</v>
      </c>
    </row>
    <row r="63" spans="1:10" x14ac:dyDescent="0.25">
      <c r="A63" s="1">
        <v>43938</v>
      </c>
      <c r="B63" t="s">
        <v>78</v>
      </c>
      <c r="C63" t="s">
        <v>27</v>
      </c>
      <c r="D63" s="2">
        <v>1729.04</v>
      </c>
      <c r="E63" t="s">
        <v>14</v>
      </c>
      <c r="F63" t="s">
        <v>1522</v>
      </c>
      <c r="G63">
        <v>2020</v>
      </c>
      <c r="H63">
        <f>IF(Table1_1[[#This Row],[Type]]="Expense", _xlfn.XLOOKUP(Table1_1[[#This Row],[Category]], Budget_Ref[Category], Budget_Ref[Monthly Budget], 0), 0)</f>
        <v>0</v>
      </c>
      <c r="I63" t="str">
        <f>IF(Table1_1[[#This Row],[Type]]="Expense", IF(Table1_1[[#This Row],[Amount]]&gt;Table1_1[[#This Row],[Monthly Budget]], "Over Budget", "OK"), "-")</f>
        <v>-</v>
      </c>
      <c r="J63">
        <f>IF(Table1_1[[#This Row],[Type]]="Income", Table1_1[[#This Row],[Amount]], -Table1_1[[#This Row],[Amount]])</f>
        <v>1729.04</v>
      </c>
    </row>
    <row r="64" spans="1:10" x14ac:dyDescent="0.25">
      <c r="A64" s="1">
        <v>43938</v>
      </c>
      <c r="B64" t="s">
        <v>79</v>
      </c>
      <c r="C64" t="s">
        <v>13</v>
      </c>
      <c r="D64" s="2">
        <v>996</v>
      </c>
      <c r="E64" t="s">
        <v>14</v>
      </c>
      <c r="F64" t="s">
        <v>1522</v>
      </c>
      <c r="G64">
        <v>2020</v>
      </c>
      <c r="H64">
        <f>IF(Table1_1[[#This Row],[Type]]="Expense", _xlfn.XLOOKUP(Table1_1[[#This Row],[Category]], Budget_Ref[Category], Budget_Ref[Monthly Budget], 0), 0)</f>
        <v>0</v>
      </c>
      <c r="I64" t="str">
        <f>IF(Table1_1[[#This Row],[Type]]="Expense", IF(Table1_1[[#This Row],[Amount]]&gt;Table1_1[[#This Row],[Monthly Budget]], "Over Budget", "OK"), "-")</f>
        <v>-</v>
      </c>
      <c r="J64">
        <f>IF(Table1_1[[#This Row],[Type]]="Income", Table1_1[[#This Row],[Amount]], -Table1_1[[#This Row],[Amount]])</f>
        <v>996</v>
      </c>
    </row>
    <row r="65" spans="1:10" x14ac:dyDescent="0.25">
      <c r="A65" s="1">
        <v>43939</v>
      </c>
      <c r="B65" t="s">
        <v>80</v>
      </c>
      <c r="C65" t="s">
        <v>25</v>
      </c>
      <c r="D65" s="2">
        <v>1603.18</v>
      </c>
      <c r="E65" t="s">
        <v>7</v>
      </c>
      <c r="F65" t="s">
        <v>1522</v>
      </c>
      <c r="G65">
        <v>2020</v>
      </c>
      <c r="H65">
        <f>IF(Table1_1[[#This Row],[Type]]="Expense", _xlfn.XLOOKUP(Table1_1[[#This Row],[Category]], Budget_Ref[Category], Budget_Ref[Monthly Budget], 0), 0)</f>
        <v>150</v>
      </c>
      <c r="I65" t="str">
        <f>IF(Table1_1[[#This Row],[Type]]="Expense", IF(Table1_1[[#This Row],[Amount]]&gt;Table1_1[[#This Row],[Monthly Budget]], "Over Budget", "OK"), "-")</f>
        <v>Over Budget</v>
      </c>
      <c r="J65">
        <f>IF(Table1_1[[#This Row],[Type]]="Income", Table1_1[[#This Row],[Amount]], -Table1_1[[#This Row],[Amount]])</f>
        <v>-1603.18</v>
      </c>
    </row>
    <row r="66" spans="1:10" x14ac:dyDescent="0.25">
      <c r="A66" s="1">
        <v>43943</v>
      </c>
      <c r="B66" t="s">
        <v>81</v>
      </c>
      <c r="C66" t="s">
        <v>13</v>
      </c>
      <c r="D66" s="2">
        <v>2058</v>
      </c>
      <c r="E66" t="s">
        <v>14</v>
      </c>
      <c r="F66" t="s">
        <v>1522</v>
      </c>
      <c r="G66">
        <v>2020</v>
      </c>
      <c r="H66">
        <f>IF(Table1_1[[#This Row],[Type]]="Expense", _xlfn.XLOOKUP(Table1_1[[#This Row],[Category]], Budget_Ref[Category], Budget_Ref[Monthly Budget], 0), 0)</f>
        <v>0</v>
      </c>
      <c r="I66" t="str">
        <f>IF(Table1_1[[#This Row],[Type]]="Expense", IF(Table1_1[[#This Row],[Amount]]&gt;Table1_1[[#This Row],[Monthly Budget]], "Over Budget", "OK"), "-")</f>
        <v>-</v>
      </c>
      <c r="J66">
        <f>IF(Table1_1[[#This Row],[Type]]="Income", Table1_1[[#This Row],[Amount]], -Table1_1[[#This Row],[Amount]])</f>
        <v>2058</v>
      </c>
    </row>
    <row r="67" spans="1:10" x14ac:dyDescent="0.25">
      <c r="A67" s="1">
        <v>43944</v>
      </c>
      <c r="B67" t="s">
        <v>82</v>
      </c>
      <c r="C67" t="s">
        <v>9</v>
      </c>
      <c r="D67" s="2">
        <v>849.54</v>
      </c>
      <c r="E67" t="s">
        <v>7</v>
      </c>
      <c r="F67" t="s">
        <v>1522</v>
      </c>
      <c r="G67">
        <v>2020</v>
      </c>
      <c r="H67">
        <f>IF(Table1_1[[#This Row],[Type]]="Expense", _xlfn.XLOOKUP(Table1_1[[#This Row],[Category]], Budget_Ref[Category], Budget_Ref[Monthly Budget], 0), 0)</f>
        <v>150</v>
      </c>
      <c r="I67" t="str">
        <f>IF(Table1_1[[#This Row],[Type]]="Expense", IF(Table1_1[[#This Row],[Amount]]&gt;Table1_1[[#This Row],[Monthly Budget]], "Over Budget", "OK"), "-")</f>
        <v>Over Budget</v>
      </c>
      <c r="J67">
        <f>IF(Table1_1[[#This Row],[Type]]="Income", Table1_1[[#This Row],[Amount]], -Table1_1[[#This Row],[Amount]])</f>
        <v>-849.54</v>
      </c>
    </row>
    <row r="68" spans="1:10" x14ac:dyDescent="0.25">
      <c r="A68" s="1">
        <v>43946</v>
      </c>
      <c r="B68" t="s">
        <v>83</v>
      </c>
      <c r="C68" t="s">
        <v>22</v>
      </c>
      <c r="D68" s="2">
        <v>1750.23</v>
      </c>
      <c r="E68" t="s">
        <v>7</v>
      </c>
      <c r="F68" t="s">
        <v>1522</v>
      </c>
      <c r="G68">
        <v>2020</v>
      </c>
      <c r="H68">
        <f>IF(Table1_1[[#This Row],[Type]]="Expense", _xlfn.XLOOKUP(Table1_1[[#This Row],[Category]], Budget_Ref[Category], Budget_Ref[Monthly Budget], 0), 0)</f>
        <v>200</v>
      </c>
      <c r="I68" t="str">
        <f>IF(Table1_1[[#This Row],[Type]]="Expense", IF(Table1_1[[#This Row],[Amount]]&gt;Table1_1[[#This Row],[Monthly Budget]], "Over Budget", "OK"), "-")</f>
        <v>Over Budget</v>
      </c>
      <c r="J68">
        <f>IF(Table1_1[[#This Row],[Type]]="Income", Table1_1[[#This Row],[Amount]], -Table1_1[[#This Row],[Amount]])</f>
        <v>-1750.23</v>
      </c>
    </row>
    <row r="69" spans="1:10" x14ac:dyDescent="0.25">
      <c r="A69" s="1">
        <v>43947</v>
      </c>
      <c r="B69" t="s">
        <v>84</v>
      </c>
      <c r="C69" t="s">
        <v>13</v>
      </c>
      <c r="D69" s="2">
        <v>914</v>
      </c>
      <c r="E69" t="s">
        <v>14</v>
      </c>
      <c r="F69" t="s">
        <v>1522</v>
      </c>
      <c r="G69">
        <v>2020</v>
      </c>
      <c r="H69">
        <f>IF(Table1_1[[#This Row],[Type]]="Expense", _xlfn.XLOOKUP(Table1_1[[#This Row],[Category]], Budget_Ref[Category], Budget_Ref[Monthly Budget], 0), 0)</f>
        <v>0</v>
      </c>
      <c r="I69" t="str">
        <f>IF(Table1_1[[#This Row],[Type]]="Expense", IF(Table1_1[[#This Row],[Amount]]&gt;Table1_1[[#This Row],[Monthly Budget]], "Over Budget", "OK"), "-")</f>
        <v>-</v>
      </c>
      <c r="J69">
        <f>IF(Table1_1[[#This Row],[Type]]="Income", Table1_1[[#This Row],[Amount]], -Table1_1[[#This Row],[Amount]])</f>
        <v>914</v>
      </c>
    </row>
    <row r="70" spans="1:10" x14ac:dyDescent="0.25">
      <c r="A70" s="1">
        <v>43947</v>
      </c>
      <c r="B70" t="s">
        <v>85</v>
      </c>
      <c r="C70" t="s">
        <v>6</v>
      </c>
      <c r="D70" s="2">
        <v>1938.3</v>
      </c>
      <c r="E70" t="s">
        <v>7</v>
      </c>
      <c r="F70" t="s">
        <v>1522</v>
      </c>
      <c r="G70">
        <v>2020</v>
      </c>
      <c r="H70">
        <f>IF(Table1_1[[#This Row],[Type]]="Expense", _xlfn.XLOOKUP(Table1_1[[#This Row],[Category]], Budget_Ref[Category], Budget_Ref[Monthly Budget], 0), 0)</f>
        <v>500</v>
      </c>
      <c r="I70" t="str">
        <f>IF(Table1_1[[#This Row],[Type]]="Expense", IF(Table1_1[[#This Row],[Amount]]&gt;Table1_1[[#This Row],[Monthly Budget]], "Over Budget", "OK"), "-")</f>
        <v>Over Budget</v>
      </c>
      <c r="J70">
        <f>IF(Table1_1[[#This Row],[Type]]="Income", Table1_1[[#This Row],[Amount]], -Table1_1[[#This Row],[Amount]])</f>
        <v>-1938.3</v>
      </c>
    </row>
    <row r="71" spans="1:10" x14ac:dyDescent="0.25">
      <c r="A71" s="1">
        <v>43948</v>
      </c>
      <c r="B71" t="s">
        <v>86</v>
      </c>
      <c r="C71" t="s">
        <v>22</v>
      </c>
      <c r="D71" s="2">
        <v>340.96</v>
      </c>
      <c r="E71" t="s">
        <v>7</v>
      </c>
      <c r="F71" t="s">
        <v>1522</v>
      </c>
      <c r="G71">
        <v>2020</v>
      </c>
      <c r="H71">
        <f>IF(Table1_1[[#This Row],[Type]]="Expense", _xlfn.XLOOKUP(Table1_1[[#This Row],[Category]], Budget_Ref[Category], Budget_Ref[Monthly Budget], 0), 0)</f>
        <v>200</v>
      </c>
      <c r="I71" t="str">
        <f>IF(Table1_1[[#This Row],[Type]]="Expense", IF(Table1_1[[#This Row],[Amount]]&gt;Table1_1[[#This Row],[Monthly Budget]], "Over Budget", "OK"), "-")</f>
        <v>Over Budget</v>
      </c>
      <c r="J71">
        <f>IF(Table1_1[[#This Row],[Type]]="Income", Table1_1[[#This Row],[Amount]], -Table1_1[[#This Row],[Amount]])</f>
        <v>-340.96</v>
      </c>
    </row>
    <row r="72" spans="1:10" x14ac:dyDescent="0.25">
      <c r="A72" s="1">
        <v>43948</v>
      </c>
      <c r="B72" t="s">
        <v>87</v>
      </c>
      <c r="C72" t="s">
        <v>22</v>
      </c>
      <c r="D72" s="2">
        <v>1730.65</v>
      </c>
      <c r="E72" t="s">
        <v>7</v>
      </c>
      <c r="F72" t="s">
        <v>1522</v>
      </c>
      <c r="G72">
        <v>2020</v>
      </c>
      <c r="H72">
        <f>IF(Table1_1[[#This Row],[Type]]="Expense", _xlfn.XLOOKUP(Table1_1[[#This Row],[Category]], Budget_Ref[Category], Budget_Ref[Monthly Budget], 0), 0)</f>
        <v>200</v>
      </c>
      <c r="I72" t="str">
        <f>IF(Table1_1[[#This Row],[Type]]="Expense", IF(Table1_1[[#This Row],[Amount]]&gt;Table1_1[[#This Row],[Monthly Budget]], "Over Budget", "OK"), "-")</f>
        <v>Over Budget</v>
      </c>
      <c r="J72">
        <f>IF(Table1_1[[#This Row],[Type]]="Income", Table1_1[[#This Row],[Amount]], -Table1_1[[#This Row],[Amount]])</f>
        <v>-1730.65</v>
      </c>
    </row>
    <row r="73" spans="1:10" x14ac:dyDescent="0.25">
      <c r="A73" s="1">
        <v>43950</v>
      </c>
      <c r="B73" t="s">
        <v>88</v>
      </c>
      <c r="C73" t="s">
        <v>9</v>
      </c>
      <c r="D73" s="2">
        <v>764.16</v>
      </c>
      <c r="E73" t="s">
        <v>7</v>
      </c>
      <c r="F73" t="s">
        <v>1522</v>
      </c>
      <c r="G73">
        <v>2020</v>
      </c>
      <c r="H73">
        <f>IF(Table1_1[[#This Row],[Type]]="Expense", _xlfn.XLOOKUP(Table1_1[[#This Row],[Category]], Budget_Ref[Category], Budget_Ref[Monthly Budget], 0), 0)</f>
        <v>150</v>
      </c>
      <c r="I73" t="str">
        <f>IF(Table1_1[[#This Row],[Type]]="Expense", IF(Table1_1[[#This Row],[Amount]]&gt;Table1_1[[#This Row],[Monthly Budget]], "Over Budget", "OK"), "-")</f>
        <v>Over Budget</v>
      </c>
      <c r="J73">
        <f>IF(Table1_1[[#This Row],[Type]]="Income", Table1_1[[#This Row],[Amount]], -Table1_1[[#This Row],[Amount]])</f>
        <v>-764.16</v>
      </c>
    </row>
    <row r="74" spans="1:10" x14ac:dyDescent="0.25">
      <c r="A74" s="1">
        <v>43951</v>
      </c>
      <c r="B74" t="s">
        <v>89</v>
      </c>
      <c r="C74" t="s">
        <v>35</v>
      </c>
      <c r="D74" s="2">
        <v>1853.77</v>
      </c>
      <c r="E74" t="s">
        <v>7</v>
      </c>
      <c r="F74" t="s">
        <v>1522</v>
      </c>
      <c r="G74">
        <v>2020</v>
      </c>
      <c r="H74">
        <f>IF(Table1_1[[#This Row],[Type]]="Expense", _xlfn.XLOOKUP(Table1_1[[#This Row],[Category]], Budget_Ref[Category], Budget_Ref[Monthly Budget], 0), 0)</f>
        <v>200</v>
      </c>
      <c r="I74" t="str">
        <f>IF(Table1_1[[#This Row],[Type]]="Expense", IF(Table1_1[[#This Row],[Amount]]&gt;Table1_1[[#This Row],[Monthly Budget]], "Over Budget", "OK"), "-")</f>
        <v>Over Budget</v>
      </c>
      <c r="J74">
        <f>IF(Table1_1[[#This Row],[Type]]="Income", Table1_1[[#This Row],[Amount]], -Table1_1[[#This Row],[Amount]])</f>
        <v>-1853.77</v>
      </c>
    </row>
    <row r="75" spans="1:10" x14ac:dyDescent="0.25">
      <c r="A75" s="1">
        <v>43952</v>
      </c>
      <c r="B75" t="s">
        <v>90</v>
      </c>
      <c r="C75" t="s">
        <v>35</v>
      </c>
      <c r="D75" s="2">
        <v>851.78</v>
      </c>
      <c r="E75" t="s">
        <v>7</v>
      </c>
      <c r="F75" t="s">
        <v>1523</v>
      </c>
      <c r="G75">
        <v>2020</v>
      </c>
      <c r="H75">
        <f>IF(Table1_1[[#This Row],[Type]]="Expense", _xlfn.XLOOKUP(Table1_1[[#This Row],[Category]], Budget_Ref[Category], Budget_Ref[Monthly Budget], 0), 0)</f>
        <v>200</v>
      </c>
      <c r="I75" t="str">
        <f>IF(Table1_1[[#This Row],[Type]]="Expense", IF(Table1_1[[#This Row],[Amount]]&gt;Table1_1[[#This Row],[Monthly Budget]], "Over Budget", "OK"), "-")</f>
        <v>Over Budget</v>
      </c>
      <c r="J75">
        <f>IF(Table1_1[[#This Row],[Type]]="Income", Table1_1[[#This Row],[Amount]], -Table1_1[[#This Row],[Amount]])</f>
        <v>-851.78</v>
      </c>
    </row>
    <row r="76" spans="1:10" x14ac:dyDescent="0.25">
      <c r="A76" s="1">
        <v>43954</v>
      </c>
      <c r="B76" t="s">
        <v>91</v>
      </c>
      <c r="C76" t="s">
        <v>27</v>
      </c>
      <c r="D76" s="2">
        <v>318.05</v>
      </c>
      <c r="E76" t="s">
        <v>14</v>
      </c>
      <c r="F76" t="s">
        <v>1523</v>
      </c>
      <c r="G76">
        <v>2020</v>
      </c>
      <c r="H76">
        <f>IF(Table1_1[[#This Row],[Type]]="Expense", _xlfn.XLOOKUP(Table1_1[[#This Row],[Category]], Budget_Ref[Category], Budget_Ref[Monthly Budget], 0), 0)</f>
        <v>0</v>
      </c>
      <c r="I76" t="str">
        <f>IF(Table1_1[[#This Row],[Type]]="Expense", IF(Table1_1[[#This Row],[Amount]]&gt;Table1_1[[#This Row],[Monthly Budget]], "Over Budget", "OK"), "-")</f>
        <v>-</v>
      </c>
      <c r="J76">
        <f>IF(Table1_1[[#This Row],[Type]]="Income", Table1_1[[#This Row],[Amount]], -Table1_1[[#This Row],[Amount]])</f>
        <v>318.05</v>
      </c>
    </row>
    <row r="77" spans="1:10" x14ac:dyDescent="0.25">
      <c r="A77" s="1">
        <v>43954</v>
      </c>
      <c r="B77" t="s">
        <v>92</v>
      </c>
      <c r="C77" t="s">
        <v>6</v>
      </c>
      <c r="D77" s="2">
        <v>1162.57</v>
      </c>
      <c r="E77" t="s">
        <v>7</v>
      </c>
      <c r="F77" t="s">
        <v>1523</v>
      </c>
      <c r="G77">
        <v>2020</v>
      </c>
      <c r="H77">
        <f>IF(Table1_1[[#This Row],[Type]]="Expense", _xlfn.XLOOKUP(Table1_1[[#This Row],[Category]], Budget_Ref[Category], Budget_Ref[Monthly Budget], 0), 0)</f>
        <v>500</v>
      </c>
      <c r="I77" t="str">
        <f>IF(Table1_1[[#This Row],[Type]]="Expense", IF(Table1_1[[#This Row],[Amount]]&gt;Table1_1[[#This Row],[Monthly Budget]], "Over Budget", "OK"), "-")</f>
        <v>Over Budget</v>
      </c>
      <c r="J77">
        <f>IF(Table1_1[[#This Row],[Type]]="Income", Table1_1[[#This Row],[Amount]], -Table1_1[[#This Row],[Amount]])</f>
        <v>-1162.57</v>
      </c>
    </row>
    <row r="78" spans="1:10" x14ac:dyDescent="0.25">
      <c r="A78" s="1">
        <v>43956</v>
      </c>
      <c r="B78" t="s">
        <v>93</v>
      </c>
      <c r="C78" t="s">
        <v>25</v>
      </c>
      <c r="D78" s="2">
        <v>123.76</v>
      </c>
      <c r="E78" t="s">
        <v>7</v>
      </c>
      <c r="F78" t="s">
        <v>1523</v>
      </c>
      <c r="G78">
        <v>2020</v>
      </c>
      <c r="H78">
        <f>IF(Table1_1[[#This Row],[Type]]="Expense", _xlfn.XLOOKUP(Table1_1[[#This Row],[Category]], Budget_Ref[Category], Budget_Ref[Monthly Budget], 0), 0)</f>
        <v>150</v>
      </c>
      <c r="I78" t="str">
        <f>IF(Table1_1[[#This Row],[Type]]="Expense", IF(Table1_1[[#This Row],[Amount]]&gt;Table1_1[[#This Row],[Monthly Budget]], "Over Budget", "OK"), "-")</f>
        <v>OK</v>
      </c>
      <c r="J78">
        <f>IF(Table1_1[[#This Row],[Type]]="Income", Table1_1[[#This Row],[Amount]], -Table1_1[[#This Row],[Amount]])</f>
        <v>-123.76</v>
      </c>
    </row>
    <row r="79" spans="1:10" x14ac:dyDescent="0.25">
      <c r="A79" s="1">
        <v>43957</v>
      </c>
      <c r="B79" t="s">
        <v>94</v>
      </c>
      <c r="C79" t="s">
        <v>9</v>
      </c>
      <c r="D79" s="2">
        <v>123.19</v>
      </c>
      <c r="E79" t="s">
        <v>7</v>
      </c>
      <c r="F79" t="s">
        <v>1523</v>
      </c>
      <c r="G79">
        <v>2020</v>
      </c>
      <c r="H79">
        <f>IF(Table1_1[[#This Row],[Type]]="Expense", _xlfn.XLOOKUP(Table1_1[[#This Row],[Category]], Budget_Ref[Category], Budget_Ref[Monthly Budget], 0), 0)</f>
        <v>150</v>
      </c>
      <c r="I79" t="str">
        <f>IF(Table1_1[[#This Row],[Type]]="Expense", IF(Table1_1[[#This Row],[Amount]]&gt;Table1_1[[#This Row],[Monthly Budget]], "Over Budget", "OK"), "-")</f>
        <v>OK</v>
      </c>
      <c r="J79">
        <f>IF(Table1_1[[#This Row],[Type]]="Income", Table1_1[[#This Row],[Amount]], -Table1_1[[#This Row],[Amount]])</f>
        <v>-123.19</v>
      </c>
    </row>
    <row r="80" spans="1:10" x14ac:dyDescent="0.25">
      <c r="A80" s="1">
        <v>43957</v>
      </c>
      <c r="B80" t="s">
        <v>95</v>
      </c>
      <c r="C80" t="s">
        <v>9</v>
      </c>
      <c r="D80" s="2">
        <v>146.36000000000001</v>
      </c>
      <c r="E80" t="s">
        <v>7</v>
      </c>
      <c r="F80" t="s">
        <v>1523</v>
      </c>
      <c r="G80">
        <v>2020</v>
      </c>
      <c r="H80">
        <f>IF(Table1_1[[#This Row],[Type]]="Expense", _xlfn.XLOOKUP(Table1_1[[#This Row],[Category]], Budget_Ref[Category], Budget_Ref[Monthly Budget], 0), 0)</f>
        <v>150</v>
      </c>
      <c r="I80" t="str">
        <f>IF(Table1_1[[#This Row],[Type]]="Expense", IF(Table1_1[[#This Row],[Amount]]&gt;Table1_1[[#This Row],[Monthly Budget]], "Over Budget", "OK"), "-")</f>
        <v>OK</v>
      </c>
      <c r="J80">
        <f>IF(Table1_1[[#This Row],[Type]]="Income", Table1_1[[#This Row],[Amount]], -Table1_1[[#This Row],[Amount]])</f>
        <v>-146.36000000000001</v>
      </c>
    </row>
    <row r="81" spans="1:10" x14ac:dyDescent="0.25">
      <c r="A81" s="1">
        <v>43958</v>
      </c>
      <c r="B81" t="s">
        <v>96</v>
      </c>
      <c r="C81" t="s">
        <v>13</v>
      </c>
      <c r="D81" s="2">
        <v>3807</v>
      </c>
      <c r="E81" t="s">
        <v>14</v>
      </c>
      <c r="F81" t="s">
        <v>1523</v>
      </c>
      <c r="G81">
        <v>2020</v>
      </c>
      <c r="H81">
        <f>IF(Table1_1[[#This Row],[Type]]="Expense", _xlfn.XLOOKUP(Table1_1[[#This Row],[Category]], Budget_Ref[Category], Budget_Ref[Monthly Budget], 0), 0)</f>
        <v>0</v>
      </c>
      <c r="I81" t="str">
        <f>IF(Table1_1[[#This Row],[Type]]="Expense", IF(Table1_1[[#This Row],[Amount]]&gt;Table1_1[[#This Row],[Monthly Budget]], "Over Budget", "OK"), "-")</f>
        <v>-</v>
      </c>
      <c r="J81">
        <f>IF(Table1_1[[#This Row],[Type]]="Income", Table1_1[[#This Row],[Amount]], -Table1_1[[#This Row],[Amount]])</f>
        <v>3807</v>
      </c>
    </row>
    <row r="82" spans="1:10" x14ac:dyDescent="0.25">
      <c r="A82" s="1">
        <v>43962</v>
      </c>
      <c r="B82" t="s">
        <v>97</v>
      </c>
      <c r="C82" t="s">
        <v>13</v>
      </c>
      <c r="D82" s="2">
        <v>825</v>
      </c>
      <c r="E82" t="s">
        <v>14</v>
      </c>
      <c r="F82" t="s">
        <v>1523</v>
      </c>
      <c r="G82">
        <v>2020</v>
      </c>
      <c r="H82">
        <f>IF(Table1_1[[#This Row],[Type]]="Expense", _xlfn.XLOOKUP(Table1_1[[#This Row],[Category]], Budget_Ref[Category], Budget_Ref[Monthly Budget], 0), 0)</f>
        <v>0</v>
      </c>
      <c r="I82" t="str">
        <f>IF(Table1_1[[#This Row],[Type]]="Expense", IF(Table1_1[[#This Row],[Amount]]&gt;Table1_1[[#This Row],[Monthly Budget]], "Over Budget", "OK"), "-")</f>
        <v>-</v>
      </c>
      <c r="J82">
        <f>IF(Table1_1[[#This Row],[Type]]="Income", Table1_1[[#This Row],[Amount]], -Table1_1[[#This Row],[Amount]])</f>
        <v>825</v>
      </c>
    </row>
    <row r="83" spans="1:10" x14ac:dyDescent="0.25">
      <c r="A83" s="1">
        <v>43963</v>
      </c>
      <c r="B83" t="s">
        <v>98</v>
      </c>
      <c r="C83" t="s">
        <v>17</v>
      </c>
      <c r="D83" s="2">
        <v>1318.17</v>
      </c>
      <c r="E83" t="s">
        <v>7</v>
      </c>
      <c r="F83" t="s">
        <v>1523</v>
      </c>
      <c r="G83">
        <v>2020</v>
      </c>
      <c r="H83">
        <f>IF(Table1_1[[#This Row],[Type]]="Expense", _xlfn.XLOOKUP(Table1_1[[#This Row],[Category]], Budget_Ref[Category], Budget_Ref[Monthly Budget], 0), 0)</f>
        <v>300</v>
      </c>
      <c r="I83" t="str">
        <f>IF(Table1_1[[#This Row],[Type]]="Expense", IF(Table1_1[[#This Row],[Amount]]&gt;Table1_1[[#This Row],[Monthly Budget]], "Over Budget", "OK"), "-")</f>
        <v>Over Budget</v>
      </c>
      <c r="J83">
        <f>IF(Table1_1[[#This Row],[Type]]="Income", Table1_1[[#This Row],[Amount]], -Table1_1[[#This Row],[Amount]])</f>
        <v>-1318.17</v>
      </c>
    </row>
    <row r="84" spans="1:10" x14ac:dyDescent="0.25">
      <c r="A84" s="1">
        <v>43964</v>
      </c>
      <c r="B84" t="s">
        <v>99</v>
      </c>
      <c r="C84" t="s">
        <v>25</v>
      </c>
      <c r="D84" s="2">
        <v>1870.07</v>
      </c>
      <c r="E84" t="s">
        <v>7</v>
      </c>
      <c r="F84" t="s">
        <v>1523</v>
      </c>
      <c r="G84">
        <v>2020</v>
      </c>
      <c r="H84">
        <f>IF(Table1_1[[#This Row],[Type]]="Expense", _xlfn.XLOOKUP(Table1_1[[#This Row],[Category]], Budget_Ref[Category], Budget_Ref[Monthly Budget], 0), 0)</f>
        <v>150</v>
      </c>
      <c r="I84" t="str">
        <f>IF(Table1_1[[#This Row],[Type]]="Expense", IF(Table1_1[[#This Row],[Amount]]&gt;Table1_1[[#This Row],[Monthly Budget]], "Over Budget", "OK"), "-")</f>
        <v>Over Budget</v>
      </c>
      <c r="J84">
        <f>IF(Table1_1[[#This Row],[Type]]="Income", Table1_1[[#This Row],[Amount]], -Table1_1[[#This Row],[Amount]])</f>
        <v>-1870.07</v>
      </c>
    </row>
    <row r="85" spans="1:10" x14ac:dyDescent="0.25">
      <c r="A85" s="1">
        <v>43965</v>
      </c>
      <c r="B85" t="s">
        <v>100</v>
      </c>
      <c r="C85" t="s">
        <v>25</v>
      </c>
      <c r="D85" s="2">
        <v>484.99</v>
      </c>
      <c r="E85" t="s">
        <v>7</v>
      </c>
      <c r="F85" t="s">
        <v>1523</v>
      </c>
      <c r="G85">
        <v>2020</v>
      </c>
      <c r="H85">
        <f>IF(Table1_1[[#This Row],[Type]]="Expense", _xlfn.XLOOKUP(Table1_1[[#This Row],[Category]], Budget_Ref[Category], Budget_Ref[Monthly Budget], 0), 0)</f>
        <v>150</v>
      </c>
      <c r="I85" t="str">
        <f>IF(Table1_1[[#This Row],[Type]]="Expense", IF(Table1_1[[#This Row],[Amount]]&gt;Table1_1[[#This Row],[Monthly Budget]], "Over Budget", "OK"), "-")</f>
        <v>Over Budget</v>
      </c>
      <c r="J85">
        <f>IF(Table1_1[[#This Row],[Type]]="Income", Table1_1[[#This Row],[Amount]], -Table1_1[[#This Row],[Amount]])</f>
        <v>-484.99</v>
      </c>
    </row>
    <row r="86" spans="1:10" x14ac:dyDescent="0.25">
      <c r="A86" s="1">
        <v>43966</v>
      </c>
      <c r="B86" t="s">
        <v>101</v>
      </c>
      <c r="C86" t="s">
        <v>35</v>
      </c>
      <c r="D86" s="2">
        <v>919.88</v>
      </c>
      <c r="E86" t="s">
        <v>7</v>
      </c>
      <c r="F86" t="s">
        <v>1523</v>
      </c>
      <c r="G86">
        <v>2020</v>
      </c>
      <c r="H86">
        <f>IF(Table1_1[[#This Row],[Type]]="Expense", _xlfn.XLOOKUP(Table1_1[[#This Row],[Category]], Budget_Ref[Category], Budget_Ref[Monthly Budget], 0), 0)</f>
        <v>200</v>
      </c>
      <c r="I86" t="str">
        <f>IF(Table1_1[[#This Row],[Type]]="Expense", IF(Table1_1[[#This Row],[Amount]]&gt;Table1_1[[#This Row],[Monthly Budget]], "Over Budget", "OK"), "-")</f>
        <v>Over Budget</v>
      </c>
      <c r="J86">
        <f>IF(Table1_1[[#This Row],[Type]]="Income", Table1_1[[#This Row],[Amount]], -Table1_1[[#This Row],[Amount]])</f>
        <v>-919.88</v>
      </c>
    </row>
    <row r="87" spans="1:10" x14ac:dyDescent="0.25">
      <c r="A87" s="1">
        <v>43967</v>
      </c>
      <c r="B87" t="s">
        <v>102</v>
      </c>
      <c r="C87" t="s">
        <v>11</v>
      </c>
      <c r="D87" s="2">
        <v>28.54</v>
      </c>
      <c r="E87" t="s">
        <v>7</v>
      </c>
      <c r="F87" t="s">
        <v>1523</v>
      </c>
      <c r="G87">
        <v>2020</v>
      </c>
      <c r="H87">
        <f>IF(Table1_1[[#This Row],[Type]]="Expense", _xlfn.XLOOKUP(Table1_1[[#This Row],[Category]], Budget_Ref[Category], Budget_Ref[Monthly Budget], 0), 0)</f>
        <v>1500</v>
      </c>
      <c r="I87" t="str">
        <f>IF(Table1_1[[#This Row],[Type]]="Expense", IF(Table1_1[[#This Row],[Amount]]&gt;Table1_1[[#This Row],[Monthly Budget]], "Over Budget", "OK"), "-")</f>
        <v>OK</v>
      </c>
      <c r="J87">
        <f>IF(Table1_1[[#This Row],[Type]]="Income", Table1_1[[#This Row],[Amount]], -Table1_1[[#This Row],[Amount]])</f>
        <v>-28.54</v>
      </c>
    </row>
    <row r="88" spans="1:10" x14ac:dyDescent="0.25">
      <c r="A88" s="1">
        <v>43968</v>
      </c>
      <c r="B88" t="s">
        <v>103</v>
      </c>
      <c r="C88" t="s">
        <v>11</v>
      </c>
      <c r="D88" s="2">
        <v>155.79</v>
      </c>
      <c r="E88" t="s">
        <v>7</v>
      </c>
      <c r="F88" t="s">
        <v>1523</v>
      </c>
      <c r="G88">
        <v>2020</v>
      </c>
      <c r="H88">
        <f>IF(Table1_1[[#This Row],[Type]]="Expense", _xlfn.XLOOKUP(Table1_1[[#This Row],[Category]], Budget_Ref[Category], Budget_Ref[Monthly Budget], 0), 0)</f>
        <v>1500</v>
      </c>
      <c r="I88" t="str">
        <f>IF(Table1_1[[#This Row],[Type]]="Expense", IF(Table1_1[[#This Row],[Amount]]&gt;Table1_1[[#This Row],[Monthly Budget]], "Over Budget", "OK"), "-")</f>
        <v>OK</v>
      </c>
      <c r="J88">
        <f>IF(Table1_1[[#This Row],[Type]]="Income", Table1_1[[#This Row],[Amount]], -Table1_1[[#This Row],[Amount]])</f>
        <v>-155.79</v>
      </c>
    </row>
    <row r="89" spans="1:10" x14ac:dyDescent="0.25">
      <c r="A89" s="1">
        <v>43970</v>
      </c>
      <c r="B89" t="s">
        <v>104</v>
      </c>
      <c r="C89" t="s">
        <v>35</v>
      </c>
      <c r="D89" s="2">
        <v>273.58999999999997</v>
      </c>
      <c r="E89" t="s">
        <v>7</v>
      </c>
      <c r="F89" t="s">
        <v>1523</v>
      </c>
      <c r="G89">
        <v>2020</v>
      </c>
      <c r="H89">
        <f>IF(Table1_1[[#This Row],[Type]]="Expense", _xlfn.XLOOKUP(Table1_1[[#This Row],[Category]], Budget_Ref[Category], Budget_Ref[Monthly Budget], 0), 0)</f>
        <v>200</v>
      </c>
      <c r="I89" t="str">
        <f>IF(Table1_1[[#This Row],[Type]]="Expense", IF(Table1_1[[#This Row],[Amount]]&gt;Table1_1[[#This Row],[Monthly Budget]], "Over Budget", "OK"), "-")</f>
        <v>Over Budget</v>
      </c>
      <c r="J89">
        <f>IF(Table1_1[[#This Row],[Type]]="Income", Table1_1[[#This Row],[Amount]], -Table1_1[[#This Row],[Amount]])</f>
        <v>-273.58999999999997</v>
      </c>
    </row>
    <row r="90" spans="1:10" x14ac:dyDescent="0.25">
      <c r="A90" s="1">
        <v>43971</v>
      </c>
      <c r="B90" t="s">
        <v>105</v>
      </c>
      <c r="C90" t="s">
        <v>11</v>
      </c>
      <c r="D90" s="2">
        <v>1759.75</v>
      </c>
      <c r="E90" t="s">
        <v>7</v>
      </c>
      <c r="F90" t="s">
        <v>1523</v>
      </c>
      <c r="G90">
        <v>2020</v>
      </c>
      <c r="H90">
        <f>IF(Table1_1[[#This Row],[Type]]="Expense", _xlfn.XLOOKUP(Table1_1[[#This Row],[Category]], Budget_Ref[Category], Budget_Ref[Monthly Budget], 0), 0)</f>
        <v>1500</v>
      </c>
      <c r="I90" t="str">
        <f>IF(Table1_1[[#This Row],[Type]]="Expense", IF(Table1_1[[#This Row],[Amount]]&gt;Table1_1[[#This Row],[Monthly Budget]], "Over Budget", "OK"), "-")</f>
        <v>Over Budget</v>
      </c>
      <c r="J90">
        <f>IF(Table1_1[[#This Row],[Type]]="Income", Table1_1[[#This Row],[Amount]], -Table1_1[[#This Row],[Amount]])</f>
        <v>-1759.75</v>
      </c>
    </row>
    <row r="91" spans="1:10" x14ac:dyDescent="0.25">
      <c r="A91" s="1">
        <v>43972</v>
      </c>
      <c r="B91" t="s">
        <v>106</v>
      </c>
      <c r="C91" t="s">
        <v>9</v>
      </c>
      <c r="D91" s="2">
        <v>881.99</v>
      </c>
      <c r="E91" t="s">
        <v>7</v>
      </c>
      <c r="F91" t="s">
        <v>1523</v>
      </c>
      <c r="G91">
        <v>2020</v>
      </c>
      <c r="H91">
        <f>IF(Table1_1[[#This Row],[Type]]="Expense", _xlfn.XLOOKUP(Table1_1[[#This Row],[Category]], Budget_Ref[Category], Budget_Ref[Monthly Budget], 0), 0)</f>
        <v>150</v>
      </c>
      <c r="I91" t="str">
        <f>IF(Table1_1[[#This Row],[Type]]="Expense", IF(Table1_1[[#This Row],[Amount]]&gt;Table1_1[[#This Row],[Monthly Budget]], "Over Budget", "OK"), "-")</f>
        <v>Over Budget</v>
      </c>
      <c r="J91">
        <f>IF(Table1_1[[#This Row],[Type]]="Income", Table1_1[[#This Row],[Amount]], -Table1_1[[#This Row],[Amount]])</f>
        <v>-881.99</v>
      </c>
    </row>
    <row r="92" spans="1:10" x14ac:dyDescent="0.25">
      <c r="A92" s="1">
        <v>43976</v>
      </c>
      <c r="B92" t="s">
        <v>107</v>
      </c>
      <c r="C92" t="s">
        <v>35</v>
      </c>
      <c r="D92" s="2">
        <v>1227.24</v>
      </c>
      <c r="E92" t="s">
        <v>7</v>
      </c>
      <c r="F92" t="s">
        <v>1523</v>
      </c>
      <c r="G92">
        <v>2020</v>
      </c>
      <c r="H92">
        <f>IF(Table1_1[[#This Row],[Type]]="Expense", _xlfn.XLOOKUP(Table1_1[[#This Row],[Category]], Budget_Ref[Category], Budget_Ref[Monthly Budget], 0), 0)</f>
        <v>200</v>
      </c>
      <c r="I92" t="str">
        <f>IF(Table1_1[[#This Row],[Type]]="Expense", IF(Table1_1[[#This Row],[Amount]]&gt;Table1_1[[#This Row],[Monthly Budget]], "Over Budget", "OK"), "-")</f>
        <v>Over Budget</v>
      </c>
      <c r="J92">
        <f>IF(Table1_1[[#This Row],[Type]]="Income", Table1_1[[#This Row],[Amount]], -Table1_1[[#This Row],[Amount]])</f>
        <v>-1227.24</v>
      </c>
    </row>
    <row r="93" spans="1:10" x14ac:dyDescent="0.25">
      <c r="A93" s="1">
        <v>43978</v>
      </c>
      <c r="B93" t="s">
        <v>108</v>
      </c>
      <c r="C93" t="s">
        <v>6</v>
      </c>
      <c r="D93" s="2">
        <v>1339.05</v>
      </c>
      <c r="E93" t="s">
        <v>7</v>
      </c>
      <c r="F93" t="s">
        <v>1523</v>
      </c>
      <c r="G93">
        <v>2020</v>
      </c>
      <c r="H93">
        <f>IF(Table1_1[[#This Row],[Type]]="Expense", _xlfn.XLOOKUP(Table1_1[[#This Row],[Category]], Budget_Ref[Category], Budget_Ref[Monthly Budget], 0), 0)</f>
        <v>500</v>
      </c>
      <c r="I93" t="str">
        <f>IF(Table1_1[[#This Row],[Type]]="Expense", IF(Table1_1[[#This Row],[Amount]]&gt;Table1_1[[#This Row],[Monthly Budget]], "Over Budget", "OK"), "-")</f>
        <v>Over Budget</v>
      </c>
      <c r="J93">
        <f>IF(Table1_1[[#This Row],[Type]]="Income", Table1_1[[#This Row],[Amount]], -Table1_1[[#This Row],[Amount]])</f>
        <v>-1339.05</v>
      </c>
    </row>
    <row r="94" spans="1:10" x14ac:dyDescent="0.25">
      <c r="A94" s="1">
        <v>43979</v>
      </c>
      <c r="B94" t="s">
        <v>109</v>
      </c>
      <c r="C94" t="s">
        <v>11</v>
      </c>
      <c r="D94" s="2">
        <v>1878.47</v>
      </c>
      <c r="E94" t="s">
        <v>7</v>
      </c>
      <c r="F94" t="s">
        <v>1523</v>
      </c>
      <c r="G94">
        <v>2020</v>
      </c>
      <c r="H94">
        <f>IF(Table1_1[[#This Row],[Type]]="Expense", _xlfn.XLOOKUP(Table1_1[[#This Row],[Category]], Budget_Ref[Category], Budget_Ref[Monthly Budget], 0), 0)</f>
        <v>1500</v>
      </c>
      <c r="I94" t="str">
        <f>IF(Table1_1[[#This Row],[Type]]="Expense", IF(Table1_1[[#This Row],[Amount]]&gt;Table1_1[[#This Row],[Monthly Budget]], "Over Budget", "OK"), "-")</f>
        <v>Over Budget</v>
      </c>
      <c r="J94">
        <f>IF(Table1_1[[#This Row],[Type]]="Income", Table1_1[[#This Row],[Amount]], -Table1_1[[#This Row],[Amount]])</f>
        <v>-1878.47</v>
      </c>
    </row>
    <row r="95" spans="1:10" x14ac:dyDescent="0.25">
      <c r="A95" s="1">
        <v>43980</v>
      </c>
      <c r="B95" t="s">
        <v>110</v>
      </c>
      <c r="C95" t="s">
        <v>13</v>
      </c>
      <c r="D95" s="2">
        <v>1376</v>
      </c>
      <c r="E95" t="s">
        <v>14</v>
      </c>
      <c r="F95" t="s">
        <v>1523</v>
      </c>
      <c r="G95">
        <v>2020</v>
      </c>
      <c r="H95">
        <f>IF(Table1_1[[#This Row],[Type]]="Expense", _xlfn.XLOOKUP(Table1_1[[#This Row],[Category]], Budget_Ref[Category], Budget_Ref[Monthly Budget], 0), 0)</f>
        <v>0</v>
      </c>
      <c r="I95" t="str">
        <f>IF(Table1_1[[#This Row],[Type]]="Expense", IF(Table1_1[[#This Row],[Amount]]&gt;Table1_1[[#This Row],[Monthly Budget]], "Over Budget", "OK"), "-")</f>
        <v>-</v>
      </c>
      <c r="J95">
        <f>IF(Table1_1[[#This Row],[Type]]="Income", Table1_1[[#This Row],[Amount]], -Table1_1[[#This Row],[Amount]])</f>
        <v>1376</v>
      </c>
    </row>
    <row r="96" spans="1:10" x14ac:dyDescent="0.25">
      <c r="A96" s="1">
        <v>43981</v>
      </c>
      <c r="B96" t="s">
        <v>111</v>
      </c>
      <c r="C96" t="s">
        <v>9</v>
      </c>
      <c r="D96" s="2">
        <v>551.97</v>
      </c>
      <c r="E96" t="s">
        <v>7</v>
      </c>
      <c r="F96" t="s">
        <v>1523</v>
      </c>
      <c r="G96">
        <v>2020</v>
      </c>
      <c r="H96">
        <f>IF(Table1_1[[#This Row],[Type]]="Expense", _xlfn.XLOOKUP(Table1_1[[#This Row],[Category]], Budget_Ref[Category], Budget_Ref[Monthly Budget], 0), 0)</f>
        <v>150</v>
      </c>
      <c r="I96" t="str">
        <f>IF(Table1_1[[#This Row],[Type]]="Expense", IF(Table1_1[[#This Row],[Amount]]&gt;Table1_1[[#This Row],[Monthly Budget]], "Over Budget", "OK"), "-")</f>
        <v>Over Budget</v>
      </c>
      <c r="J96">
        <f>IF(Table1_1[[#This Row],[Type]]="Income", Table1_1[[#This Row],[Amount]], -Table1_1[[#This Row],[Amount]])</f>
        <v>-551.97</v>
      </c>
    </row>
    <row r="97" spans="1:10" x14ac:dyDescent="0.25">
      <c r="A97" s="1">
        <v>43982</v>
      </c>
      <c r="B97" t="s">
        <v>112</v>
      </c>
      <c r="C97" t="s">
        <v>25</v>
      </c>
      <c r="D97" s="2">
        <v>415.16</v>
      </c>
      <c r="E97" t="s">
        <v>7</v>
      </c>
      <c r="F97" t="s">
        <v>1523</v>
      </c>
      <c r="G97">
        <v>2020</v>
      </c>
      <c r="H97">
        <f>IF(Table1_1[[#This Row],[Type]]="Expense", _xlfn.XLOOKUP(Table1_1[[#This Row],[Category]], Budget_Ref[Category], Budget_Ref[Monthly Budget], 0), 0)</f>
        <v>150</v>
      </c>
      <c r="I97" t="str">
        <f>IF(Table1_1[[#This Row],[Type]]="Expense", IF(Table1_1[[#This Row],[Amount]]&gt;Table1_1[[#This Row],[Monthly Budget]], "Over Budget", "OK"), "-")</f>
        <v>Over Budget</v>
      </c>
      <c r="J97">
        <f>IF(Table1_1[[#This Row],[Type]]="Income", Table1_1[[#This Row],[Amount]], -Table1_1[[#This Row],[Amount]])</f>
        <v>-415.16</v>
      </c>
    </row>
    <row r="98" spans="1:10" x14ac:dyDescent="0.25">
      <c r="A98" s="1">
        <v>43982</v>
      </c>
      <c r="B98" t="s">
        <v>113</v>
      </c>
      <c r="C98" t="s">
        <v>35</v>
      </c>
      <c r="D98" s="2">
        <v>1015.76</v>
      </c>
      <c r="E98" t="s">
        <v>7</v>
      </c>
      <c r="F98" t="s">
        <v>1523</v>
      </c>
      <c r="G98">
        <v>2020</v>
      </c>
      <c r="H98">
        <f>IF(Table1_1[[#This Row],[Type]]="Expense", _xlfn.XLOOKUP(Table1_1[[#This Row],[Category]], Budget_Ref[Category], Budget_Ref[Monthly Budget], 0), 0)</f>
        <v>200</v>
      </c>
      <c r="I98" t="str">
        <f>IF(Table1_1[[#This Row],[Type]]="Expense", IF(Table1_1[[#This Row],[Amount]]&gt;Table1_1[[#This Row],[Monthly Budget]], "Over Budget", "OK"), "-")</f>
        <v>Over Budget</v>
      </c>
      <c r="J98">
        <f>IF(Table1_1[[#This Row],[Type]]="Income", Table1_1[[#This Row],[Amount]], -Table1_1[[#This Row],[Amount]])</f>
        <v>-1015.76</v>
      </c>
    </row>
    <row r="99" spans="1:10" x14ac:dyDescent="0.25">
      <c r="A99" s="1">
        <v>43983</v>
      </c>
      <c r="B99" t="s">
        <v>114</v>
      </c>
      <c r="C99" t="s">
        <v>6</v>
      </c>
      <c r="D99" s="2">
        <v>193.67</v>
      </c>
      <c r="E99" t="s">
        <v>7</v>
      </c>
      <c r="F99" t="s">
        <v>1524</v>
      </c>
      <c r="G99">
        <v>2020</v>
      </c>
      <c r="H99">
        <f>IF(Table1_1[[#This Row],[Type]]="Expense", _xlfn.XLOOKUP(Table1_1[[#This Row],[Category]], Budget_Ref[Category], Budget_Ref[Monthly Budget], 0), 0)</f>
        <v>500</v>
      </c>
      <c r="I99" t="str">
        <f>IF(Table1_1[[#This Row],[Type]]="Expense", IF(Table1_1[[#This Row],[Amount]]&gt;Table1_1[[#This Row],[Monthly Budget]], "Over Budget", "OK"), "-")</f>
        <v>OK</v>
      </c>
      <c r="J99">
        <f>IF(Table1_1[[#This Row],[Type]]="Income", Table1_1[[#This Row],[Amount]], -Table1_1[[#This Row],[Amount]])</f>
        <v>-193.67</v>
      </c>
    </row>
    <row r="100" spans="1:10" x14ac:dyDescent="0.25">
      <c r="A100" s="1">
        <v>43984</v>
      </c>
      <c r="B100" t="s">
        <v>115</v>
      </c>
      <c r="C100" t="s">
        <v>35</v>
      </c>
      <c r="D100" s="2">
        <v>97.73</v>
      </c>
      <c r="E100" t="s">
        <v>7</v>
      </c>
      <c r="F100" t="s">
        <v>1524</v>
      </c>
      <c r="G100">
        <v>2020</v>
      </c>
      <c r="H100">
        <f>IF(Table1_1[[#This Row],[Type]]="Expense", _xlfn.XLOOKUP(Table1_1[[#This Row],[Category]], Budget_Ref[Category], Budget_Ref[Monthly Budget], 0), 0)</f>
        <v>200</v>
      </c>
      <c r="I100" t="str">
        <f>IF(Table1_1[[#This Row],[Type]]="Expense", IF(Table1_1[[#This Row],[Amount]]&gt;Table1_1[[#This Row],[Monthly Budget]], "Over Budget", "OK"), "-")</f>
        <v>OK</v>
      </c>
      <c r="J100">
        <f>IF(Table1_1[[#This Row],[Type]]="Income", Table1_1[[#This Row],[Amount]], -Table1_1[[#This Row],[Amount]])</f>
        <v>-97.73</v>
      </c>
    </row>
    <row r="101" spans="1:10" x14ac:dyDescent="0.25">
      <c r="A101" s="1">
        <v>43987</v>
      </c>
      <c r="B101" t="s">
        <v>116</v>
      </c>
      <c r="C101" t="s">
        <v>9</v>
      </c>
      <c r="D101" s="2">
        <v>1277.8599999999999</v>
      </c>
      <c r="E101" t="s">
        <v>7</v>
      </c>
      <c r="F101" t="s">
        <v>1524</v>
      </c>
      <c r="G101">
        <v>2020</v>
      </c>
      <c r="H101">
        <f>IF(Table1_1[[#This Row],[Type]]="Expense", _xlfn.XLOOKUP(Table1_1[[#This Row],[Category]], Budget_Ref[Category], Budget_Ref[Monthly Budget], 0), 0)</f>
        <v>150</v>
      </c>
      <c r="I101" t="str">
        <f>IF(Table1_1[[#This Row],[Type]]="Expense", IF(Table1_1[[#This Row],[Amount]]&gt;Table1_1[[#This Row],[Monthly Budget]], "Over Budget", "OK"), "-")</f>
        <v>Over Budget</v>
      </c>
      <c r="J101">
        <f>IF(Table1_1[[#This Row],[Type]]="Income", Table1_1[[#This Row],[Amount]], -Table1_1[[#This Row],[Amount]])</f>
        <v>-1277.8599999999999</v>
      </c>
    </row>
    <row r="102" spans="1:10" x14ac:dyDescent="0.25">
      <c r="A102" s="1">
        <v>43988</v>
      </c>
      <c r="B102" t="s">
        <v>117</v>
      </c>
      <c r="C102" t="s">
        <v>27</v>
      </c>
      <c r="D102" s="2">
        <v>1107.8399999999999</v>
      </c>
      <c r="E102" t="s">
        <v>14</v>
      </c>
      <c r="F102" t="s">
        <v>1524</v>
      </c>
      <c r="G102">
        <v>2020</v>
      </c>
      <c r="H102">
        <f>IF(Table1_1[[#This Row],[Type]]="Expense", _xlfn.XLOOKUP(Table1_1[[#This Row],[Category]], Budget_Ref[Category], Budget_Ref[Monthly Budget], 0), 0)</f>
        <v>0</v>
      </c>
      <c r="I102" t="str">
        <f>IF(Table1_1[[#This Row],[Type]]="Expense", IF(Table1_1[[#This Row],[Amount]]&gt;Table1_1[[#This Row],[Monthly Budget]], "Over Budget", "OK"), "-")</f>
        <v>-</v>
      </c>
      <c r="J102">
        <f>IF(Table1_1[[#This Row],[Type]]="Income", Table1_1[[#This Row],[Amount]], -Table1_1[[#This Row],[Amount]])</f>
        <v>1107.8399999999999</v>
      </c>
    </row>
    <row r="103" spans="1:10" x14ac:dyDescent="0.25">
      <c r="A103" s="1">
        <v>43989</v>
      </c>
      <c r="B103" t="s">
        <v>118</v>
      </c>
      <c r="C103" t="s">
        <v>6</v>
      </c>
      <c r="D103" s="2">
        <v>232.63</v>
      </c>
      <c r="E103" t="s">
        <v>7</v>
      </c>
      <c r="F103" t="s">
        <v>1524</v>
      </c>
      <c r="G103">
        <v>2020</v>
      </c>
      <c r="H103">
        <f>IF(Table1_1[[#This Row],[Type]]="Expense", _xlfn.XLOOKUP(Table1_1[[#This Row],[Category]], Budget_Ref[Category], Budget_Ref[Monthly Budget], 0), 0)</f>
        <v>500</v>
      </c>
      <c r="I103" t="str">
        <f>IF(Table1_1[[#This Row],[Type]]="Expense", IF(Table1_1[[#This Row],[Amount]]&gt;Table1_1[[#This Row],[Monthly Budget]], "Over Budget", "OK"), "-")</f>
        <v>OK</v>
      </c>
      <c r="J103">
        <f>IF(Table1_1[[#This Row],[Type]]="Income", Table1_1[[#This Row],[Amount]], -Table1_1[[#This Row],[Amount]])</f>
        <v>-232.63</v>
      </c>
    </row>
    <row r="104" spans="1:10" x14ac:dyDescent="0.25">
      <c r="A104" s="1">
        <v>43990</v>
      </c>
      <c r="B104" t="s">
        <v>119</v>
      </c>
      <c r="C104" t="s">
        <v>9</v>
      </c>
      <c r="D104" s="2">
        <v>1095.72</v>
      </c>
      <c r="E104" t="s">
        <v>7</v>
      </c>
      <c r="F104" t="s">
        <v>1524</v>
      </c>
      <c r="G104">
        <v>2020</v>
      </c>
      <c r="H104">
        <f>IF(Table1_1[[#This Row],[Type]]="Expense", _xlfn.XLOOKUP(Table1_1[[#This Row],[Category]], Budget_Ref[Category], Budget_Ref[Monthly Budget], 0), 0)</f>
        <v>150</v>
      </c>
      <c r="I104" t="str">
        <f>IF(Table1_1[[#This Row],[Type]]="Expense", IF(Table1_1[[#This Row],[Amount]]&gt;Table1_1[[#This Row],[Monthly Budget]], "Over Budget", "OK"), "-")</f>
        <v>Over Budget</v>
      </c>
      <c r="J104">
        <f>IF(Table1_1[[#This Row],[Type]]="Income", Table1_1[[#This Row],[Amount]], -Table1_1[[#This Row],[Amount]])</f>
        <v>-1095.72</v>
      </c>
    </row>
    <row r="105" spans="1:10" x14ac:dyDescent="0.25">
      <c r="A105" s="1">
        <v>43991</v>
      </c>
      <c r="B105" t="s">
        <v>120</v>
      </c>
      <c r="C105" t="s">
        <v>9</v>
      </c>
      <c r="D105" s="2">
        <v>865.28</v>
      </c>
      <c r="E105" t="s">
        <v>7</v>
      </c>
      <c r="F105" t="s">
        <v>1524</v>
      </c>
      <c r="G105">
        <v>2020</v>
      </c>
      <c r="H105">
        <f>IF(Table1_1[[#This Row],[Type]]="Expense", _xlfn.XLOOKUP(Table1_1[[#This Row],[Category]], Budget_Ref[Category], Budget_Ref[Monthly Budget], 0), 0)</f>
        <v>150</v>
      </c>
      <c r="I105" t="str">
        <f>IF(Table1_1[[#This Row],[Type]]="Expense", IF(Table1_1[[#This Row],[Amount]]&gt;Table1_1[[#This Row],[Monthly Budget]], "Over Budget", "OK"), "-")</f>
        <v>Over Budget</v>
      </c>
      <c r="J105">
        <f>IF(Table1_1[[#This Row],[Type]]="Income", Table1_1[[#This Row],[Amount]], -Table1_1[[#This Row],[Amount]])</f>
        <v>-865.28</v>
      </c>
    </row>
    <row r="106" spans="1:10" x14ac:dyDescent="0.25">
      <c r="A106" s="1">
        <v>43991</v>
      </c>
      <c r="B106" t="s">
        <v>121</v>
      </c>
      <c r="C106" t="s">
        <v>20</v>
      </c>
      <c r="D106" s="2">
        <v>826</v>
      </c>
      <c r="E106" t="s">
        <v>14</v>
      </c>
      <c r="F106" t="s">
        <v>1524</v>
      </c>
      <c r="G106">
        <v>2020</v>
      </c>
      <c r="H106">
        <f>IF(Table1_1[[#This Row],[Type]]="Expense", _xlfn.XLOOKUP(Table1_1[[#This Row],[Category]], Budget_Ref[Category], Budget_Ref[Monthly Budget], 0), 0)</f>
        <v>0</v>
      </c>
      <c r="I106" t="str">
        <f>IF(Table1_1[[#This Row],[Type]]="Expense", IF(Table1_1[[#This Row],[Amount]]&gt;Table1_1[[#This Row],[Monthly Budget]], "Over Budget", "OK"), "-")</f>
        <v>-</v>
      </c>
      <c r="J106">
        <f>IF(Table1_1[[#This Row],[Type]]="Income", Table1_1[[#This Row],[Amount]], -Table1_1[[#This Row],[Amount]])</f>
        <v>826</v>
      </c>
    </row>
    <row r="107" spans="1:10" x14ac:dyDescent="0.25">
      <c r="A107" s="1">
        <v>43992</v>
      </c>
      <c r="B107" t="s">
        <v>122</v>
      </c>
      <c r="C107" t="s">
        <v>22</v>
      </c>
      <c r="D107" s="2">
        <v>1367.31</v>
      </c>
      <c r="E107" t="s">
        <v>7</v>
      </c>
      <c r="F107" t="s">
        <v>1524</v>
      </c>
      <c r="G107">
        <v>2020</v>
      </c>
      <c r="H107">
        <f>IF(Table1_1[[#This Row],[Type]]="Expense", _xlfn.XLOOKUP(Table1_1[[#This Row],[Category]], Budget_Ref[Category], Budget_Ref[Monthly Budget], 0), 0)</f>
        <v>200</v>
      </c>
      <c r="I107" t="str">
        <f>IF(Table1_1[[#This Row],[Type]]="Expense", IF(Table1_1[[#This Row],[Amount]]&gt;Table1_1[[#This Row],[Monthly Budget]], "Over Budget", "OK"), "-")</f>
        <v>Over Budget</v>
      </c>
      <c r="J107">
        <f>IF(Table1_1[[#This Row],[Type]]="Income", Table1_1[[#This Row],[Amount]], -Table1_1[[#This Row],[Amount]])</f>
        <v>-1367.31</v>
      </c>
    </row>
    <row r="108" spans="1:10" x14ac:dyDescent="0.25">
      <c r="A108" s="1">
        <v>43992</v>
      </c>
      <c r="B108" t="s">
        <v>123</v>
      </c>
      <c r="C108" t="s">
        <v>25</v>
      </c>
      <c r="D108" s="2">
        <v>1562.43</v>
      </c>
      <c r="E108" t="s">
        <v>7</v>
      </c>
      <c r="F108" t="s">
        <v>1524</v>
      </c>
      <c r="G108">
        <v>2020</v>
      </c>
      <c r="H108">
        <f>IF(Table1_1[[#This Row],[Type]]="Expense", _xlfn.XLOOKUP(Table1_1[[#This Row],[Category]], Budget_Ref[Category], Budget_Ref[Monthly Budget], 0), 0)</f>
        <v>150</v>
      </c>
      <c r="I108" t="str">
        <f>IF(Table1_1[[#This Row],[Type]]="Expense", IF(Table1_1[[#This Row],[Amount]]&gt;Table1_1[[#This Row],[Monthly Budget]], "Over Budget", "OK"), "-")</f>
        <v>Over Budget</v>
      </c>
      <c r="J108">
        <f>IF(Table1_1[[#This Row],[Type]]="Income", Table1_1[[#This Row],[Amount]], -Table1_1[[#This Row],[Amount]])</f>
        <v>-1562.43</v>
      </c>
    </row>
    <row r="109" spans="1:10" x14ac:dyDescent="0.25">
      <c r="A109" s="1">
        <v>43993</v>
      </c>
      <c r="B109" t="s">
        <v>124</v>
      </c>
      <c r="C109" t="s">
        <v>17</v>
      </c>
      <c r="D109" s="2">
        <v>1947.94</v>
      </c>
      <c r="E109" t="s">
        <v>7</v>
      </c>
      <c r="F109" t="s">
        <v>1524</v>
      </c>
      <c r="G109">
        <v>2020</v>
      </c>
      <c r="H109">
        <f>IF(Table1_1[[#This Row],[Type]]="Expense", _xlfn.XLOOKUP(Table1_1[[#This Row],[Category]], Budget_Ref[Category], Budget_Ref[Monthly Budget], 0), 0)</f>
        <v>300</v>
      </c>
      <c r="I109" t="str">
        <f>IF(Table1_1[[#This Row],[Type]]="Expense", IF(Table1_1[[#This Row],[Amount]]&gt;Table1_1[[#This Row],[Monthly Budget]], "Over Budget", "OK"), "-")</f>
        <v>Over Budget</v>
      </c>
      <c r="J109">
        <f>IF(Table1_1[[#This Row],[Type]]="Income", Table1_1[[#This Row],[Amount]], -Table1_1[[#This Row],[Amount]])</f>
        <v>-1947.94</v>
      </c>
    </row>
    <row r="110" spans="1:10" x14ac:dyDescent="0.25">
      <c r="A110" s="1">
        <v>43993</v>
      </c>
      <c r="B110" t="s">
        <v>125</v>
      </c>
      <c r="C110" t="s">
        <v>22</v>
      </c>
      <c r="D110" s="2">
        <v>1730.57</v>
      </c>
      <c r="E110" t="s">
        <v>7</v>
      </c>
      <c r="F110" t="s">
        <v>1524</v>
      </c>
      <c r="G110">
        <v>2020</v>
      </c>
      <c r="H110">
        <f>IF(Table1_1[[#This Row],[Type]]="Expense", _xlfn.XLOOKUP(Table1_1[[#This Row],[Category]], Budget_Ref[Category], Budget_Ref[Monthly Budget], 0), 0)</f>
        <v>200</v>
      </c>
      <c r="I110" t="str">
        <f>IF(Table1_1[[#This Row],[Type]]="Expense", IF(Table1_1[[#This Row],[Amount]]&gt;Table1_1[[#This Row],[Monthly Budget]], "Over Budget", "OK"), "-")</f>
        <v>Over Budget</v>
      </c>
      <c r="J110">
        <f>IF(Table1_1[[#This Row],[Type]]="Income", Table1_1[[#This Row],[Amount]], -Table1_1[[#This Row],[Amount]])</f>
        <v>-1730.57</v>
      </c>
    </row>
    <row r="111" spans="1:10" x14ac:dyDescent="0.25">
      <c r="A111" s="1">
        <v>43994</v>
      </c>
      <c r="B111" t="s">
        <v>126</v>
      </c>
      <c r="C111" t="s">
        <v>9</v>
      </c>
      <c r="D111" s="2">
        <v>1764.02</v>
      </c>
      <c r="E111" t="s">
        <v>7</v>
      </c>
      <c r="F111" t="s">
        <v>1524</v>
      </c>
      <c r="G111">
        <v>2020</v>
      </c>
      <c r="H111">
        <f>IF(Table1_1[[#This Row],[Type]]="Expense", _xlfn.XLOOKUP(Table1_1[[#This Row],[Category]], Budget_Ref[Category], Budget_Ref[Monthly Budget], 0), 0)</f>
        <v>150</v>
      </c>
      <c r="I111" t="str">
        <f>IF(Table1_1[[#This Row],[Type]]="Expense", IF(Table1_1[[#This Row],[Amount]]&gt;Table1_1[[#This Row],[Monthly Budget]], "Over Budget", "OK"), "-")</f>
        <v>Over Budget</v>
      </c>
      <c r="J111">
        <f>IF(Table1_1[[#This Row],[Type]]="Income", Table1_1[[#This Row],[Amount]], -Table1_1[[#This Row],[Amount]])</f>
        <v>-1764.02</v>
      </c>
    </row>
    <row r="112" spans="1:10" x14ac:dyDescent="0.25">
      <c r="A112" s="1">
        <v>43996</v>
      </c>
      <c r="B112" t="s">
        <v>127</v>
      </c>
      <c r="C112" t="s">
        <v>20</v>
      </c>
      <c r="D112" s="2">
        <v>3872</v>
      </c>
      <c r="E112" t="s">
        <v>14</v>
      </c>
      <c r="F112" t="s">
        <v>1524</v>
      </c>
      <c r="G112">
        <v>2020</v>
      </c>
      <c r="H112">
        <f>IF(Table1_1[[#This Row],[Type]]="Expense", _xlfn.XLOOKUP(Table1_1[[#This Row],[Category]], Budget_Ref[Category], Budget_Ref[Monthly Budget], 0), 0)</f>
        <v>0</v>
      </c>
      <c r="I112" t="str">
        <f>IF(Table1_1[[#This Row],[Type]]="Expense", IF(Table1_1[[#This Row],[Amount]]&gt;Table1_1[[#This Row],[Monthly Budget]], "Over Budget", "OK"), "-")</f>
        <v>-</v>
      </c>
      <c r="J112">
        <f>IF(Table1_1[[#This Row],[Type]]="Income", Table1_1[[#This Row],[Amount]], -Table1_1[[#This Row],[Amount]])</f>
        <v>3872</v>
      </c>
    </row>
    <row r="113" spans="1:10" x14ac:dyDescent="0.25">
      <c r="A113" s="1">
        <v>43997</v>
      </c>
      <c r="B113" t="s">
        <v>128</v>
      </c>
      <c r="C113" t="s">
        <v>22</v>
      </c>
      <c r="D113" s="2">
        <v>540.94000000000005</v>
      </c>
      <c r="E113" t="s">
        <v>7</v>
      </c>
      <c r="F113" t="s">
        <v>1524</v>
      </c>
      <c r="G113">
        <v>2020</v>
      </c>
      <c r="H113">
        <f>IF(Table1_1[[#This Row],[Type]]="Expense", _xlfn.XLOOKUP(Table1_1[[#This Row],[Category]], Budget_Ref[Category], Budget_Ref[Monthly Budget], 0), 0)</f>
        <v>200</v>
      </c>
      <c r="I113" t="str">
        <f>IF(Table1_1[[#This Row],[Type]]="Expense", IF(Table1_1[[#This Row],[Amount]]&gt;Table1_1[[#This Row],[Monthly Budget]], "Over Budget", "OK"), "-")</f>
        <v>Over Budget</v>
      </c>
      <c r="J113">
        <f>IF(Table1_1[[#This Row],[Type]]="Income", Table1_1[[#This Row],[Amount]], -Table1_1[[#This Row],[Amount]])</f>
        <v>-540.94000000000005</v>
      </c>
    </row>
    <row r="114" spans="1:10" x14ac:dyDescent="0.25">
      <c r="A114" s="1">
        <v>44000</v>
      </c>
      <c r="B114" t="s">
        <v>129</v>
      </c>
      <c r="C114" t="s">
        <v>11</v>
      </c>
      <c r="D114" s="2">
        <v>771.26</v>
      </c>
      <c r="E114" t="s">
        <v>7</v>
      </c>
      <c r="F114" t="s">
        <v>1524</v>
      </c>
      <c r="G114">
        <v>2020</v>
      </c>
      <c r="H114">
        <f>IF(Table1_1[[#This Row],[Type]]="Expense", _xlfn.XLOOKUP(Table1_1[[#This Row],[Category]], Budget_Ref[Category], Budget_Ref[Monthly Budget], 0), 0)</f>
        <v>1500</v>
      </c>
      <c r="I114" t="str">
        <f>IF(Table1_1[[#This Row],[Type]]="Expense", IF(Table1_1[[#This Row],[Amount]]&gt;Table1_1[[#This Row],[Monthly Budget]], "Over Budget", "OK"), "-")</f>
        <v>OK</v>
      </c>
      <c r="J114">
        <f>IF(Table1_1[[#This Row],[Type]]="Income", Table1_1[[#This Row],[Amount]], -Table1_1[[#This Row],[Amount]])</f>
        <v>-771.26</v>
      </c>
    </row>
    <row r="115" spans="1:10" x14ac:dyDescent="0.25">
      <c r="A115" s="1">
        <v>44000</v>
      </c>
      <c r="B115" t="s">
        <v>130</v>
      </c>
      <c r="C115" t="s">
        <v>20</v>
      </c>
      <c r="D115" s="2">
        <v>2322</v>
      </c>
      <c r="E115" t="s">
        <v>14</v>
      </c>
      <c r="F115" t="s">
        <v>1524</v>
      </c>
      <c r="G115">
        <v>2020</v>
      </c>
      <c r="H115">
        <f>IF(Table1_1[[#This Row],[Type]]="Expense", _xlfn.XLOOKUP(Table1_1[[#This Row],[Category]], Budget_Ref[Category], Budget_Ref[Monthly Budget], 0), 0)</f>
        <v>0</v>
      </c>
      <c r="I115" t="str">
        <f>IF(Table1_1[[#This Row],[Type]]="Expense", IF(Table1_1[[#This Row],[Amount]]&gt;Table1_1[[#This Row],[Monthly Budget]], "Over Budget", "OK"), "-")</f>
        <v>-</v>
      </c>
      <c r="J115">
        <f>IF(Table1_1[[#This Row],[Type]]="Income", Table1_1[[#This Row],[Amount]], -Table1_1[[#This Row],[Amount]])</f>
        <v>2322</v>
      </c>
    </row>
    <row r="116" spans="1:10" x14ac:dyDescent="0.25">
      <c r="A116" s="1">
        <v>44000</v>
      </c>
      <c r="B116" t="s">
        <v>131</v>
      </c>
      <c r="C116" t="s">
        <v>20</v>
      </c>
      <c r="D116" s="2">
        <v>3364</v>
      </c>
      <c r="E116" t="s">
        <v>14</v>
      </c>
      <c r="F116" t="s">
        <v>1524</v>
      </c>
      <c r="G116">
        <v>2020</v>
      </c>
      <c r="H116">
        <f>IF(Table1_1[[#This Row],[Type]]="Expense", _xlfn.XLOOKUP(Table1_1[[#This Row],[Category]], Budget_Ref[Category], Budget_Ref[Monthly Budget], 0), 0)</f>
        <v>0</v>
      </c>
      <c r="I116" t="str">
        <f>IF(Table1_1[[#This Row],[Type]]="Expense", IF(Table1_1[[#This Row],[Amount]]&gt;Table1_1[[#This Row],[Monthly Budget]], "Over Budget", "OK"), "-")</f>
        <v>-</v>
      </c>
      <c r="J116">
        <f>IF(Table1_1[[#This Row],[Type]]="Income", Table1_1[[#This Row],[Amount]], -Table1_1[[#This Row],[Amount]])</f>
        <v>3364</v>
      </c>
    </row>
    <row r="117" spans="1:10" x14ac:dyDescent="0.25">
      <c r="A117" s="1">
        <v>44001</v>
      </c>
      <c r="B117" t="s">
        <v>132</v>
      </c>
      <c r="C117" t="s">
        <v>22</v>
      </c>
      <c r="D117" s="2">
        <v>453.62</v>
      </c>
      <c r="E117" t="s">
        <v>7</v>
      </c>
      <c r="F117" t="s">
        <v>1524</v>
      </c>
      <c r="G117">
        <v>2020</v>
      </c>
      <c r="H117">
        <f>IF(Table1_1[[#This Row],[Type]]="Expense", _xlfn.XLOOKUP(Table1_1[[#This Row],[Category]], Budget_Ref[Category], Budget_Ref[Monthly Budget], 0), 0)</f>
        <v>200</v>
      </c>
      <c r="I117" t="str">
        <f>IF(Table1_1[[#This Row],[Type]]="Expense", IF(Table1_1[[#This Row],[Amount]]&gt;Table1_1[[#This Row],[Monthly Budget]], "Over Budget", "OK"), "-")</f>
        <v>Over Budget</v>
      </c>
      <c r="J117">
        <f>IF(Table1_1[[#This Row],[Type]]="Income", Table1_1[[#This Row],[Amount]], -Table1_1[[#This Row],[Amount]])</f>
        <v>-453.62</v>
      </c>
    </row>
    <row r="118" spans="1:10" x14ac:dyDescent="0.25">
      <c r="A118" s="1">
        <v>44001</v>
      </c>
      <c r="B118" t="s">
        <v>133</v>
      </c>
      <c r="C118" t="s">
        <v>17</v>
      </c>
      <c r="D118" s="2">
        <v>663.24</v>
      </c>
      <c r="E118" t="s">
        <v>7</v>
      </c>
      <c r="F118" t="s">
        <v>1524</v>
      </c>
      <c r="G118">
        <v>2020</v>
      </c>
      <c r="H118">
        <f>IF(Table1_1[[#This Row],[Type]]="Expense", _xlfn.XLOOKUP(Table1_1[[#This Row],[Category]], Budget_Ref[Category], Budget_Ref[Monthly Budget], 0), 0)</f>
        <v>300</v>
      </c>
      <c r="I118" t="str">
        <f>IF(Table1_1[[#This Row],[Type]]="Expense", IF(Table1_1[[#This Row],[Amount]]&gt;Table1_1[[#This Row],[Monthly Budget]], "Over Budget", "OK"), "-")</f>
        <v>Over Budget</v>
      </c>
      <c r="J118">
        <f>IF(Table1_1[[#This Row],[Type]]="Income", Table1_1[[#This Row],[Amount]], -Table1_1[[#This Row],[Amount]])</f>
        <v>-663.24</v>
      </c>
    </row>
    <row r="119" spans="1:10" x14ac:dyDescent="0.25">
      <c r="A119" s="1">
        <v>44003</v>
      </c>
      <c r="B119" t="s">
        <v>134</v>
      </c>
      <c r="C119" t="s">
        <v>35</v>
      </c>
      <c r="D119" s="2">
        <v>708.78</v>
      </c>
      <c r="E119" t="s">
        <v>7</v>
      </c>
      <c r="F119" t="s">
        <v>1524</v>
      </c>
      <c r="G119">
        <v>2020</v>
      </c>
      <c r="H119">
        <f>IF(Table1_1[[#This Row],[Type]]="Expense", _xlfn.XLOOKUP(Table1_1[[#This Row],[Category]], Budget_Ref[Category], Budget_Ref[Monthly Budget], 0), 0)</f>
        <v>200</v>
      </c>
      <c r="I119" t="str">
        <f>IF(Table1_1[[#This Row],[Type]]="Expense", IF(Table1_1[[#This Row],[Amount]]&gt;Table1_1[[#This Row],[Monthly Budget]], "Over Budget", "OK"), "-")</f>
        <v>Over Budget</v>
      </c>
      <c r="J119">
        <f>IF(Table1_1[[#This Row],[Type]]="Income", Table1_1[[#This Row],[Amount]], -Table1_1[[#This Row],[Amount]])</f>
        <v>-708.78</v>
      </c>
    </row>
    <row r="120" spans="1:10" x14ac:dyDescent="0.25">
      <c r="A120" s="1">
        <v>44003</v>
      </c>
      <c r="B120" t="s">
        <v>135</v>
      </c>
      <c r="C120" t="s">
        <v>25</v>
      </c>
      <c r="D120" s="2">
        <v>1879.08</v>
      </c>
      <c r="E120" t="s">
        <v>7</v>
      </c>
      <c r="F120" t="s">
        <v>1524</v>
      </c>
      <c r="G120">
        <v>2020</v>
      </c>
      <c r="H120">
        <f>IF(Table1_1[[#This Row],[Type]]="Expense", _xlfn.XLOOKUP(Table1_1[[#This Row],[Category]], Budget_Ref[Category], Budget_Ref[Monthly Budget], 0), 0)</f>
        <v>150</v>
      </c>
      <c r="I120" t="str">
        <f>IF(Table1_1[[#This Row],[Type]]="Expense", IF(Table1_1[[#This Row],[Amount]]&gt;Table1_1[[#This Row],[Monthly Budget]], "Over Budget", "OK"), "-")</f>
        <v>Over Budget</v>
      </c>
      <c r="J120">
        <f>IF(Table1_1[[#This Row],[Type]]="Income", Table1_1[[#This Row],[Amount]], -Table1_1[[#This Row],[Amount]])</f>
        <v>-1879.08</v>
      </c>
    </row>
    <row r="121" spans="1:10" x14ac:dyDescent="0.25">
      <c r="A121" s="1">
        <v>44004</v>
      </c>
      <c r="B121" t="s">
        <v>136</v>
      </c>
      <c r="C121" t="s">
        <v>20</v>
      </c>
      <c r="D121" s="2">
        <v>1962</v>
      </c>
      <c r="E121" t="s">
        <v>14</v>
      </c>
      <c r="F121" t="s">
        <v>1524</v>
      </c>
      <c r="G121">
        <v>2020</v>
      </c>
      <c r="H121">
        <f>IF(Table1_1[[#This Row],[Type]]="Expense", _xlfn.XLOOKUP(Table1_1[[#This Row],[Category]], Budget_Ref[Category], Budget_Ref[Monthly Budget], 0), 0)</f>
        <v>0</v>
      </c>
      <c r="I121" t="str">
        <f>IF(Table1_1[[#This Row],[Type]]="Expense", IF(Table1_1[[#This Row],[Amount]]&gt;Table1_1[[#This Row],[Monthly Budget]], "Over Budget", "OK"), "-")</f>
        <v>-</v>
      </c>
      <c r="J121">
        <f>IF(Table1_1[[#This Row],[Type]]="Income", Table1_1[[#This Row],[Amount]], -Table1_1[[#This Row],[Amount]])</f>
        <v>1962</v>
      </c>
    </row>
    <row r="122" spans="1:10" x14ac:dyDescent="0.25">
      <c r="A122" s="1">
        <v>44004</v>
      </c>
      <c r="B122" t="s">
        <v>137</v>
      </c>
      <c r="C122" t="s">
        <v>35</v>
      </c>
      <c r="D122" s="2">
        <v>86.13</v>
      </c>
      <c r="E122" t="s">
        <v>7</v>
      </c>
      <c r="F122" t="s">
        <v>1524</v>
      </c>
      <c r="G122">
        <v>2020</v>
      </c>
      <c r="H122">
        <f>IF(Table1_1[[#This Row],[Type]]="Expense", _xlfn.XLOOKUP(Table1_1[[#This Row],[Category]], Budget_Ref[Category], Budget_Ref[Monthly Budget], 0), 0)</f>
        <v>200</v>
      </c>
      <c r="I122" t="str">
        <f>IF(Table1_1[[#This Row],[Type]]="Expense", IF(Table1_1[[#This Row],[Amount]]&gt;Table1_1[[#This Row],[Monthly Budget]], "Over Budget", "OK"), "-")</f>
        <v>OK</v>
      </c>
      <c r="J122">
        <f>IF(Table1_1[[#This Row],[Type]]="Income", Table1_1[[#This Row],[Amount]], -Table1_1[[#This Row],[Amount]])</f>
        <v>-86.13</v>
      </c>
    </row>
    <row r="123" spans="1:10" x14ac:dyDescent="0.25">
      <c r="A123" s="1">
        <v>44006</v>
      </c>
      <c r="B123" t="s">
        <v>138</v>
      </c>
      <c r="C123" t="s">
        <v>25</v>
      </c>
      <c r="D123" s="2">
        <v>1459.8</v>
      </c>
      <c r="E123" t="s">
        <v>7</v>
      </c>
      <c r="F123" t="s">
        <v>1524</v>
      </c>
      <c r="G123">
        <v>2020</v>
      </c>
      <c r="H123">
        <f>IF(Table1_1[[#This Row],[Type]]="Expense", _xlfn.XLOOKUP(Table1_1[[#This Row],[Category]], Budget_Ref[Category], Budget_Ref[Monthly Budget], 0), 0)</f>
        <v>150</v>
      </c>
      <c r="I123" t="str">
        <f>IF(Table1_1[[#This Row],[Type]]="Expense", IF(Table1_1[[#This Row],[Amount]]&gt;Table1_1[[#This Row],[Monthly Budget]], "Over Budget", "OK"), "-")</f>
        <v>Over Budget</v>
      </c>
      <c r="J123">
        <f>IF(Table1_1[[#This Row],[Type]]="Income", Table1_1[[#This Row],[Amount]], -Table1_1[[#This Row],[Amount]])</f>
        <v>-1459.8</v>
      </c>
    </row>
    <row r="124" spans="1:10" x14ac:dyDescent="0.25">
      <c r="A124" s="1">
        <v>44012</v>
      </c>
      <c r="B124" t="s">
        <v>139</v>
      </c>
      <c r="C124" t="s">
        <v>11</v>
      </c>
      <c r="D124" s="2">
        <v>776.54</v>
      </c>
      <c r="E124" t="s">
        <v>7</v>
      </c>
      <c r="F124" t="s">
        <v>1524</v>
      </c>
      <c r="G124">
        <v>2020</v>
      </c>
      <c r="H124">
        <f>IF(Table1_1[[#This Row],[Type]]="Expense", _xlfn.XLOOKUP(Table1_1[[#This Row],[Category]], Budget_Ref[Category], Budget_Ref[Monthly Budget], 0), 0)</f>
        <v>1500</v>
      </c>
      <c r="I124" t="str">
        <f>IF(Table1_1[[#This Row],[Type]]="Expense", IF(Table1_1[[#This Row],[Amount]]&gt;Table1_1[[#This Row],[Monthly Budget]], "Over Budget", "OK"), "-")</f>
        <v>OK</v>
      </c>
      <c r="J124">
        <f>IF(Table1_1[[#This Row],[Type]]="Income", Table1_1[[#This Row],[Amount]], -Table1_1[[#This Row],[Amount]])</f>
        <v>-776.54</v>
      </c>
    </row>
    <row r="125" spans="1:10" x14ac:dyDescent="0.25">
      <c r="A125" s="1">
        <v>44012</v>
      </c>
      <c r="B125" t="s">
        <v>140</v>
      </c>
      <c r="C125" t="s">
        <v>35</v>
      </c>
      <c r="D125" s="2">
        <v>98.33</v>
      </c>
      <c r="E125" t="s">
        <v>7</v>
      </c>
      <c r="F125" t="s">
        <v>1524</v>
      </c>
      <c r="G125">
        <v>2020</v>
      </c>
      <c r="H125">
        <f>IF(Table1_1[[#This Row],[Type]]="Expense", _xlfn.XLOOKUP(Table1_1[[#This Row],[Category]], Budget_Ref[Category], Budget_Ref[Monthly Budget], 0), 0)</f>
        <v>200</v>
      </c>
      <c r="I125" t="str">
        <f>IF(Table1_1[[#This Row],[Type]]="Expense", IF(Table1_1[[#This Row],[Amount]]&gt;Table1_1[[#This Row],[Monthly Budget]], "Over Budget", "OK"), "-")</f>
        <v>OK</v>
      </c>
      <c r="J125">
        <f>IF(Table1_1[[#This Row],[Type]]="Income", Table1_1[[#This Row],[Amount]], -Table1_1[[#This Row],[Amount]])</f>
        <v>-98.33</v>
      </c>
    </row>
    <row r="126" spans="1:10" x14ac:dyDescent="0.25">
      <c r="A126" s="1">
        <v>44014</v>
      </c>
      <c r="B126" t="s">
        <v>141</v>
      </c>
      <c r="C126" t="s">
        <v>22</v>
      </c>
      <c r="D126" s="2">
        <v>734.8</v>
      </c>
      <c r="E126" t="s">
        <v>7</v>
      </c>
      <c r="F126" t="s">
        <v>1525</v>
      </c>
      <c r="G126">
        <v>2020</v>
      </c>
      <c r="H126">
        <f>IF(Table1_1[[#This Row],[Type]]="Expense", _xlfn.XLOOKUP(Table1_1[[#This Row],[Category]], Budget_Ref[Category], Budget_Ref[Monthly Budget], 0), 0)</f>
        <v>200</v>
      </c>
      <c r="I126" t="str">
        <f>IF(Table1_1[[#This Row],[Type]]="Expense", IF(Table1_1[[#This Row],[Amount]]&gt;Table1_1[[#This Row],[Monthly Budget]], "Over Budget", "OK"), "-")</f>
        <v>Over Budget</v>
      </c>
      <c r="J126">
        <f>IF(Table1_1[[#This Row],[Type]]="Income", Table1_1[[#This Row],[Amount]], -Table1_1[[#This Row],[Amount]])</f>
        <v>-734.8</v>
      </c>
    </row>
    <row r="127" spans="1:10" x14ac:dyDescent="0.25">
      <c r="A127" s="1">
        <v>44015</v>
      </c>
      <c r="B127" t="s">
        <v>142</v>
      </c>
      <c r="C127" t="s">
        <v>20</v>
      </c>
      <c r="D127" s="2">
        <v>3071</v>
      </c>
      <c r="E127" t="s">
        <v>14</v>
      </c>
      <c r="F127" t="s">
        <v>1525</v>
      </c>
      <c r="G127">
        <v>2020</v>
      </c>
      <c r="H127">
        <f>IF(Table1_1[[#This Row],[Type]]="Expense", _xlfn.XLOOKUP(Table1_1[[#This Row],[Category]], Budget_Ref[Category], Budget_Ref[Monthly Budget], 0), 0)</f>
        <v>0</v>
      </c>
      <c r="I127" t="str">
        <f>IF(Table1_1[[#This Row],[Type]]="Expense", IF(Table1_1[[#This Row],[Amount]]&gt;Table1_1[[#This Row],[Monthly Budget]], "Over Budget", "OK"), "-")</f>
        <v>-</v>
      </c>
      <c r="J127">
        <f>IF(Table1_1[[#This Row],[Type]]="Income", Table1_1[[#This Row],[Amount]], -Table1_1[[#This Row],[Amount]])</f>
        <v>3071</v>
      </c>
    </row>
    <row r="128" spans="1:10" x14ac:dyDescent="0.25">
      <c r="A128" s="1">
        <v>44016</v>
      </c>
      <c r="B128" t="s">
        <v>143</v>
      </c>
      <c r="C128" t="s">
        <v>11</v>
      </c>
      <c r="D128" s="2">
        <v>1442.31</v>
      </c>
      <c r="E128" t="s">
        <v>7</v>
      </c>
      <c r="F128" t="s">
        <v>1525</v>
      </c>
      <c r="G128">
        <v>2020</v>
      </c>
      <c r="H128">
        <f>IF(Table1_1[[#This Row],[Type]]="Expense", _xlfn.XLOOKUP(Table1_1[[#This Row],[Category]], Budget_Ref[Category], Budget_Ref[Monthly Budget], 0), 0)</f>
        <v>1500</v>
      </c>
      <c r="I128" t="str">
        <f>IF(Table1_1[[#This Row],[Type]]="Expense", IF(Table1_1[[#This Row],[Amount]]&gt;Table1_1[[#This Row],[Monthly Budget]], "Over Budget", "OK"), "-")</f>
        <v>OK</v>
      </c>
      <c r="J128">
        <f>IF(Table1_1[[#This Row],[Type]]="Income", Table1_1[[#This Row],[Amount]], -Table1_1[[#This Row],[Amount]])</f>
        <v>-1442.31</v>
      </c>
    </row>
    <row r="129" spans="1:10" x14ac:dyDescent="0.25">
      <c r="A129" s="1">
        <v>44017</v>
      </c>
      <c r="B129" t="s">
        <v>144</v>
      </c>
      <c r="C129" t="s">
        <v>35</v>
      </c>
      <c r="D129" s="2">
        <v>1337.12</v>
      </c>
      <c r="E129" t="s">
        <v>7</v>
      </c>
      <c r="F129" t="s">
        <v>1525</v>
      </c>
      <c r="G129">
        <v>2020</v>
      </c>
      <c r="H129">
        <f>IF(Table1_1[[#This Row],[Type]]="Expense", _xlfn.XLOOKUP(Table1_1[[#This Row],[Category]], Budget_Ref[Category], Budget_Ref[Monthly Budget], 0), 0)</f>
        <v>200</v>
      </c>
      <c r="I129" t="str">
        <f>IF(Table1_1[[#This Row],[Type]]="Expense", IF(Table1_1[[#This Row],[Amount]]&gt;Table1_1[[#This Row],[Monthly Budget]], "Over Budget", "OK"), "-")</f>
        <v>Over Budget</v>
      </c>
      <c r="J129">
        <f>IF(Table1_1[[#This Row],[Type]]="Income", Table1_1[[#This Row],[Amount]], -Table1_1[[#This Row],[Amount]])</f>
        <v>-1337.12</v>
      </c>
    </row>
    <row r="130" spans="1:10" x14ac:dyDescent="0.25">
      <c r="A130" s="1">
        <v>44018</v>
      </c>
      <c r="B130" t="s">
        <v>145</v>
      </c>
      <c r="C130" t="s">
        <v>35</v>
      </c>
      <c r="D130" s="2">
        <v>1113.28</v>
      </c>
      <c r="E130" t="s">
        <v>7</v>
      </c>
      <c r="F130" t="s">
        <v>1525</v>
      </c>
      <c r="G130">
        <v>2020</v>
      </c>
      <c r="H130">
        <f>IF(Table1_1[[#This Row],[Type]]="Expense", _xlfn.XLOOKUP(Table1_1[[#This Row],[Category]], Budget_Ref[Category], Budget_Ref[Monthly Budget], 0), 0)</f>
        <v>200</v>
      </c>
      <c r="I130" t="str">
        <f>IF(Table1_1[[#This Row],[Type]]="Expense", IF(Table1_1[[#This Row],[Amount]]&gt;Table1_1[[#This Row],[Monthly Budget]], "Over Budget", "OK"), "-")</f>
        <v>Over Budget</v>
      </c>
      <c r="J130">
        <f>IF(Table1_1[[#This Row],[Type]]="Income", Table1_1[[#This Row],[Amount]], -Table1_1[[#This Row],[Amount]])</f>
        <v>-1113.28</v>
      </c>
    </row>
    <row r="131" spans="1:10" x14ac:dyDescent="0.25">
      <c r="A131" s="1">
        <v>44018</v>
      </c>
      <c r="B131" t="s">
        <v>146</v>
      </c>
      <c r="C131" t="s">
        <v>20</v>
      </c>
      <c r="D131" s="2">
        <v>1925</v>
      </c>
      <c r="E131" t="s">
        <v>14</v>
      </c>
      <c r="F131" t="s">
        <v>1525</v>
      </c>
      <c r="G131">
        <v>2020</v>
      </c>
      <c r="H131">
        <f>IF(Table1_1[[#This Row],[Type]]="Expense", _xlfn.XLOOKUP(Table1_1[[#This Row],[Category]], Budget_Ref[Category], Budget_Ref[Monthly Budget], 0), 0)</f>
        <v>0</v>
      </c>
      <c r="I131" t="str">
        <f>IF(Table1_1[[#This Row],[Type]]="Expense", IF(Table1_1[[#This Row],[Amount]]&gt;Table1_1[[#This Row],[Monthly Budget]], "Over Budget", "OK"), "-")</f>
        <v>-</v>
      </c>
      <c r="J131">
        <f>IF(Table1_1[[#This Row],[Type]]="Income", Table1_1[[#This Row],[Amount]], -Table1_1[[#This Row],[Amount]])</f>
        <v>1925</v>
      </c>
    </row>
    <row r="132" spans="1:10" x14ac:dyDescent="0.25">
      <c r="A132" s="1">
        <v>44020</v>
      </c>
      <c r="B132" t="s">
        <v>147</v>
      </c>
      <c r="C132" t="s">
        <v>35</v>
      </c>
      <c r="D132" s="2">
        <v>818.09</v>
      </c>
      <c r="E132" t="s">
        <v>7</v>
      </c>
      <c r="F132" t="s">
        <v>1525</v>
      </c>
      <c r="G132">
        <v>2020</v>
      </c>
      <c r="H132">
        <f>IF(Table1_1[[#This Row],[Type]]="Expense", _xlfn.XLOOKUP(Table1_1[[#This Row],[Category]], Budget_Ref[Category], Budget_Ref[Monthly Budget], 0), 0)</f>
        <v>200</v>
      </c>
      <c r="I132" t="str">
        <f>IF(Table1_1[[#This Row],[Type]]="Expense", IF(Table1_1[[#This Row],[Amount]]&gt;Table1_1[[#This Row],[Monthly Budget]], "Over Budget", "OK"), "-")</f>
        <v>Over Budget</v>
      </c>
      <c r="J132">
        <f>IF(Table1_1[[#This Row],[Type]]="Income", Table1_1[[#This Row],[Amount]], -Table1_1[[#This Row],[Amount]])</f>
        <v>-818.09</v>
      </c>
    </row>
    <row r="133" spans="1:10" x14ac:dyDescent="0.25">
      <c r="A133" s="1">
        <v>44023</v>
      </c>
      <c r="B133" t="s">
        <v>148</v>
      </c>
      <c r="C133" t="s">
        <v>35</v>
      </c>
      <c r="D133" s="2">
        <v>580.96</v>
      </c>
      <c r="E133" t="s">
        <v>7</v>
      </c>
      <c r="F133" t="s">
        <v>1525</v>
      </c>
      <c r="G133">
        <v>2020</v>
      </c>
      <c r="H133">
        <f>IF(Table1_1[[#This Row],[Type]]="Expense", _xlfn.XLOOKUP(Table1_1[[#This Row],[Category]], Budget_Ref[Category], Budget_Ref[Monthly Budget], 0), 0)</f>
        <v>200</v>
      </c>
      <c r="I133" t="str">
        <f>IF(Table1_1[[#This Row],[Type]]="Expense", IF(Table1_1[[#This Row],[Amount]]&gt;Table1_1[[#This Row],[Monthly Budget]], "Over Budget", "OK"), "-")</f>
        <v>Over Budget</v>
      </c>
      <c r="J133">
        <f>IF(Table1_1[[#This Row],[Type]]="Income", Table1_1[[#This Row],[Amount]], -Table1_1[[#This Row],[Amount]])</f>
        <v>-580.96</v>
      </c>
    </row>
    <row r="134" spans="1:10" x14ac:dyDescent="0.25">
      <c r="A134" s="1">
        <v>44024</v>
      </c>
      <c r="B134" t="s">
        <v>149</v>
      </c>
      <c r="C134" t="s">
        <v>25</v>
      </c>
      <c r="D134" s="2">
        <v>935.33</v>
      </c>
      <c r="E134" t="s">
        <v>7</v>
      </c>
      <c r="F134" t="s">
        <v>1525</v>
      </c>
      <c r="G134">
        <v>2020</v>
      </c>
      <c r="H134">
        <f>IF(Table1_1[[#This Row],[Type]]="Expense", _xlfn.XLOOKUP(Table1_1[[#This Row],[Category]], Budget_Ref[Category], Budget_Ref[Monthly Budget], 0), 0)</f>
        <v>150</v>
      </c>
      <c r="I134" t="str">
        <f>IF(Table1_1[[#This Row],[Type]]="Expense", IF(Table1_1[[#This Row],[Amount]]&gt;Table1_1[[#This Row],[Monthly Budget]], "Over Budget", "OK"), "-")</f>
        <v>Over Budget</v>
      </c>
      <c r="J134">
        <f>IF(Table1_1[[#This Row],[Type]]="Income", Table1_1[[#This Row],[Amount]], -Table1_1[[#This Row],[Amount]])</f>
        <v>-935.33</v>
      </c>
    </row>
    <row r="135" spans="1:10" x14ac:dyDescent="0.25">
      <c r="A135" s="1">
        <v>44024</v>
      </c>
      <c r="B135" t="s">
        <v>150</v>
      </c>
      <c r="C135" t="s">
        <v>22</v>
      </c>
      <c r="D135" s="2">
        <v>1027.24</v>
      </c>
      <c r="E135" t="s">
        <v>7</v>
      </c>
      <c r="F135" t="s">
        <v>1525</v>
      </c>
      <c r="G135">
        <v>2020</v>
      </c>
      <c r="H135">
        <f>IF(Table1_1[[#This Row],[Type]]="Expense", _xlfn.XLOOKUP(Table1_1[[#This Row],[Category]], Budget_Ref[Category], Budget_Ref[Monthly Budget], 0), 0)</f>
        <v>200</v>
      </c>
      <c r="I135" t="str">
        <f>IF(Table1_1[[#This Row],[Type]]="Expense", IF(Table1_1[[#This Row],[Amount]]&gt;Table1_1[[#This Row],[Monthly Budget]], "Over Budget", "OK"), "-")</f>
        <v>Over Budget</v>
      </c>
      <c r="J135">
        <f>IF(Table1_1[[#This Row],[Type]]="Income", Table1_1[[#This Row],[Amount]], -Table1_1[[#This Row],[Amount]])</f>
        <v>-1027.24</v>
      </c>
    </row>
    <row r="136" spans="1:10" x14ac:dyDescent="0.25">
      <c r="A136" s="1">
        <v>44025</v>
      </c>
      <c r="B136" t="s">
        <v>151</v>
      </c>
      <c r="C136" t="s">
        <v>9</v>
      </c>
      <c r="D136" s="2">
        <v>1321.11</v>
      </c>
      <c r="E136" t="s">
        <v>7</v>
      </c>
      <c r="F136" t="s">
        <v>1525</v>
      </c>
      <c r="G136">
        <v>2020</v>
      </c>
      <c r="H136">
        <f>IF(Table1_1[[#This Row],[Type]]="Expense", _xlfn.XLOOKUP(Table1_1[[#This Row],[Category]], Budget_Ref[Category], Budget_Ref[Monthly Budget], 0), 0)</f>
        <v>150</v>
      </c>
      <c r="I136" t="str">
        <f>IF(Table1_1[[#This Row],[Type]]="Expense", IF(Table1_1[[#This Row],[Amount]]&gt;Table1_1[[#This Row],[Monthly Budget]], "Over Budget", "OK"), "-")</f>
        <v>Over Budget</v>
      </c>
      <c r="J136">
        <f>IF(Table1_1[[#This Row],[Type]]="Income", Table1_1[[#This Row],[Amount]], -Table1_1[[#This Row],[Amount]])</f>
        <v>-1321.11</v>
      </c>
    </row>
    <row r="137" spans="1:10" x14ac:dyDescent="0.25">
      <c r="A137" s="1">
        <v>44029</v>
      </c>
      <c r="B137" t="s">
        <v>152</v>
      </c>
      <c r="C137" t="s">
        <v>25</v>
      </c>
      <c r="D137" s="2">
        <v>195.84</v>
      </c>
      <c r="E137" t="s">
        <v>7</v>
      </c>
      <c r="F137" t="s">
        <v>1525</v>
      </c>
      <c r="G137">
        <v>2020</v>
      </c>
      <c r="H137">
        <f>IF(Table1_1[[#This Row],[Type]]="Expense", _xlfn.XLOOKUP(Table1_1[[#This Row],[Category]], Budget_Ref[Category], Budget_Ref[Monthly Budget], 0), 0)</f>
        <v>150</v>
      </c>
      <c r="I137" t="str">
        <f>IF(Table1_1[[#This Row],[Type]]="Expense", IF(Table1_1[[#This Row],[Amount]]&gt;Table1_1[[#This Row],[Monthly Budget]], "Over Budget", "OK"), "-")</f>
        <v>Over Budget</v>
      </c>
      <c r="J137">
        <f>IF(Table1_1[[#This Row],[Type]]="Income", Table1_1[[#This Row],[Amount]], -Table1_1[[#This Row],[Amount]])</f>
        <v>-195.84</v>
      </c>
    </row>
    <row r="138" spans="1:10" x14ac:dyDescent="0.25">
      <c r="A138" s="1">
        <v>44032</v>
      </c>
      <c r="B138" t="s">
        <v>153</v>
      </c>
      <c r="C138" t="s">
        <v>22</v>
      </c>
      <c r="D138" s="2">
        <v>1348.86</v>
      </c>
      <c r="E138" t="s">
        <v>7</v>
      </c>
      <c r="F138" t="s">
        <v>1525</v>
      </c>
      <c r="G138">
        <v>2020</v>
      </c>
      <c r="H138">
        <f>IF(Table1_1[[#This Row],[Type]]="Expense", _xlfn.XLOOKUP(Table1_1[[#This Row],[Category]], Budget_Ref[Category], Budget_Ref[Monthly Budget], 0), 0)</f>
        <v>200</v>
      </c>
      <c r="I138" t="str">
        <f>IF(Table1_1[[#This Row],[Type]]="Expense", IF(Table1_1[[#This Row],[Amount]]&gt;Table1_1[[#This Row],[Monthly Budget]], "Over Budget", "OK"), "-")</f>
        <v>Over Budget</v>
      </c>
      <c r="J138">
        <f>IF(Table1_1[[#This Row],[Type]]="Income", Table1_1[[#This Row],[Amount]], -Table1_1[[#This Row],[Amount]])</f>
        <v>-1348.86</v>
      </c>
    </row>
    <row r="139" spans="1:10" x14ac:dyDescent="0.25">
      <c r="A139" s="1">
        <v>44033</v>
      </c>
      <c r="B139" t="s">
        <v>154</v>
      </c>
      <c r="C139" t="s">
        <v>22</v>
      </c>
      <c r="D139" s="2">
        <v>303.23</v>
      </c>
      <c r="E139" t="s">
        <v>7</v>
      </c>
      <c r="F139" t="s">
        <v>1525</v>
      </c>
      <c r="G139">
        <v>2020</v>
      </c>
      <c r="H139">
        <f>IF(Table1_1[[#This Row],[Type]]="Expense", _xlfn.XLOOKUP(Table1_1[[#This Row],[Category]], Budget_Ref[Category], Budget_Ref[Monthly Budget], 0), 0)</f>
        <v>200</v>
      </c>
      <c r="I139" t="str">
        <f>IF(Table1_1[[#This Row],[Type]]="Expense", IF(Table1_1[[#This Row],[Amount]]&gt;Table1_1[[#This Row],[Monthly Budget]], "Over Budget", "OK"), "-")</f>
        <v>Over Budget</v>
      </c>
      <c r="J139">
        <f>IF(Table1_1[[#This Row],[Type]]="Income", Table1_1[[#This Row],[Amount]], -Table1_1[[#This Row],[Amount]])</f>
        <v>-303.23</v>
      </c>
    </row>
    <row r="140" spans="1:10" x14ac:dyDescent="0.25">
      <c r="A140" s="1">
        <v>44033</v>
      </c>
      <c r="B140" t="s">
        <v>155</v>
      </c>
      <c r="C140" t="s">
        <v>20</v>
      </c>
      <c r="D140" s="2">
        <v>1096</v>
      </c>
      <c r="E140" t="s">
        <v>14</v>
      </c>
      <c r="F140" t="s">
        <v>1525</v>
      </c>
      <c r="G140">
        <v>2020</v>
      </c>
      <c r="H140">
        <f>IF(Table1_1[[#This Row],[Type]]="Expense", _xlfn.XLOOKUP(Table1_1[[#This Row],[Category]], Budget_Ref[Category], Budget_Ref[Monthly Budget], 0), 0)</f>
        <v>0</v>
      </c>
      <c r="I140" t="str">
        <f>IF(Table1_1[[#This Row],[Type]]="Expense", IF(Table1_1[[#This Row],[Amount]]&gt;Table1_1[[#This Row],[Monthly Budget]], "Over Budget", "OK"), "-")</f>
        <v>-</v>
      </c>
      <c r="J140">
        <f>IF(Table1_1[[#This Row],[Type]]="Income", Table1_1[[#This Row],[Amount]], -Table1_1[[#This Row],[Amount]])</f>
        <v>1096</v>
      </c>
    </row>
    <row r="141" spans="1:10" x14ac:dyDescent="0.25">
      <c r="A141" s="1">
        <v>44034</v>
      </c>
      <c r="B141" t="s">
        <v>156</v>
      </c>
      <c r="C141" t="s">
        <v>22</v>
      </c>
      <c r="D141" s="2">
        <v>1439.51</v>
      </c>
      <c r="E141" t="s">
        <v>7</v>
      </c>
      <c r="F141" t="s">
        <v>1525</v>
      </c>
      <c r="G141">
        <v>2020</v>
      </c>
      <c r="H141">
        <f>IF(Table1_1[[#This Row],[Type]]="Expense", _xlfn.XLOOKUP(Table1_1[[#This Row],[Category]], Budget_Ref[Category], Budget_Ref[Monthly Budget], 0), 0)</f>
        <v>200</v>
      </c>
      <c r="I141" t="str">
        <f>IF(Table1_1[[#This Row],[Type]]="Expense", IF(Table1_1[[#This Row],[Amount]]&gt;Table1_1[[#This Row],[Monthly Budget]], "Over Budget", "OK"), "-")</f>
        <v>Over Budget</v>
      </c>
      <c r="J141">
        <f>IF(Table1_1[[#This Row],[Type]]="Income", Table1_1[[#This Row],[Amount]], -Table1_1[[#This Row],[Amount]])</f>
        <v>-1439.51</v>
      </c>
    </row>
    <row r="142" spans="1:10" x14ac:dyDescent="0.25">
      <c r="A142" s="1">
        <v>44034</v>
      </c>
      <c r="B142" t="s">
        <v>157</v>
      </c>
      <c r="C142" t="s">
        <v>17</v>
      </c>
      <c r="D142" s="2">
        <v>495.53</v>
      </c>
      <c r="E142" t="s">
        <v>7</v>
      </c>
      <c r="F142" t="s">
        <v>1525</v>
      </c>
      <c r="G142">
        <v>2020</v>
      </c>
      <c r="H142">
        <f>IF(Table1_1[[#This Row],[Type]]="Expense", _xlfn.XLOOKUP(Table1_1[[#This Row],[Category]], Budget_Ref[Category], Budget_Ref[Monthly Budget], 0), 0)</f>
        <v>300</v>
      </c>
      <c r="I142" t="str">
        <f>IF(Table1_1[[#This Row],[Type]]="Expense", IF(Table1_1[[#This Row],[Amount]]&gt;Table1_1[[#This Row],[Monthly Budget]], "Over Budget", "OK"), "-")</f>
        <v>Over Budget</v>
      </c>
      <c r="J142">
        <f>IF(Table1_1[[#This Row],[Type]]="Income", Table1_1[[#This Row],[Amount]], -Table1_1[[#This Row],[Amount]])</f>
        <v>-495.53</v>
      </c>
    </row>
    <row r="143" spans="1:10" x14ac:dyDescent="0.25">
      <c r="A143" s="1">
        <v>44034</v>
      </c>
      <c r="B143" t="s">
        <v>158</v>
      </c>
      <c r="C143" t="s">
        <v>6</v>
      </c>
      <c r="D143" s="2">
        <v>1786.39</v>
      </c>
      <c r="E143" t="s">
        <v>7</v>
      </c>
      <c r="F143" t="s">
        <v>1525</v>
      </c>
      <c r="G143">
        <v>2020</v>
      </c>
      <c r="H143">
        <f>IF(Table1_1[[#This Row],[Type]]="Expense", _xlfn.XLOOKUP(Table1_1[[#This Row],[Category]], Budget_Ref[Category], Budget_Ref[Monthly Budget], 0), 0)</f>
        <v>500</v>
      </c>
      <c r="I143" t="str">
        <f>IF(Table1_1[[#This Row],[Type]]="Expense", IF(Table1_1[[#This Row],[Amount]]&gt;Table1_1[[#This Row],[Monthly Budget]], "Over Budget", "OK"), "-")</f>
        <v>Over Budget</v>
      </c>
      <c r="J143">
        <f>IF(Table1_1[[#This Row],[Type]]="Income", Table1_1[[#This Row],[Amount]], -Table1_1[[#This Row],[Amount]])</f>
        <v>-1786.39</v>
      </c>
    </row>
    <row r="144" spans="1:10" x14ac:dyDescent="0.25">
      <c r="A144" s="1">
        <v>44035</v>
      </c>
      <c r="B144" t="s">
        <v>159</v>
      </c>
      <c r="C144" t="s">
        <v>11</v>
      </c>
      <c r="D144" s="2">
        <v>1559.06</v>
      </c>
      <c r="E144" t="s">
        <v>7</v>
      </c>
      <c r="F144" t="s">
        <v>1525</v>
      </c>
      <c r="G144">
        <v>2020</v>
      </c>
      <c r="H144">
        <f>IF(Table1_1[[#This Row],[Type]]="Expense", _xlfn.XLOOKUP(Table1_1[[#This Row],[Category]], Budget_Ref[Category], Budget_Ref[Monthly Budget], 0), 0)</f>
        <v>1500</v>
      </c>
      <c r="I144" t="str">
        <f>IF(Table1_1[[#This Row],[Type]]="Expense", IF(Table1_1[[#This Row],[Amount]]&gt;Table1_1[[#This Row],[Monthly Budget]], "Over Budget", "OK"), "-")</f>
        <v>Over Budget</v>
      </c>
      <c r="J144">
        <f>IF(Table1_1[[#This Row],[Type]]="Income", Table1_1[[#This Row],[Amount]], -Table1_1[[#This Row],[Amount]])</f>
        <v>-1559.06</v>
      </c>
    </row>
    <row r="145" spans="1:10" x14ac:dyDescent="0.25">
      <c r="A145" s="1">
        <v>44036</v>
      </c>
      <c r="B145" t="s">
        <v>160</v>
      </c>
      <c r="C145" t="s">
        <v>27</v>
      </c>
      <c r="D145" s="2">
        <v>109.93</v>
      </c>
      <c r="E145" t="s">
        <v>14</v>
      </c>
      <c r="F145" t="s">
        <v>1525</v>
      </c>
      <c r="G145">
        <v>2020</v>
      </c>
      <c r="H145">
        <f>IF(Table1_1[[#This Row],[Type]]="Expense", _xlfn.XLOOKUP(Table1_1[[#This Row],[Category]], Budget_Ref[Category], Budget_Ref[Monthly Budget], 0), 0)</f>
        <v>0</v>
      </c>
      <c r="I145" t="str">
        <f>IF(Table1_1[[#This Row],[Type]]="Expense", IF(Table1_1[[#This Row],[Amount]]&gt;Table1_1[[#This Row],[Monthly Budget]], "Over Budget", "OK"), "-")</f>
        <v>-</v>
      </c>
      <c r="J145">
        <f>IF(Table1_1[[#This Row],[Type]]="Income", Table1_1[[#This Row],[Amount]], -Table1_1[[#This Row],[Amount]])</f>
        <v>109.93</v>
      </c>
    </row>
    <row r="146" spans="1:10" x14ac:dyDescent="0.25">
      <c r="A146" s="1">
        <v>44040</v>
      </c>
      <c r="B146" t="s">
        <v>161</v>
      </c>
      <c r="C146" t="s">
        <v>11</v>
      </c>
      <c r="D146" s="2">
        <v>918.36</v>
      </c>
      <c r="E146" t="s">
        <v>7</v>
      </c>
      <c r="F146" t="s">
        <v>1525</v>
      </c>
      <c r="G146">
        <v>2020</v>
      </c>
      <c r="H146">
        <f>IF(Table1_1[[#This Row],[Type]]="Expense", _xlfn.XLOOKUP(Table1_1[[#This Row],[Category]], Budget_Ref[Category], Budget_Ref[Monthly Budget], 0), 0)</f>
        <v>1500</v>
      </c>
      <c r="I146" t="str">
        <f>IF(Table1_1[[#This Row],[Type]]="Expense", IF(Table1_1[[#This Row],[Amount]]&gt;Table1_1[[#This Row],[Monthly Budget]], "Over Budget", "OK"), "-")</f>
        <v>OK</v>
      </c>
      <c r="J146">
        <f>IF(Table1_1[[#This Row],[Type]]="Income", Table1_1[[#This Row],[Amount]], -Table1_1[[#This Row],[Amount]])</f>
        <v>-918.36</v>
      </c>
    </row>
    <row r="147" spans="1:10" x14ac:dyDescent="0.25">
      <c r="A147" s="1">
        <v>44040</v>
      </c>
      <c r="B147" t="s">
        <v>162</v>
      </c>
      <c r="C147" t="s">
        <v>25</v>
      </c>
      <c r="D147" s="2">
        <v>1900.58</v>
      </c>
      <c r="E147" t="s">
        <v>7</v>
      </c>
      <c r="F147" t="s">
        <v>1525</v>
      </c>
      <c r="G147">
        <v>2020</v>
      </c>
      <c r="H147">
        <f>IF(Table1_1[[#This Row],[Type]]="Expense", _xlfn.XLOOKUP(Table1_1[[#This Row],[Category]], Budget_Ref[Category], Budget_Ref[Monthly Budget], 0), 0)</f>
        <v>150</v>
      </c>
      <c r="I147" t="str">
        <f>IF(Table1_1[[#This Row],[Type]]="Expense", IF(Table1_1[[#This Row],[Amount]]&gt;Table1_1[[#This Row],[Monthly Budget]], "Over Budget", "OK"), "-")</f>
        <v>Over Budget</v>
      </c>
      <c r="J147">
        <f>IF(Table1_1[[#This Row],[Type]]="Income", Table1_1[[#This Row],[Amount]], -Table1_1[[#This Row],[Amount]])</f>
        <v>-1900.58</v>
      </c>
    </row>
    <row r="148" spans="1:10" x14ac:dyDescent="0.25">
      <c r="A148" s="1">
        <v>44041</v>
      </c>
      <c r="B148" t="s">
        <v>163</v>
      </c>
      <c r="C148" t="s">
        <v>17</v>
      </c>
      <c r="D148" s="2">
        <v>1662.83</v>
      </c>
      <c r="E148" t="s">
        <v>7</v>
      </c>
      <c r="F148" t="s">
        <v>1525</v>
      </c>
      <c r="G148">
        <v>2020</v>
      </c>
      <c r="H148">
        <f>IF(Table1_1[[#This Row],[Type]]="Expense", _xlfn.XLOOKUP(Table1_1[[#This Row],[Category]], Budget_Ref[Category], Budget_Ref[Monthly Budget], 0), 0)</f>
        <v>300</v>
      </c>
      <c r="I148" t="str">
        <f>IF(Table1_1[[#This Row],[Type]]="Expense", IF(Table1_1[[#This Row],[Amount]]&gt;Table1_1[[#This Row],[Monthly Budget]], "Over Budget", "OK"), "-")</f>
        <v>Over Budget</v>
      </c>
      <c r="J148">
        <f>IF(Table1_1[[#This Row],[Type]]="Income", Table1_1[[#This Row],[Amount]], -Table1_1[[#This Row],[Amount]])</f>
        <v>-1662.83</v>
      </c>
    </row>
    <row r="149" spans="1:10" x14ac:dyDescent="0.25">
      <c r="A149" s="1">
        <v>44042</v>
      </c>
      <c r="B149" t="s">
        <v>164</v>
      </c>
      <c r="C149" t="s">
        <v>9</v>
      </c>
      <c r="D149" s="2">
        <v>1489.87</v>
      </c>
      <c r="E149" t="s">
        <v>7</v>
      </c>
      <c r="F149" t="s">
        <v>1525</v>
      </c>
      <c r="G149">
        <v>2020</v>
      </c>
      <c r="H149">
        <f>IF(Table1_1[[#This Row],[Type]]="Expense", _xlfn.XLOOKUP(Table1_1[[#This Row],[Category]], Budget_Ref[Category], Budget_Ref[Monthly Budget], 0), 0)</f>
        <v>150</v>
      </c>
      <c r="I149" t="str">
        <f>IF(Table1_1[[#This Row],[Type]]="Expense", IF(Table1_1[[#This Row],[Amount]]&gt;Table1_1[[#This Row],[Monthly Budget]], "Over Budget", "OK"), "-")</f>
        <v>Over Budget</v>
      </c>
      <c r="J149">
        <f>IF(Table1_1[[#This Row],[Type]]="Income", Table1_1[[#This Row],[Amount]], -Table1_1[[#This Row],[Amount]])</f>
        <v>-1489.87</v>
      </c>
    </row>
    <row r="150" spans="1:10" x14ac:dyDescent="0.25">
      <c r="A150" s="1">
        <v>44043</v>
      </c>
      <c r="B150" t="s">
        <v>165</v>
      </c>
      <c r="C150" t="s">
        <v>35</v>
      </c>
      <c r="D150" s="2">
        <v>1506.04</v>
      </c>
      <c r="E150" t="s">
        <v>7</v>
      </c>
      <c r="F150" t="s">
        <v>1525</v>
      </c>
      <c r="G150">
        <v>2020</v>
      </c>
      <c r="H150">
        <f>IF(Table1_1[[#This Row],[Type]]="Expense", _xlfn.XLOOKUP(Table1_1[[#This Row],[Category]], Budget_Ref[Category], Budget_Ref[Monthly Budget], 0), 0)</f>
        <v>200</v>
      </c>
      <c r="I150" t="str">
        <f>IF(Table1_1[[#This Row],[Type]]="Expense", IF(Table1_1[[#This Row],[Amount]]&gt;Table1_1[[#This Row],[Monthly Budget]], "Over Budget", "OK"), "-")</f>
        <v>Over Budget</v>
      </c>
      <c r="J150">
        <f>IF(Table1_1[[#This Row],[Type]]="Income", Table1_1[[#This Row],[Amount]], -Table1_1[[#This Row],[Amount]])</f>
        <v>-1506.04</v>
      </c>
    </row>
    <row r="151" spans="1:10" x14ac:dyDescent="0.25">
      <c r="A151" s="1">
        <v>44044</v>
      </c>
      <c r="B151" t="s">
        <v>166</v>
      </c>
      <c r="C151" t="s">
        <v>35</v>
      </c>
      <c r="D151" s="2">
        <v>1533.97</v>
      </c>
      <c r="E151" t="s">
        <v>7</v>
      </c>
      <c r="F151" t="s">
        <v>1526</v>
      </c>
      <c r="G151">
        <v>2020</v>
      </c>
      <c r="H151">
        <f>IF(Table1_1[[#This Row],[Type]]="Expense", _xlfn.XLOOKUP(Table1_1[[#This Row],[Category]], Budget_Ref[Category], Budget_Ref[Monthly Budget], 0), 0)</f>
        <v>200</v>
      </c>
      <c r="I151" t="str">
        <f>IF(Table1_1[[#This Row],[Type]]="Expense", IF(Table1_1[[#This Row],[Amount]]&gt;Table1_1[[#This Row],[Monthly Budget]], "Over Budget", "OK"), "-")</f>
        <v>Over Budget</v>
      </c>
      <c r="J151">
        <f>IF(Table1_1[[#This Row],[Type]]="Income", Table1_1[[#This Row],[Amount]], -Table1_1[[#This Row],[Amount]])</f>
        <v>-1533.97</v>
      </c>
    </row>
    <row r="152" spans="1:10" x14ac:dyDescent="0.25">
      <c r="A152" s="1">
        <v>44044</v>
      </c>
      <c r="B152" t="s">
        <v>167</v>
      </c>
      <c r="C152" t="s">
        <v>22</v>
      </c>
      <c r="D152" s="2">
        <v>556.45000000000005</v>
      </c>
      <c r="E152" t="s">
        <v>7</v>
      </c>
      <c r="F152" t="s">
        <v>1526</v>
      </c>
      <c r="G152">
        <v>2020</v>
      </c>
      <c r="H152">
        <f>IF(Table1_1[[#This Row],[Type]]="Expense", _xlfn.XLOOKUP(Table1_1[[#This Row],[Category]], Budget_Ref[Category], Budget_Ref[Monthly Budget], 0), 0)</f>
        <v>200</v>
      </c>
      <c r="I152" t="str">
        <f>IF(Table1_1[[#This Row],[Type]]="Expense", IF(Table1_1[[#This Row],[Amount]]&gt;Table1_1[[#This Row],[Monthly Budget]], "Over Budget", "OK"), "-")</f>
        <v>Over Budget</v>
      </c>
      <c r="J152">
        <f>IF(Table1_1[[#This Row],[Type]]="Income", Table1_1[[#This Row],[Amount]], -Table1_1[[#This Row],[Amount]])</f>
        <v>-556.45000000000005</v>
      </c>
    </row>
    <row r="153" spans="1:10" x14ac:dyDescent="0.25">
      <c r="A153" s="1">
        <v>44044</v>
      </c>
      <c r="B153" t="s">
        <v>168</v>
      </c>
      <c r="C153" t="s">
        <v>20</v>
      </c>
      <c r="D153" s="2">
        <v>2420</v>
      </c>
      <c r="E153" t="s">
        <v>14</v>
      </c>
      <c r="F153" t="s">
        <v>1526</v>
      </c>
      <c r="G153">
        <v>2020</v>
      </c>
      <c r="H153">
        <f>IF(Table1_1[[#This Row],[Type]]="Expense", _xlfn.XLOOKUP(Table1_1[[#This Row],[Category]], Budget_Ref[Category], Budget_Ref[Monthly Budget], 0), 0)</f>
        <v>0</v>
      </c>
      <c r="I153" t="str">
        <f>IF(Table1_1[[#This Row],[Type]]="Expense", IF(Table1_1[[#This Row],[Amount]]&gt;Table1_1[[#This Row],[Monthly Budget]], "Over Budget", "OK"), "-")</f>
        <v>-</v>
      </c>
      <c r="J153">
        <f>IF(Table1_1[[#This Row],[Type]]="Income", Table1_1[[#This Row],[Amount]], -Table1_1[[#This Row],[Amount]])</f>
        <v>2420</v>
      </c>
    </row>
    <row r="154" spans="1:10" x14ac:dyDescent="0.25">
      <c r="A154" s="1">
        <v>44045</v>
      </c>
      <c r="B154" t="s">
        <v>169</v>
      </c>
      <c r="C154" t="s">
        <v>25</v>
      </c>
      <c r="D154" s="2">
        <v>1787.12</v>
      </c>
      <c r="E154" t="s">
        <v>7</v>
      </c>
      <c r="F154" t="s">
        <v>1526</v>
      </c>
      <c r="G154">
        <v>2020</v>
      </c>
      <c r="H154">
        <f>IF(Table1_1[[#This Row],[Type]]="Expense", _xlfn.XLOOKUP(Table1_1[[#This Row],[Category]], Budget_Ref[Category], Budget_Ref[Monthly Budget], 0), 0)</f>
        <v>150</v>
      </c>
      <c r="I154" t="str">
        <f>IF(Table1_1[[#This Row],[Type]]="Expense", IF(Table1_1[[#This Row],[Amount]]&gt;Table1_1[[#This Row],[Monthly Budget]], "Over Budget", "OK"), "-")</f>
        <v>Over Budget</v>
      </c>
      <c r="J154">
        <f>IF(Table1_1[[#This Row],[Type]]="Income", Table1_1[[#This Row],[Amount]], -Table1_1[[#This Row],[Amount]])</f>
        <v>-1787.12</v>
      </c>
    </row>
    <row r="155" spans="1:10" x14ac:dyDescent="0.25">
      <c r="A155" s="1">
        <v>44046</v>
      </c>
      <c r="B155" t="s">
        <v>170</v>
      </c>
      <c r="C155" t="s">
        <v>13</v>
      </c>
      <c r="D155" s="2">
        <v>2394</v>
      </c>
      <c r="E155" t="s">
        <v>14</v>
      </c>
      <c r="F155" t="s">
        <v>1526</v>
      </c>
      <c r="G155">
        <v>2020</v>
      </c>
      <c r="H155">
        <f>IF(Table1_1[[#This Row],[Type]]="Expense", _xlfn.XLOOKUP(Table1_1[[#This Row],[Category]], Budget_Ref[Category], Budget_Ref[Monthly Budget], 0), 0)</f>
        <v>0</v>
      </c>
      <c r="I155" t="str">
        <f>IF(Table1_1[[#This Row],[Type]]="Expense", IF(Table1_1[[#This Row],[Amount]]&gt;Table1_1[[#This Row],[Monthly Budget]], "Over Budget", "OK"), "-")</f>
        <v>-</v>
      </c>
      <c r="J155">
        <f>IF(Table1_1[[#This Row],[Type]]="Income", Table1_1[[#This Row],[Amount]], -Table1_1[[#This Row],[Amount]])</f>
        <v>2394</v>
      </c>
    </row>
    <row r="156" spans="1:10" x14ac:dyDescent="0.25">
      <c r="A156" s="1">
        <v>44047</v>
      </c>
      <c r="B156" t="s">
        <v>171</v>
      </c>
      <c r="C156" t="s">
        <v>9</v>
      </c>
      <c r="D156" s="2">
        <v>1415.77</v>
      </c>
      <c r="E156" t="s">
        <v>7</v>
      </c>
      <c r="F156" t="s">
        <v>1526</v>
      </c>
      <c r="G156">
        <v>2020</v>
      </c>
      <c r="H156">
        <f>IF(Table1_1[[#This Row],[Type]]="Expense", _xlfn.XLOOKUP(Table1_1[[#This Row],[Category]], Budget_Ref[Category], Budget_Ref[Monthly Budget], 0), 0)</f>
        <v>150</v>
      </c>
      <c r="I156" t="str">
        <f>IF(Table1_1[[#This Row],[Type]]="Expense", IF(Table1_1[[#This Row],[Amount]]&gt;Table1_1[[#This Row],[Monthly Budget]], "Over Budget", "OK"), "-")</f>
        <v>Over Budget</v>
      </c>
      <c r="J156">
        <f>IF(Table1_1[[#This Row],[Type]]="Income", Table1_1[[#This Row],[Amount]], -Table1_1[[#This Row],[Amount]])</f>
        <v>-1415.77</v>
      </c>
    </row>
    <row r="157" spans="1:10" x14ac:dyDescent="0.25">
      <c r="A157" s="1">
        <v>44047</v>
      </c>
      <c r="B157" t="s">
        <v>172</v>
      </c>
      <c r="C157" t="s">
        <v>20</v>
      </c>
      <c r="D157" s="2">
        <v>3210</v>
      </c>
      <c r="E157" t="s">
        <v>14</v>
      </c>
      <c r="F157" t="s">
        <v>1526</v>
      </c>
      <c r="G157">
        <v>2020</v>
      </c>
      <c r="H157">
        <f>IF(Table1_1[[#This Row],[Type]]="Expense", _xlfn.XLOOKUP(Table1_1[[#This Row],[Category]], Budget_Ref[Category], Budget_Ref[Monthly Budget], 0), 0)</f>
        <v>0</v>
      </c>
      <c r="I157" t="str">
        <f>IF(Table1_1[[#This Row],[Type]]="Expense", IF(Table1_1[[#This Row],[Amount]]&gt;Table1_1[[#This Row],[Monthly Budget]], "Over Budget", "OK"), "-")</f>
        <v>-</v>
      </c>
      <c r="J157">
        <f>IF(Table1_1[[#This Row],[Type]]="Income", Table1_1[[#This Row],[Amount]], -Table1_1[[#This Row],[Amount]])</f>
        <v>3210</v>
      </c>
    </row>
    <row r="158" spans="1:10" x14ac:dyDescent="0.25">
      <c r="A158" s="1">
        <v>44047</v>
      </c>
      <c r="B158" t="s">
        <v>173</v>
      </c>
      <c r="C158" t="s">
        <v>17</v>
      </c>
      <c r="D158" s="2">
        <v>133.91</v>
      </c>
      <c r="E158" t="s">
        <v>7</v>
      </c>
      <c r="F158" t="s">
        <v>1526</v>
      </c>
      <c r="G158">
        <v>2020</v>
      </c>
      <c r="H158">
        <f>IF(Table1_1[[#This Row],[Type]]="Expense", _xlfn.XLOOKUP(Table1_1[[#This Row],[Category]], Budget_Ref[Category], Budget_Ref[Monthly Budget], 0), 0)</f>
        <v>300</v>
      </c>
      <c r="I158" t="str">
        <f>IF(Table1_1[[#This Row],[Type]]="Expense", IF(Table1_1[[#This Row],[Amount]]&gt;Table1_1[[#This Row],[Monthly Budget]], "Over Budget", "OK"), "-")</f>
        <v>OK</v>
      </c>
      <c r="J158">
        <f>IF(Table1_1[[#This Row],[Type]]="Income", Table1_1[[#This Row],[Amount]], -Table1_1[[#This Row],[Amount]])</f>
        <v>-133.91</v>
      </c>
    </row>
    <row r="159" spans="1:10" x14ac:dyDescent="0.25">
      <c r="A159" s="1">
        <v>44048</v>
      </c>
      <c r="B159" t="s">
        <v>174</v>
      </c>
      <c r="C159" t="s">
        <v>17</v>
      </c>
      <c r="D159" s="2">
        <v>1810.63</v>
      </c>
      <c r="E159" t="s">
        <v>7</v>
      </c>
      <c r="F159" t="s">
        <v>1526</v>
      </c>
      <c r="G159">
        <v>2020</v>
      </c>
      <c r="H159">
        <f>IF(Table1_1[[#This Row],[Type]]="Expense", _xlfn.XLOOKUP(Table1_1[[#This Row],[Category]], Budget_Ref[Category], Budget_Ref[Monthly Budget], 0), 0)</f>
        <v>300</v>
      </c>
      <c r="I159" t="str">
        <f>IF(Table1_1[[#This Row],[Type]]="Expense", IF(Table1_1[[#This Row],[Amount]]&gt;Table1_1[[#This Row],[Monthly Budget]], "Over Budget", "OK"), "-")</f>
        <v>Over Budget</v>
      </c>
      <c r="J159">
        <f>IF(Table1_1[[#This Row],[Type]]="Income", Table1_1[[#This Row],[Amount]], -Table1_1[[#This Row],[Amount]])</f>
        <v>-1810.63</v>
      </c>
    </row>
    <row r="160" spans="1:10" x14ac:dyDescent="0.25">
      <c r="A160" s="1">
        <v>44048</v>
      </c>
      <c r="B160" t="s">
        <v>175</v>
      </c>
      <c r="C160" t="s">
        <v>6</v>
      </c>
      <c r="D160" s="2">
        <v>1714.9</v>
      </c>
      <c r="E160" t="s">
        <v>7</v>
      </c>
      <c r="F160" t="s">
        <v>1526</v>
      </c>
      <c r="G160">
        <v>2020</v>
      </c>
      <c r="H160">
        <f>IF(Table1_1[[#This Row],[Type]]="Expense", _xlfn.XLOOKUP(Table1_1[[#This Row],[Category]], Budget_Ref[Category], Budget_Ref[Monthly Budget], 0), 0)</f>
        <v>500</v>
      </c>
      <c r="I160" t="str">
        <f>IF(Table1_1[[#This Row],[Type]]="Expense", IF(Table1_1[[#This Row],[Amount]]&gt;Table1_1[[#This Row],[Monthly Budget]], "Over Budget", "OK"), "-")</f>
        <v>Over Budget</v>
      </c>
      <c r="J160">
        <f>IF(Table1_1[[#This Row],[Type]]="Income", Table1_1[[#This Row],[Amount]], -Table1_1[[#This Row],[Amount]])</f>
        <v>-1714.9</v>
      </c>
    </row>
    <row r="161" spans="1:10" x14ac:dyDescent="0.25">
      <c r="A161" s="1">
        <v>44049</v>
      </c>
      <c r="B161" t="s">
        <v>176</v>
      </c>
      <c r="C161" t="s">
        <v>17</v>
      </c>
      <c r="D161" s="2">
        <v>959.19</v>
      </c>
      <c r="E161" t="s">
        <v>7</v>
      </c>
      <c r="F161" t="s">
        <v>1526</v>
      </c>
      <c r="G161">
        <v>2020</v>
      </c>
      <c r="H161">
        <f>IF(Table1_1[[#This Row],[Type]]="Expense", _xlfn.XLOOKUP(Table1_1[[#This Row],[Category]], Budget_Ref[Category], Budget_Ref[Monthly Budget], 0), 0)</f>
        <v>300</v>
      </c>
      <c r="I161" t="str">
        <f>IF(Table1_1[[#This Row],[Type]]="Expense", IF(Table1_1[[#This Row],[Amount]]&gt;Table1_1[[#This Row],[Monthly Budget]], "Over Budget", "OK"), "-")</f>
        <v>Over Budget</v>
      </c>
      <c r="J161">
        <f>IF(Table1_1[[#This Row],[Type]]="Income", Table1_1[[#This Row],[Amount]], -Table1_1[[#This Row],[Amount]])</f>
        <v>-959.19</v>
      </c>
    </row>
    <row r="162" spans="1:10" x14ac:dyDescent="0.25">
      <c r="A162" s="1">
        <v>44051</v>
      </c>
      <c r="B162" t="s">
        <v>177</v>
      </c>
      <c r="C162" t="s">
        <v>35</v>
      </c>
      <c r="D162" s="2">
        <v>1509.42</v>
      </c>
      <c r="E162" t="s">
        <v>7</v>
      </c>
      <c r="F162" t="s">
        <v>1526</v>
      </c>
      <c r="G162">
        <v>2020</v>
      </c>
      <c r="H162">
        <f>IF(Table1_1[[#This Row],[Type]]="Expense", _xlfn.XLOOKUP(Table1_1[[#This Row],[Category]], Budget_Ref[Category], Budget_Ref[Monthly Budget], 0), 0)</f>
        <v>200</v>
      </c>
      <c r="I162" t="str">
        <f>IF(Table1_1[[#This Row],[Type]]="Expense", IF(Table1_1[[#This Row],[Amount]]&gt;Table1_1[[#This Row],[Monthly Budget]], "Over Budget", "OK"), "-")</f>
        <v>Over Budget</v>
      </c>
      <c r="J162">
        <f>IF(Table1_1[[#This Row],[Type]]="Income", Table1_1[[#This Row],[Amount]], -Table1_1[[#This Row],[Amount]])</f>
        <v>-1509.42</v>
      </c>
    </row>
    <row r="163" spans="1:10" x14ac:dyDescent="0.25">
      <c r="A163" s="1">
        <v>44051</v>
      </c>
      <c r="B163" t="s">
        <v>178</v>
      </c>
      <c r="C163" t="s">
        <v>17</v>
      </c>
      <c r="D163" s="2">
        <v>1081.06</v>
      </c>
      <c r="E163" t="s">
        <v>7</v>
      </c>
      <c r="F163" t="s">
        <v>1526</v>
      </c>
      <c r="G163">
        <v>2020</v>
      </c>
      <c r="H163">
        <f>IF(Table1_1[[#This Row],[Type]]="Expense", _xlfn.XLOOKUP(Table1_1[[#This Row],[Category]], Budget_Ref[Category], Budget_Ref[Monthly Budget], 0), 0)</f>
        <v>300</v>
      </c>
      <c r="I163" t="str">
        <f>IF(Table1_1[[#This Row],[Type]]="Expense", IF(Table1_1[[#This Row],[Amount]]&gt;Table1_1[[#This Row],[Monthly Budget]], "Over Budget", "OK"), "-")</f>
        <v>Over Budget</v>
      </c>
      <c r="J163">
        <f>IF(Table1_1[[#This Row],[Type]]="Income", Table1_1[[#This Row],[Amount]], -Table1_1[[#This Row],[Amount]])</f>
        <v>-1081.06</v>
      </c>
    </row>
    <row r="164" spans="1:10" x14ac:dyDescent="0.25">
      <c r="A164" s="1">
        <v>44052</v>
      </c>
      <c r="B164" t="s">
        <v>179</v>
      </c>
      <c r="C164" t="s">
        <v>22</v>
      </c>
      <c r="D164" s="2">
        <v>981.58</v>
      </c>
      <c r="E164" t="s">
        <v>7</v>
      </c>
      <c r="F164" t="s">
        <v>1526</v>
      </c>
      <c r="G164">
        <v>2020</v>
      </c>
      <c r="H164">
        <f>IF(Table1_1[[#This Row],[Type]]="Expense", _xlfn.XLOOKUP(Table1_1[[#This Row],[Category]], Budget_Ref[Category], Budget_Ref[Monthly Budget], 0), 0)</f>
        <v>200</v>
      </c>
      <c r="I164" t="str">
        <f>IF(Table1_1[[#This Row],[Type]]="Expense", IF(Table1_1[[#This Row],[Amount]]&gt;Table1_1[[#This Row],[Monthly Budget]], "Over Budget", "OK"), "-")</f>
        <v>Over Budget</v>
      </c>
      <c r="J164">
        <f>IF(Table1_1[[#This Row],[Type]]="Income", Table1_1[[#This Row],[Amount]], -Table1_1[[#This Row],[Amount]])</f>
        <v>-981.58</v>
      </c>
    </row>
    <row r="165" spans="1:10" x14ac:dyDescent="0.25">
      <c r="A165" s="1">
        <v>44056</v>
      </c>
      <c r="B165" t="s">
        <v>180</v>
      </c>
      <c r="C165" t="s">
        <v>27</v>
      </c>
      <c r="D165" s="2">
        <v>67.760000000000005</v>
      </c>
      <c r="E165" t="s">
        <v>14</v>
      </c>
      <c r="F165" t="s">
        <v>1526</v>
      </c>
      <c r="G165">
        <v>2020</v>
      </c>
      <c r="H165">
        <f>IF(Table1_1[[#This Row],[Type]]="Expense", _xlfn.XLOOKUP(Table1_1[[#This Row],[Category]], Budget_Ref[Category], Budget_Ref[Monthly Budget], 0), 0)</f>
        <v>0</v>
      </c>
      <c r="I165" t="str">
        <f>IF(Table1_1[[#This Row],[Type]]="Expense", IF(Table1_1[[#This Row],[Amount]]&gt;Table1_1[[#This Row],[Monthly Budget]], "Over Budget", "OK"), "-")</f>
        <v>-</v>
      </c>
      <c r="J165">
        <f>IF(Table1_1[[#This Row],[Type]]="Income", Table1_1[[#This Row],[Amount]], -Table1_1[[#This Row],[Amount]])</f>
        <v>67.760000000000005</v>
      </c>
    </row>
    <row r="166" spans="1:10" x14ac:dyDescent="0.25">
      <c r="A166" s="1">
        <v>44057</v>
      </c>
      <c r="B166" t="s">
        <v>181</v>
      </c>
      <c r="C166" t="s">
        <v>17</v>
      </c>
      <c r="D166" s="2">
        <v>1451.12</v>
      </c>
      <c r="E166" t="s">
        <v>7</v>
      </c>
      <c r="F166" t="s">
        <v>1526</v>
      </c>
      <c r="G166">
        <v>2020</v>
      </c>
      <c r="H166">
        <f>IF(Table1_1[[#This Row],[Type]]="Expense", _xlfn.XLOOKUP(Table1_1[[#This Row],[Category]], Budget_Ref[Category], Budget_Ref[Monthly Budget], 0), 0)</f>
        <v>300</v>
      </c>
      <c r="I166" t="str">
        <f>IF(Table1_1[[#This Row],[Type]]="Expense", IF(Table1_1[[#This Row],[Amount]]&gt;Table1_1[[#This Row],[Monthly Budget]], "Over Budget", "OK"), "-")</f>
        <v>Over Budget</v>
      </c>
      <c r="J166">
        <f>IF(Table1_1[[#This Row],[Type]]="Income", Table1_1[[#This Row],[Amount]], -Table1_1[[#This Row],[Amount]])</f>
        <v>-1451.12</v>
      </c>
    </row>
    <row r="167" spans="1:10" x14ac:dyDescent="0.25">
      <c r="A167" s="1">
        <v>44059</v>
      </c>
      <c r="B167" t="s">
        <v>182</v>
      </c>
      <c r="C167" t="s">
        <v>9</v>
      </c>
      <c r="D167" s="2">
        <v>1961.64</v>
      </c>
      <c r="E167" t="s">
        <v>7</v>
      </c>
      <c r="F167" t="s">
        <v>1526</v>
      </c>
      <c r="G167">
        <v>2020</v>
      </c>
      <c r="H167">
        <f>IF(Table1_1[[#This Row],[Type]]="Expense", _xlfn.XLOOKUP(Table1_1[[#This Row],[Category]], Budget_Ref[Category], Budget_Ref[Monthly Budget], 0), 0)</f>
        <v>150</v>
      </c>
      <c r="I167" t="str">
        <f>IF(Table1_1[[#This Row],[Type]]="Expense", IF(Table1_1[[#This Row],[Amount]]&gt;Table1_1[[#This Row],[Monthly Budget]], "Over Budget", "OK"), "-")</f>
        <v>Over Budget</v>
      </c>
      <c r="J167">
        <f>IF(Table1_1[[#This Row],[Type]]="Income", Table1_1[[#This Row],[Amount]], -Table1_1[[#This Row],[Amount]])</f>
        <v>-1961.64</v>
      </c>
    </row>
    <row r="168" spans="1:10" x14ac:dyDescent="0.25">
      <c r="A168" s="1">
        <v>44060</v>
      </c>
      <c r="B168" t="s">
        <v>183</v>
      </c>
      <c r="C168" t="s">
        <v>17</v>
      </c>
      <c r="D168" s="2">
        <v>1187.8699999999999</v>
      </c>
      <c r="E168" t="s">
        <v>7</v>
      </c>
      <c r="F168" t="s">
        <v>1526</v>
      </c>
      <c r="G168">
        <v>2020</v>
      </c>
      <c r="H168">
        <f>IF(Table1_1[[#This Row],[Type]]="Expense", _xlfn.XLOOKUP(Table1_1[[#This Row],[Category]], Budget_Ref[Category], Budget_Ref[Monthly Budget], 0), 0)</f>
        <v>300</v>
      </c>
      <c r="I168" t="str">
        <f>IF(Table1_1[[#This Row],[Type]]="Expense", IF(Table1_1[[#This Row],[Amount]]&gt;Table1_1[[#This Row],[Monthly Budget]], "Over Budget", "OK"), "-")</f>
        <v>Over Budget</v>
      </c>
      <c r="J168">
        <f>IF(Table1_1[[#This Row],[Type]]="Income", Table1_1[[#This Row],[Amount]], -Table1_1[[#This Row],[Amount]])</f>
        <v>-1187.8699999999999</v>
      </c>
    </row>
    <row r="169" spans="1:10" x14ac:dyDescent="0.25">
      <c r="A169" s="1">
        <v>44061</v>
      </c>
      <c r="B169" t="s">
        <v>184</v>
      </c>
      <c r="C169" t="s">
        <v>11</v>
      </c>
      <c r="D169" s="2">
        <v>1289.07</v>
      </c>
      <c r="E169" t="s">
        <v>7</v>
      </c>
      <c r="F169" t="s">
        <v>1526</v>
      </c>
      <c r="G169">
        <v>2020</v>
      </c>
      <c r="H169">
        <f>IF(Table1_1[[#This Row],[Type]]="Expense", _xlfn.XLOOKUP(Table1_1[[#This Row],[Category]], Budget_Ref[Category], Budget_Ref[Monthly Budget], 0), 0)</f>
        <v>1500</v>
      </c>
      <c r="I169" t="str">
        <f>IF(Table1_1[[#This Row],[Type]]="Expense", IF(Table1_1[[#This Row],[Amount]]&gt;Table1_1[[#This Row],[Monthly Budget]], "Over Budget", "OK"), "-")</f>
        <v>OK</v>
      </c>
      <c r="J169">
        <f>IF(Table1_1[[#This Row],[Type]]="Income", Table1_1[[#This Row],[Amount]], -Table1_1[[#This Row],[Amount]])</f>
        <v>-1289.07</v>
      </c>
    </row>
    <row r="170" spans="1:10" x14ac:dyDescent="0.25">
      <c r="A170" s="1">
        <v>44062</v>
      </c>
      <c r="B170" t="s">
        <v>185</v>
      </c>
      <c r="C170" t="s">
        <v>20</v>
      </c>
      <c r="D170" s="2">
        <v>1988</v>
      </c>
      <c r="E170" t="s">
        <v>14</v>
      </c>
      <c r="F170" t="s">
        <v>1526</v>
      </c>
      <c r="G170">
        <v>2020</v>
      </c>
      <c r="H170">
        <f>IF(Table1_1[[#This Row],[Type]]="Expense", _xlfn.XLOOKUP(Table1_1[[#This Row],[Category]], Budget_Ref[Category], Budget_Ref[Monthly Budget], 0), 0)</f>
        <v>0</v>
      </c>
      <c r="I170" t="str">
        <f>IF(Table1_1[[#This Row],[Type]]="Expense", IF(Table1_1[[#This Row],[Amount]]&gt;Table1_1[[#This Row],[Monthly Budget]], "Over Budget", "OK"), "-")</f>
        <v>-</v>
      </c>
      <c r="J170">
        <f>IF(Table1_1[[#This Row],[Type]]="Income", Table1_1[[#This Row],[Amount]], -Table1_1[[#This Row],[Amount]])</f>
        <v>1988</v>
      </c>
    </row>
    <row r="171" spans="1:10" x14ac:dyDescent="0.25">
      <c r="A171" s="1">
        <v>44063</v>
      </c>
      <c r="B171" t="s">
        <v>186</v>
      </c>
      <c r="C171" t="s">
        <v>20</v>
      </c>
      <c r="D171" s="2">
        <v>3181</v>
      </c>
      <c r="E171" t="s">
        <v>14</v>
      </c>
      <c r="F171" t="s">
        <v>1526</v>
      </c>
      <c r="G171">
        <v>2020</v>
      </c>
      <c r="H171">
        <f>IF(Table1_1[[#This Row],[Type]]="Expense", _xlfn.XLOOKUP(Table1_1[[#This Row],[Category]], Budget_Ref[Category], Budget_Ref[Monthly Budget], 0), 0)</f>
        <v>0</v>
      </c>
      <c r="I171" t="str">
        <f>IF(Table1_1[[#This Row],[Type]]="Expense", IF(Table1_1[[#This Row],[Amount]]&gt;Table1_1[[#This Row],[Monthly Budget]], "Over Budget", "OK"), "-")</f>
        <v>-</v>
      </c>
      <c r="J171">
        <f>IF(Table1_1[[#This Row],[Type]]="Income", Table1_1[[#This Row],[Amount]], -Table1_1[[#This Row],[Amount]])</f>
        <v>3181</v>
      </c>
    </row>
    <row r="172" spans="1:10" x14ac:dyDescent="0.25">
      <c r="A172" s="1">
        <v>44064</v>
      </c>
      <c r="B172" t="s">
        <v>187</v>
      </c>
      <c r="C172" t="s">
        <v>25</v>
      </c>
      <c r="D172" s="2">
        <v>681.63</v>
      </c>
      <c r="E172" t="s">
        <v>7</v>
      </c>
      <c r="F172" t="s">
        <v>1526</v>
      </c>
      <c r="G172">
        <v>2020</v>
      </c>
      <c r="H172">
        <f>IF(Table1_1[[#This Row],[Type]]="Expense", _xlfn.XLOOKUP(Table1_1[[#This Row],[Category]], Budget_Ref[Category], Budget_Ref[Monthly Budget], 0), 0)</f>
        <v>150</v>
      </c>
      <c r="I172" t="str">
        <f>IF(Table1_1[[#This Row],[Type]]="Expense", IF(Table1_1[[#This Row],[Amount]]&gt;Table1_1[[#This Row],[Monthly Budget]], "Over Budget", "OK"), "-")</f>
        <v>Over Budget</v>
      </c>
      <c r="J172">
        <f>IF(Table1_1[[#This Row],[Type]]="Income", Table1_1[[#This Row],[Amount]], -Table1_1[[#This Row],[Amount]])</f>
        <v>-681.63</v>
      </c>
    </row>
    <row r="173" spans="1:10" x14ac:dyDescent="0.25">
      <c r="A173" s="1">
        <v>44064</v>
      </c>
      <c r="B173" t="s">
        <v>188</v>
      </c>
      <c r="C173" t="s">
        <v>35</v>
      </c>
      <c r="D173" s="2">
        <v>1506.5</v>
      </c>
      <c r="E173" t="s">
        <v>7</v>
      </c>
      <c r="F173" t="s">
        <v>1526</v>
      </c>
      <c r="G173">
        <v>2020</v>
      </c>
      <c r="H173">
        <f>IF(Table1_1[[#This Row],[Type]]="Expense", _xlfn.XLOOKUP(Table1_1[[#This Row],[Category]], Budget_Ref[Category], Budget_Ref[Monthly Budget], 0), 0)</f>
        <v>200</v>
      </c>
      <c r="I173" t="str">
        <f>IF(Table1_1[[#This Row],[Type]]="Expense", IF(Table1_1[[#This Row],[Amount]]&gt;Table1_1[[#This Row],[Monthly Budget]], "Over Budget", "OK"), "-")</f>
        <v>Over Budget</v>
      </c>
      <c r="J173">
        <f>IF(Table1_1[[#This Row],[Type]]="Income", Table1_1[[#This Row],[Amount]], -Table1_1[[#This Row],[Amount]])</f>
        <v>-1506.5</v>
      </c>
    </row>
    <row r="174" spans="1:10" x14ac:dyDescent="0.25">
      <c r="A174" s="1">
        <v>44065</v>
      </c>
      <c r="B174" t="s">
        <v>189</v>
      </c>
      <c r="C174" t="s">
        <v>35</v>
      </c>
      <c r="D174" s="2">
        <v>1671.47</v>
      </c>
      <c r="E174" t="s">
        <v>7</v>
      </c>
      <c r="F174" t="s">
        <v>1526</v>
      </c>
      <c r="G174">
        <v>2020</v>
      </c>
      <c r="H174">
        <f>IF(Table1_1[[#This Row],[Type]]="Expense", _xlfn.XLOOKUP(Table1_1[[#This Row],[Category]], Budget_Ref[Category], Budget_Ref[Monthly Budget], 0), 0)</f>
        <v>200</v>
      </c>
      <c r="I174" t="str">
        <f>IF(Table1_1[[#This Row],[Type]]="Expense", IF(Table1_1[[#This Row],[Amount]]&gt;Table1_1[[#This Row],[Monthly Budget]], "Over Budget", "OK"), "-")</f>
        <v>Over Budget</v>
      </c>
      <c r="J174">
        <f>IF(Table1_1[[#This Row],[Type]]="Income", Table1_1[[#This Row],[Amount]], -Table1_1[[#This Row],[Amount]])</f>
        <v>-1671.47</v>
      </c>
    </row>
    <row r="175" spans="1:10" x14ac:dyDescent="0.25">
      <c r="A175" s="1">
        <v>44065</v>
      </c>
      <c r="B175" t="s">
        <v>190</v>
      </c>
      <c r="C175" t="s">
        <v>6</v>
      </c>
      <c r="D175" s="2">
        <v>1999.82</v>
      </c>
      <c r="E175" t="s">
        <v>7</v>
      </c>
      <c r="F175" t="s">
        <v>1526</v>
      </c>
      <c r="G175">
        <v>2020</v>
      </c>
      <c r="H175">
        <f>IF(Table1_1[[#This Row],[Type]]="Expense", _xlfn.XLOOKUP(Table1_1[[#This Row],[Category]], Budget_Ref[Category], Budget_Ref[Monthly Budget], 0), 0)</f>
        <v>500</v>
      </c>
      <c r="I175" t="str">
        <f>IF(Table1_1[[#This Row],[Type]]="Expense", IF(Table1_1[[#This Row],[Amount]]&gt;Table1_1[[#This Row],[Monthly Budget]], "Over Budget", "OK"), "-")</f>
        <v>Over Budget</v>
      </c>
      <c r="J175">
        <f>IF(Table1_1[[#This Row],[Type]]="Income", Table1_1[[#This Row],[Amount]], -Table1_1[[#This Row],[Amount]])</f>
        <v>-1999.82</v>
      </c>
    </row>
    <row r="176" spans="1:10" x14ac:dyDescent="0.25">
      <c r="A176" s="1">
        <v>44069</v>
      </c>
      <c r="B176" t="s">
        <v>191</v>
      </c>
      <c r="C176" t="s">
        <v>11</v>
      </c>
      <c r="D176" s="2">
        <v>1564.65</v>
      </c>
      <c r="E176" t="s">
        <v>7</v>
      </c>
      <c r="F176" t="s">
        <v>1526</v>
      </c>
      <c r="G176">
        <v>2020</v>
      </c>
      <c r="H176">
        <f>IF(Table1_1[[#This Row],[Type]]="Expense", _xlfn.XLOOKUP(Table1_1[[#This Row],[Category]], Budget_Ref[Category], Budget_Ref[Monthly Budget], 0), 0)</f>
        <v>1500</v>
      </c>
      <c r="I176" t="str">
        <f>IF(Table1_1[[#This Row],[Type]]="Expense", IF(Table1_1[[#This Row],[Amount]]&gt;Table1_1[[#This Row],[Monthly Budget]], "Over Budget", "OK"), "-")</f>
        <v>Over Budget</v>
      </c>
      <c r="J176">
        <f>IF(Table1_1[[#This Row],[Type]]="Income", Table1_1[[#This Row],[Amount]], -Table1_1[[#This Row],[Amount]])</f>
        <v>-1564.65</v>
      </c>
    </row>
    <row r="177" spans="1:10" x14ac:dyDescent="0.25">
      <c r="A177" s="1">
        <v>44070</v>
      </c>
      <c r="B177" t="s">
        <v>192</v>
      </c>
      <c r="C177" t="s">
        <v>6</v>
      </c>
      <c r="D177" s="2">
        <v>1899.73</v>
      </c>
      <c r="E177" t="s">
        <v>7</v>
      </c>
      <c r="F177" t="s">
        <v>1526</v>
      </c>
      <c r="G177">
        <v>2020</v>
      </c>
      <c r="H177">
        <f>IF(Table1_1[[#This Row],[Type]]="Expense", _xlfn.XLOOKUP(Table1_1[[#This Row],[Category]], Budget_Ref[Category], Budget_Ref[Monthly Budget], 0), 0)</f>
        <v>500</v>
      </c>
      <c r="I177" t="str">
        <f>IF(Table1_1[[#This Row],[Type]]="Expense", IF(Table1_1[[#This Row],[Amount]]&gt;Table1_1[[#This Row],[Monthly Budget]], "Over Budget", "OK"), "-")</f>
        <v>Over Budget</v>
      </c>
      <c r="J177">
        <f>IF(Table1_1[[#This Row],[Type]]="Income", Table1_1[[#This Row],[Amount]], -Table1_1[[#This Row],[Amount]])</f>
        <v>-1899.73</v>
      </c>
    </row>
    <row r="178" spans="1:10" x14ac:dyDescent="0.25">
      <c r="A178" s="1">
        <v>44070</v>
      </c>
      <c r="B178" t="s">
        <v>193</v>
      </c>
      <c r="C178" t="s">
        <v>13</v>
      </c>
      <c r="D178" s="2">
        <v>1748</v>
      </c>
      <c r="E178" t="s">
        <v>14</v>
      </c>
      <c r="F178" t="s">
        <v>1526</v>
      </c>
      <c r="G178">
        <v>2020</v>
      </c>
      <c r="H178">
        <f>IF(Table1_1[[#This Row],[Type]]="Expense", _xlfn.XLOOKUP(Table1_1[[#This Row],[Category]], Budget_Ref[Category], Budget_Ref[Monthly Budget], 0), 0)</f>
        <v>0</v>
      </c>
      <c r="I178" t="str">
        <f>IF(Table1_1[[#This Row],[Type]]="Expense", IF(Table1_1[[#This Row],[Amount]]&gt;Table1_1[[#This Row],[Monthly Budget]], "Over Budget", "OK"), "-")</f>
        <v>-</v>
      </c>
      <c r="J178">
        <f>IF(Table1_1[[#This Row],[Type]]="Income", Table1_1[[#This Row],[Amount]], -Table1_1[[#This Row],[Amount]])</f>
        <v>1748</v>
      </c>
    </row>
    <row r="179" spans="1:10" x14ac:dyDescent="0.25">
      <c r="A179" s="1">
        <v>44072</v>
      </c>
      <c r="B179" t="s">
        <v>194</v>
      </c>
      <c r="C179" t="s">
        <v>27</v>
      </c>
      <c r="D179" s="2">
        <v>1342.22</v>
      </c>
      <c r="E179" t="s">
        <v>14</v>
      </c>
      <c r="F179" t="s">
        <v>1526</v>
      </c>
      <c r="G179">
        <v>2020</v>
      </c>
      <c r="H179">
        <f>IF(Table1_1[[#This Row],[Type]]="Expense", _xlfn.XLOOKUP(Table1_1[[#This Row],[Category]], Budget_Ref[Category], Budget_Ref[Monthly Budget], 0), 0)</f>
        <v>0</v>
      </c>
      <c r="I179" t="str">
        <f>IF(Table1_1[[#This Row],[Type]]="Expense", IF(Table1_1[[#This Row],[Amount]]&gt;Table1_1[[#This Row],[Monthly Budget]], "Over Budget", "OK"), "-")</f>
        <v>-</v>
      </c>
      <c r="J179">
        <f>IF(Table1_1[[#This Row],[Type]]="Income", Table1_1[[#This Row],[Amount]], -Table1_1[[#This Row],[Amount]])</f>
        <v>1342.22</v>
      </c>
    </row>
    <row r="180" spans="1:10" x14ac:dyDescent="0.25">
      <c r="A180" s="1">
        <v>44073</v>
      </c>
      <c r="B180" t="s">
        <v>195</v>
      </c>
      <c r="C180" t="s">
        <v>22</v>
      </c>
      <c r="D180" s="2">
        <v>935.42</v>
      </c>
      <c r="E180" t="s">
        <v>7</v>
      </c>
      <c r="F180" t="s">
        <v>1526</v>
      </c>
      <c r="G180">
        <v>2020</v>
      </c>
      <c r="H180">
        <f>IF(Table1_1[[#This Row],[Type]]="Expense", _xlfn.XLOOKUP(Table1_1[[#This Row],[Category]], Budget_Ref[Category], Budget_Ref[Monthly Budget], 0), 0)</f>
        <v>200</v>
      </c>
      <c r="I180" t="str">
        <f>IF(Table1_1[[#This Row],[Type]]="Expense", IF(Table1_1[[#This Row],[Amount]]&gt;Table1_1[[#This Row],[Monthly Budget]], "Over Budget", "OK"), "-")</f>
        <v>Over Budget</v>
      </c>
      <c r="J180">
        <f>IF(Table1_1[[#This Row],[Type]]="Income", Table1_1[[#This Row],[Amount]], -Table1_1[[#This Row],[Amount]])</f>
        <v>-935.42</v>
      </c>
    </row>
    <row r="181" spans="1:10" x14ac:dyDescent="0.25">
      <c r="A181" s="1">
        <v>44074</v>
      </c>
      <c r="B181" t="s">
        <v>196</v>
      </c>
      <c r="C181" t="s">
        <v>25</v>
      </c>
      <c r="D181" s="2">
        <v>343.9</v>
      </c>
      <c r="E181" t="s">
        <v>7</v>
      </c>
      <c r="F181" t="s">
        <v>1526</v>
      </c>
      <c r="G181">
        <v>2020</v>
      </c>
      <c r="H181">
        <f>IF(Table1_1[[#This Row],[Type]]="Expense", _xlfn.XLOOKUP(Table1_1[[#This Row],[Category]], Budget_Ref[Category], Budget_Ref[Monthly Budget], 0), 0)</f>
        <v>150</v>
      </c>
      <c r="I181" t="str">
        <f>IF(Table1_1[[#This Row],[Type]]="Expense", IF(Table1_1[[#This Row],[Amount]]&gt;Table1_1[[#This Row],[Monthly Budget]], "Over Budget", "OK"), "-")</f>
        <v>Over Budget</v>
      </c>
      <c r="J181">
        <f>IF(Table1_1[[#This Row],[Type]]="Income", Table1_1[[#This Row],[Amount]], -Table1_1[[#This Row],[Amount]])</f>
        <v>-343.9</v>
      </c>
    </row>
    <row r="182" spans="1:10" x14ac:dyDescent="0.25">
      <c r="A182" s="1">
        <v>44075</v>
      </c>
      <c r="B182" t="s">
        <v>197</v>
      </c>
      <c r="C182" t="s">
        <v>11</v>
      </c>
      <c r="D182" s="2">
        <v>1557.81</v>
      </c>
      <c r="E182" t="s">
        <v>7</v>
      </c>
      <c r="F182" t="s">
        <v>1527</v>
      </c>
      <c r="G182">
        <v>2020</v>
      </c>
      <c r="H182">
        <f>IF(Table1_1[[#This Row],[Type]]="Expense", _xlfn.XLOOKUP(Table1_1[[#This Row],[Category]], Budget_Ref[Category], Budget_Ref[Monthly Budget], 0), 0)</f>
        <v>1500</v>
      </c>
      <c r="I182" t="str">
        <f>IF(Table1_1[[#This Row],[Type]]="Expense", IF(Table1_1[[#This Row],[Amount]]&gt;Table1_1[[#This Row],[Monthly Budget]], "Over Budget", "OK"), "-")</f>
        <v>Over Budget</v>
      </c>
      <c r="J182">
        <f>IF(Table1_1[[#This Row],[Type]]="Income", Table1_1[[#This Row],[Amount]], -Table1_1[[#This Row],[Amount]])</f>
        <v>-1557.81</v>
      </c>
    </row>
    <row r="183" spans="1:10" x14ac:dyDescent="0.25">
      <c r="A183" s="1">
        <v>44079</v>
      </c>
      <c r="B183" t="s">
        <v>198</v>
      </c>
      <c r="C183" t="s">
        <v>20</v>
      </c>
      <c r="D183" s="2">
        <v>1385</v>
      </c>
      <c r="E183" t="s">
        <v>14</v>
      </c>
      <c r="F183" t="s">
        <v>1527</v>
      </c>
      <c r="G183">
        <v>2020</v>
      </c>
      <c r="H183">
        <f>IF(Table1_1[[#This Row],[Type]]="Expense", _xlfn.XLOOKUP(Table1_1[[#This Row],[Category]], Budget_Ref[Category], Budget_Ref[Monthly Budget], 0), 0)</f>
        <v>0</v>
      </c>
      <c r="I183" t="str">
        <f>IF(Table1_1[[#This Row],[Type]]="Expense", IF(Table1_1[[#This Row],[Amount]]&gt;Table1_1[[#This Row],[Monthly Budget]], "Over Budget", "OK"), "-")</f>
        <v>-</v>
      </c>
      <c r="J183">
        <f>IF(Table1_1[[#This Row],[Type]]="Income", Table1_1[[#This Row],[Amount]], -Table1_1[[#This Row],[Amount]])</f>
        <v>1385</v>
      </c>
    </row>
    <row r="184" spans="1:10" x14ac:dyDescent="0.25">
      <c r="A184" s="1">
        <v>44079</v>
      </c>
      <c r="B184" t="s">
        <v>199</v>
      </c>
      <c r="C184" t="s">
        <v>35</v>
      </c>
      <c r="D184" s="2">
        <v>1155.8399999999999</v>
      </c>
      <c r="E184" t="s">
        <v>7</v>
      </c>
      <c r="F184" t="s">
        <v>1527</v>
      </c>
      <c r="G184">
        <v>2020</v>
      </c>
      <c r="H184">
        <f>IF(Table1_1[[#This Row],[Type]]="Expense", _xlfn.XLOOKUP(Table1_1[[#This Row],[Category]], Budget_Ref[Category], Budget_Ref[Monthly Budget], 0), 0)</f>
        <v>200</v>
      </c>
      <c r="I184" t="str">
        <f>IF(Table1_1[[#This Row],[Type]]="Expense", IF(Table1_1[[#This Row],[Amount]]&gt;Table1_1[[#This Row],[Monthly Budget]], "Over Budget", "OK"), "-")</f>
        <v>Over Budget</v>
      </c>
      <c r="J184">
        <f>IF(Table1_1[[#This Row],[Type]]="Income", Table1_1[[#This Row],[Amount]], -Table1_1[[#This Row],[Amount]])</f>
        <v>-1155.8399999999999</v>
      </c>
    </row>
    <row r="185" spans="1:10" x14ac:dyDescent="0.25">
      <c r="A185" s="1">
        <v>44080</v>
      </c>
      <c r="B185" t="s">
        <v>200</v>
      </c>
      <c r="C185" t="s">
        <v>17</v>
      </c>
      <c r="D185" s="2">
        <v>799.34</v>
      </c>
      <c r="E185" t="s">
        <v>7</v>
      </c>
      <c r="F185" t="s">
        <v>1527</v>
      </c>
      <c r="G185">
        <v>2020</v>
      </c>
      <c r="H185">
        <f>IF(Table1_1[[#This Row],[Type]]="Expense", _xlfn.XLOOKUP(Table1_1[[#This Row],[Category]], Budget_Ref[Category], Budget_Ref[Monthly Budget], 0), 0)</f>
        <v>300</v>
      </c>
      <c r="I185" t="str">
        <f>IF(Table1_1[[#This Row],[Type]]="Expense", IF(Table1_1[[#This Row],[Amount]]&gt;Table1_1[[#This Row],[Monthly Budget]], "Over Budget", "OK"), "-")</f>
        <v>Over Budget</v>
      </c>
      <c r="J185">
        <f>IF(Table1_1[[#This Row],[Type]]="Income", Table1_1[[#This Row],[Amount]], -Table1_1[[#This Row],[Amount]])</f>
        <v>-799.34</v>
      </c>
    </row>
    <row r="186" spans="1:10" x14ac:dyDescent="0.25">
      <c r="A186" s="1">
        <v>44081</v>
      </c>
      <c r="B186" t="s">
        <v>201</v>
      </c>
      <c r="C186" t="s">
        <v>11</v>
      </c>
      <c r="D186" s="2">
        <v>1188.27</v>
      </c>
      <c r="E186" t="s">
        <v>7</v>
      </c>
      <c r="F186" t="s">
        <v>1527</v>
      </c>
      <c r="G186">
        <v>2020</v>
      </c>
      <c r="H186">
        <f>IF(Table1_1[[#This Row],[Type]]="Expense", _xlfn.XLOOKUP(Table1_1[[#This Row],[Category]], Budget_Ref[Category], Budget_Ref[Monthly Budget], 0), 0)</f>
        <v>1500</v>
      </c>
      <c r="I186" t="str">
        <f>IF(Table1_1[[#This Row],[Type]]="Expense", IF(Table1_1[[#This Row],[Amount]]&gt;Table1_1[[#This Row],[Monthly Budget]], "Over Budget", "OK"), "-")</f>
        <v>OK</v>
      </c>
      <c r="J186">
        <f>IF(Table1_1[[#This Row],[Type]]="Income", Table1_1[[#This Row],[Amount]], -Table1_1[[#This Row],[Amount]])</f>
        <v>-1188.27</v>
      </c>
    </row>
    <row r="187" spans="1:10" x14ac:dyDescent="0.25">
      <c r="A187" s="1">
        <v>44082</v>
      </c>
      <c r="B187" t="s">
        <v>202</v>
      </c>
      <c r="C187" t="s">
        <v>22</v>
      </c>
      <c r="D187" s="2">
        <v>212.78</v>
      </c>
      <c r="E187" t="s">
        <v>7</v>
      </c>
      <c r="F187" t="s">
        <v>1527</v>
      </c>
      <c r="G187">
        <v>2020</v>
      </c>
      <c r="H187">
        <f>IF(Table1_1[[#This Row],[Type]]="Expense", _xlfn.XLOOKUP(Table1_1[[#This Row],[Category]], Budget_Ref[Category], Budget_Ref[Monthly Budget], 0), 0)</f>
        <v>200</v>
      </c>
      <c r="I187" t="str">
        <f>IF(Table1_1[[#This Row],[Type]]="Expense", IF(Table1_1[[#This Row],[Amount]]&gt;Table1_1[[#This Row],[Monthly Budget]], "Over Budget", "OK"), "-")</f>
        <v>Over Budget</v>
      </c>
      <c r="J187">
        <f>IF(Table1_1[[#This Row],[Type]]="Income", Table1_1[[#This Row],[Amount]], -Table1_1[[#This Row],[Amount]])</f>
        <v>-212.78</v>
      </c>
    </row>
    <row r="188" spans="1:10" x14ac:dyDescent="0.25">
      <c r="A188" s="1">
        <v>44085</v>
      </c>
      <c r="B188" t="s">
        <v>203</v>
      </c>
      <c r="C188" t="s">
        <v>11</v>
      </c>
      <c r="D188" s="2">
        <v>1594.49</v>
      </c>
      <c r="E188" t="s">
        <v>7</v>
      </c>
      <c r="F188" t="s">
        <v>1527</v>
      </c>
      <c r="G188">
        <v>2020</v>
      </c>
      <c r="H188">
        <f>IF(Table1_1[[#This Row],[Type]]="Expense", _xlfn.XLOOKUP(Table1_1[[#This Row],[Category]], Budget_Ref[Category], Budget_Ref[Monthly Budget], 0), 0)</f>
        <v>1500</v>
      </c>
      <c r="I188" t="str">
        <f>IF(Table1_1[[#This Row],[Type]]="Expense", IF(Table1_1[[#This Row],[Amount]]&gt;Table1_1[[#This Row],[Monthly Budget]], "Over Budget", "OK"), "-")</f>
        <v>Over Budget</v>
      </c>
      <c r="J188">
        <f>IF(Table1_1[[#This Row],[Type]]="Income", Table1_1[[#This Row],[Amount]], -Table1_1[[#This Row],[Amount]])</f>
        <v>-1594.49</v>
      </c>
    </row>
    <row r="189" spans="1:10" x14ac:dyDescent="0.25">
      <c r="A189" s="1">
        <v>44085</v>
      </c>
      <c r="B189" t="s">
        <v>204</v>
      </c>
      <c r="C189" t="s">
        <v>6</v>
      </c>
      <c r="D189" s="2">
        <v>700.94</v>
      </c>
      <c r="E189" t="s">
        <v>7</v>
      </c>
      <c r="F189" t="s">
        <v>1527</v>
      </c>
      <c r="G189">
        <v>2020</v>
      </c>
      <c r="H189">
        <f>IF(Table1_1[[#This Row],[Type]]="Expense", _xlfn.XLOOKUP(Table1_1[[#This Row],[Category]], Budget_Ref[Category], Budget_Ref[Monthly Budget], 0), 0)</f>
        <v>500</v>
      </c>
      <c r="I189" t="str">
        <f>IF(Table1_1[[#This Row],[Type]]="Expense", IF(Table1_1[[#This Row],[Amount]]&gt;Table1_1[[#This Row],[Monthly Budget]], "Over Budget", "OK"), "-")</f>
        <v>Over Budget</v>
      </c>
      <c r="J189">
        <f>IF(Table1_1[[#This Row],[Type]]="Income", Table1_1[[#This Row],[Amount]], -Table1_1[[#This Row],[Amount]])</f>
        <v>-700.94</v>
      </c>
    </row>
    <row r="190" spans="1:10" x14ac:dyDescent="0.25">
      <c r="A190" s="1">
        <v>44085</v>
      </c>
      <c r="B190" t="s">
        <v>205</v>
      </c>
      <c r="C190" t="s">
        <v>25</v>
      </c>
      <c r="D190" s="2">
        <v>147.22</v>
      </c>
      <c r="E190" t="s">
        <v>7</v>
      </c>
      <c r="F190" t="s">
        <v>1527</v>
      </c>
      <c r="G190">
        <v>2020</v>
      </c>
      <c r="H190">
        <f>IF(Table1_1[[#This Row],[Type]]="Expense", _xlfn.XLOOKUP(Table1_1[[#This Row],[Category]], Budget_Ref[Category], Budget_Ref[Monthly Budget], 0), 0)</f>
        <v>150</v>
      </c>
      <c r="I190" t="str">
        <f>IF(Table1_1[[#This Row],[Type]]="Expense", IF(Table1_1[[#This Row],[Amount]]&gt;Table1_1[[#This Row],[Monthly Budget]], "Over Budget", "OK"), "-")</f>
        <v>OK</v>
      </c>
      <c r="J190">
        <f>IF(Table1_1[[#This Row],[Type]]="Income", Table1_1[[#This Row],[Amount]], -Table1_1[[#This Row],[Amount]])</f>
        <v>-147.22</v>
      </c>
    </row>
    <row r="191" spans="1:10" x14ac:dyDescent="0.25">
      <c r="A191" s="1">
        <v>44090</v>
      </c>
      <c r="B191" t="s">
        <v>206</v>
      </c>
      <c r="C191" t="s">
        <v>6</v>
      </c>
      <c r="D191" s="2">
        <v>1700.66</v>
      </c>
      <c r="E191" t="s">
        <v>7</v>
      </c>
      <c r="F191" t="s">
        <v>1527</v>
      </c>
      <c r="G191">
        <v>2020</v>
      </c>
      <c r="H191">
        <f>IF(Table1_1[[#This Row],[Type]]="Expense", _xlfn.XLOOKUP(Table1_1[[#This Row],[Category]], Budget_Ref[Category], Budget_Ref[Monthly Budget], 0), 0)</f>
        <v>500</v>
      </c>
      <c r="I191" t="str">
        <f>IF(Table1_1[[#This Row],[Type]]="Expense", IF(Table1_1[[#This Row],[Amount]]&gt;Table1_1[[#This Row],[Monthly Budget]], "Over Budget", "OK"), "-")</f>
        <v>Over Budget</v>
      </c>
      <c r="J191">
        <f>IF(Table1_1[[#This Row],[Type]]="Income", Table1_1[[#This Row],[Amount]], -Table1_1[[#This Row],[Amount]])</f>
        <v>-1700.66</v>
      </c>
    </row>
    <row r="192" spans="1:10" x14ac:dyDescent="0.25">
      <c r="A192" s="1">
        <v>44091</v>
      </c>
      <c r="B192" t="s">
        <v>207</v>
      </c>
      <c r="C192" t="s">
        <v>11</v>
      </c>
      <c r="D192" s="2">
        <v>872.71</v>
      </c>
      <c r="E192" t="s">
        <v>7</v>
      </c>
      <c r="F192" t="s">
        <v>1527</v>
      </c>
      <c r="G192">
        <v>2020</v>
      </c>
      <c r="H192">
        <f>IF(Table1_1[[#This Row],[Type]]="Expense", _xlfn.XLOOKUP(Table1_1[[#This Row],[Category]], Budget_Ref[Category], Budget_Ref[Monthly Budget], 0), 0)</f>
        <v>1500</v>
      </c>
      <c r="I192" t="str">
        <f>IF(Table1_1[[#This Row],[Type]]="Expense", IF(Table1_1[[#This Row],[Amount]]&gt;Table1_1[[#This Row],[Monthly Budget]], "Over Budget", "OK"), "-")</f>
        <v>OK</v>
      </c>
      <c r="J192">
        <f>IF(Table1_1[[#This Row],[Type]]="Income", Table1_1[[#This Row],[Amount]], -Table1_1[[#This Row],[Amount]])</f>
        <v>-872.71</v>
      </c>
    </row>
    <row r="193" spans="1:10" x14ac:dyDescent="0.25">
      <c r="A193" s="1">
        <v>44091</v>
      </c>
      <c r="B193" t="s">
        <v>208</v>
      </c>
      <c r="C193" t="s">
        <v>27</v>
      </c>
      <c r="D193" s="2">
        <v>1417.54</v>
      </c>
      <c r="E193" t="s">
        <v>14</v>
      </c>
      <c r="F193" t="s">
        <v>1527</v>
      </c>
      <c r="G193">
        <v>2020</v>
      </c>
      <c r="H193">
        <f>IF(Table1_1[[#This Row],[Type]]="Expense", _xlfn.XLOOKUP(Table1_1[[#This Row],[Category]], Budget_Ref[Category], Budget_Ref[Monthly Budget], 0), 0)</f>
        <v>0</v>
      </c>
      <c r="I193" t="str">
        <f>IF(Table1_1[[#This Row],[Type]]="Expense", IF(Table1_1[[#This Row],[Amount]]&gt;Table1_1[[#This Row],[Monthly Budget]], "Over Budget", "OK"), "-")</f>
        <v>-</v>
      </c>
      <c r="J193">
        <f>IF(Table1_1[[#This Row],[Type]]="Income", Table1_1[[#This Row],[Amount]], -Table1_1[[#This Row],[Amount]])</f>
        <v>1417.54</v>
      </c>
    </row>
    <row r="194" spans="1:10" x14ac:dyDescent="0.25">
      <c r="A194" s="1">
        <v>44092</v>
      </c>
      <c r="B194" t="s">
        <v>209</v>
      </c>
      <c r="C194" t="s">
        <v>35</v>
      </c>
      <c r="D194" s="2">
        <v>1235.67</v>
      </c>
      <c r="E194" t="s">
        <v>7</v>
      </c>
      <c r="F194" t="s">
        <v>1527</v>
      </c>
      <c r="G194">
        <v>2020</v>
      </c>
      <c r="H194">
        <f>IF(Table1_1[[#This Row],[Type]]="Expense", _xlfn.XLOOKUP(Table1_1[[#This Row],[Category]], Budget_Ref[Category], Budget_Ref[Monthly Budget], 0), 0)</f>
        <v>200</v>
      </c>
      <c r="I194" t="str">
        <f>IF(Table1_1[[#This Row],[Type]]="Expense", IF(Table1_1[[#This Row],[Amount]]&gt;Table1_1[[#This Row],[Monthly Budget]], "Over Budget", "OK"), "-")</f>
        <v>Over Budget</v>
      </c>
      <c r="J194">
        <f>IF(Table1_1[[#This Row],[Type]]="Income", Table1_1[[#This Row],[Amount]], -Table1_1[[#This Row],[Amount]])</f>
        <v>-1235.67</v>
      </c>
    </row>
    <row r="195" spans="1:10" x14ac:dyDescent="0.25">
      <c r="A195" s="1">
        <v>44092</v>
      </c>
      <c r="B195" t="s">
        <v>210</v>
      </c>
      <c r="C195" t="s">
        <v>27</v>
      </c>
      <c r="D195" s="2">
        <v>935.1</v>
      </c>
      <c r="E195" t="s">
        <v>14</v>
      </c>
      <c r="F195" t="s">
        <v>1527</v>
      </c>
      <c r="G195">
        <v>2020</v>
      </c>
      <c r="H195">
        <f>IF(Table1_1[[#This Row],[Type]]="Expense", _xlfn.XLOOKUP(Table1_1[[#This Row],[Category]], Budget_Ref[Category], Budget_Ref[Monthly Budget], 0), 0)</f>
        <v>0</v>
      </c>
      <c r="I195" t="str">
        <f>IF(Table1_1[[#This Row],[Type]]="Expense", IF(Table1_1[[#This Row],[Amount]]&gt;Table1_1[[#This Row],[Monthly Budget]], "Over Budget", "OK"), "-")</f>
        <v>-</v>
      </c>
      <c r="J195">
        <f>IF(Table1_1[[#This Row],[Type]]="Income", Table1_1[[#This Row],[Amount]], -Table1_1[[#This Row],[Amount]])</f>
        <v>935.1</v>
      </c>
    </row>
    <row r="196" spans="1:10" x14ac:dyDescent="0.25">
      <c r="A196" s="1">
        <v>44096</v>
      </c>
      <c r="B196" t="s">
        <v>211</v>
      </c>
      <c r="C196" t="s">
        <v>35</v>
      </c>
      <c r="D196" s="2">
        <v>651.39</v>
      </c>
      <c r="E196" t="s">
        <v>7</v>
      </c>
      <c r="F196" t="s">
        <v>1527</v>
      </c>
      <c r="G196">
        <v>2020</v>
      </c>
      <c r="H196">
        <f>IF(Table1_1[[#This Row],[Type]]="Expense", _xlfn.XLOOKUP(Table1_1[[#This Row],[Category]], Budget_Ref[Category], Budget_Ref[Monthly Budget], 0), 0)</f>
        <v>200</v>
      </c>
      <c r="I196" t="str">
        <f>IF(Table1_1[[#This Row],[Type]]="Expense", IF(Table1_1[[#This Row],[Amount]]&gt;Table1_1[[#This Row],[Monthly Budget]], "Over Budget", "OK"), "-")</f>
        <v>Over Budget</v>
      </c>
      <c r="J196">
        <f>IF(Table1_1[[#This Row],[Type]]="Income", Table1_1[[#This Row],[Amount]], -Table1_1[[#This Row],[Amount]])</f>
        <v>-651.39</v>
      </c>
    </row>
    <row r="197" spans="1:10" x14ac:dyDescent="0.25">
      <c r="A197" s="1">
        <v>44096</v>
      </c>
      <c r="B197" t="s">
        <v>212</v>
      </c>
      <c r="C197" t="s">
        <v>11</v>
      </c>
      <c r="D197" s="2">
        <v>565.07000000000005</v>
      </c>
      <c r="E197" t="s">
        <v>7</v>
      </c>
      <c r="F197" t="s">
        <v>1527</v>
      </c>
      <c r="G197">
        <v>2020</v>
      </c>
      <c r="H197">
        <f>IF(Table1_1[[#This Row],[Type]]="Expense", _xlfn.XLOOKUP(Table1_1[[#This Row],[Category]], Budget_Ref[Category], Budget_Ref[Monthly Budget], 0), 0)</f>
        <v>1500</v>
      </c>
      <c r="I197" t="str">
        <f>IF(Table1_1[[#This Row],[Type]]="Expense", IF(Table1_1[[#This Row],[Amount]]&gt;Table1_1[[#This Row],[Monthly Budget]], "Over Budget", "OK"), "-")</f>
        <v>OK</v>
      </c>
      <c r="J197">
        <f>IF(Table1_1[[#This Row],[Type]]="Income", Table1_1[[#This Row],[Amount]], -Table1_1[[#This Row],[Amount]])</f>
        <v>-565.07000000000005</v>
      </c>
    </row>
    <row r="198" spans="1:10" x14ac:dyDescent="0.25">
      <c r="A198" s="1">
        <v>44096</v>
      </c>
      <c r="B198" t="s">
        <v>213</v>
      </c>
      <c r="C198" t="s">
        <v>27</v>
      </c>
      <c r="D198" s="2">
        <v>1144</v>
      </c>
      <c r="E198" t="s">
        <v>14</v>
      </c>
      <c r="F198" t="s">
        <v>1527</v>
      </c>
      <c r="G198">
        <v>2020</v>
      </c>
      <c r="H198">
        <f>IF(Table1_1[[#This Row],[Type]]="Expense", _xlfn.XLOOKUP(Table1_1[[#This Row],[Category]], Budget_Ref[Category], Budget_Ref[Monthly Budget], 0), 0)</f>
        <v>0</v>
      </c>
      <c r="I198" t="str">
        <f>IF(Table1_1[[#This Row],[Type]]="Expense", IF(Table1_1[[#This Row],[Amount]]&gt;Table1_1[[#This Row],[Monthly Budget]], "Over Budget", "OK"), "-")</f>
        <v>-</v>
      </c>
      <c r="J198">
        <f>IF(Table1_1[[#This Row],[Type]]="Income", Table1_1[[#This Row],[Amount]], -Table1_1[[#This Row],[Amount]])</f>
        <v>1144</v>
      </c>
    </row>
    <row r="199" spans="1:10" x14ac:dyDescent="0.25">
      <c r="A199" s="1">
        <v>44097</v>
      </c>
      <c r="B199" t="s">
        <v>214</v>
      </c>
      <c r="C199" t="s">
        <v>25</v>
      </c>
      <c r="D199" s="2">
        <v>67.11</v>
      </c>
      <c r="E199" t="s">
        <v>7</v>
      </c>
      <c r="F199" t="s">
        <v>1527</v>
      </c>
      <c r="G199">
        <v>2020</v>
      </c>
      <c r="H199">
        <f>IF(Table1_1[[#This Row],[Type]]="Expense", _xlfn.XLOOKUP(Table1_1[[#This Row],[Category]], Budget_Ref[Category], Budget_Ref[Monthly Budget], 0), 0)</f>
        <v>150</v>
      </c>
      <c r="I199" t="str">
        <f>IF(Table1_1[[#This Row],[Type]]="Expense", IF(Table1_1[[#This Row],[Amount]]&gt;Table1_1[[#This Row],[Monthly Budget]], "Over Budget", "OK"), "-")</f>
        <v>OK</v>
      </c>
      <c r="J199">
        <f>IF(Table1_1[[#This Row],[Type]]="Income", Table1_1[[#This Row],[Amount]], -Table1_1[[#This Row],[Amount]])</f>
        <v>-67.11</v>
      </c>
    </row>
    <row r="200" spans="1:10" x14ac:dyDescent="0.25">
      <c r="A200" s="1">
        <v>44097</v>
      </c>
      <c r="B200" t="s">
        <v>215</v>
      </c>
      <c r="C200" t="s">
        <v>9</v>
      </c>
      <c r="D200" s="2">
        <v>980.22</v>
      </c>
      <c r="E200" t="s">
        <v>7</v>
      </c>
      <c r="F200" t="s">
        <v>1527</v>
      </c>
      <c r="G200">
        <v>2020</v>
      </c>
      <c r="H200">
        <f>IF(Table1_1[[#This Row],[Type]]="Expense", _xlfn.XLOOKUP(Table1_1[[#This Row],[Category]], Budget_Ref[Category], Budget_Ref[Monthly Budget], 0), 0)</f>
        <v>150</v>
      </c>
      <c r="I200" t="str">
        <f>IF(Table1_1[[#This Row],[Type]]="Expense", IF(Table1_1[[#This Row],[Amount]]&gt;Table1_1[[#This Row],[Monthly Budget]], "Over Budget", "OK"), "-")</f>
        <v>Over Budget</v>
      </c>
      <c r="J200">
        <f>IF(Table1_1[[#This Row],[Type]]="Income", Table1_1[[#This Row],[Amount]], -Table1_1[[#This Row],[Amount]])</f>
        <v>-980.22</v>
      </c>
    </row>
    <row r="201" spans="1:10" x14ac:dyDescent="0.25">
      <c r="A201" s="1">
        <v>44099</v>
      </c>
      <c r="B201" t="s">
        <v>216</v>
      </c>
      <c r="C201" t="s">
        <v>35</v>
      </c>
      <c r="D201" s="2">
        <v>687.27</v>
      </c>
      <c r="E201" t="s">
        <v>7</v>
      </c>
      <c r="F201" t="s">
        <v>1527</v>
      </c>
      <c r="G201">
        <v>2020</v>
      </c>
      <c r="H201">
        <f>IF(Table1_1[[#This Row],[Type]]="Expense", _xlfn.XLOOKUP(Table1_1[[#This Row],[Category]], Budget_Ref[Category], Budget_Ref[Monthly Budget], 0), 0)</f>
        <v>200</v>
      </c>
      <c r="I201" t="str">
        <f>IF(Table1_1[[#This Row],[Type]]="Expense", IF(Table1_1[[#This Row],[Amount]]&gt;Table1_1[[#This Row],[Monthly Budget]], "Over Budget", "OK"), "-")</f>
        <v>Over Budget</v>
      </c>
      <c r="J201">
        <f>IF(Table1_1[[#This Row],[Type]]="Income", Table1_1[[#This Row],[Amount]], -Table1_1[[#This Row],[Amount]])</f>
        <v>-687.27</v>
      </c>
    </row>
    <row r="202" spans="1:10" x14ac:dyDescent="0.25">
      <c r="A202" s="1">
        <v>44101</v>
      </c>
      <c r="B202" t="s">
        <v>217</v>
      </c>
      <c r="C202" t="s">
        <v>35</v>
      </c>
      <c r="D202" s="2">
        <v>1116.02</v>
      </c>
      <c r="E202" t="s">
        <v>7</v>
      </c>
      <c r="F202" t="s">
        <v>1527</v>
      </c>
      <c r="G202">
        <v>2020</v>
      </c>
      <c r="H202">
        <f>IF(Table1_1[[#This Row],[Type]]="Expense", _xlfn.XLOOKUP(Table1_1[[#This Row],[Category]], Budget_Ref[Category], Budget_Ref[Monthly Budget], 0), 0)</f>
        <v>200</v>
      </c>
      <c r="I202" t="str">
        <f>IF(Table1_1[[#This Row],[Type]]="Expense", IF(Table1_1[[#This Row],[Amount]]&gt;Table1_1[[#This Row],[Monthly Budget]], "Over Budget", "OK"), "-")</f>
        <v>Over Budget</v>
      </c>
      <c r="J202">
        <f>IF(Table1_1[[#This Row],[Type]]="Income", Table1_1[[#This Row],[Amount]], -Table1_1[[#This Row],[Amount]])</f>
        <v>-1116.02</v>
      </c>
    </row>
    <row r="203" spans="1:10" x14ac:dyDescent="0.25">
      <c r="A203" s="1">
        <v>44101</v>
      </c>
      <c r="B203" t="s">
        <v>218</v>
      </c>
      <c r="C203" t="s">
        <v>22</v>
      </c>
      <c r="D203" s="2">
        <v>180.37</v>
      </c>
      <c r="E203" t="s">
        <v>7</v>
      </c>
      <c r="F203" t="s">
        <v>1527</v>
      </c>
      <c r="G203">
        <v>2020</v>
      </c>
      <c r="H203">
        <f>IF(Table1_1[[#This Row],[Type]]="Expense", _xlfn.XLOOKUP(Table1_1[[#This Row],[Category]], Budget_Ref[Category], Budget_Ref[Monthly Budget], 0), 0)</f>
        <v>200</v>
      </c>
      <c r="I203" t="str">
        <f>IF(Table1_1[[#This Row],[Type]]="Expense", IF(Table1_1[[#This Row],[Amount]]&gt;Table1_1[[#This Row],[Monthly Budget]], "Over Budget", "OK"), "-")</f>
        <v>OK</v>
      </c>
      <c r="J203">
        <f>IF(Table1_1[[#This Row],[Type]]="Income", Table1_1[[#This Row],[Amount]], -Table1_1[[#This Row],[Amount]])</f>
        <v>-180.37</v>
      </c>
    </row>
    <row r="204" spans="1:10" x14ac:dyDescent="0.25">
      <c r="A204" s="1">
        <v>44101</v>
      </c>
      <c r="B204" t="s">
        <v>219</v>
      </c>
      <c r="C204" t="s">
        <v>27</v>
      </c>
      <c r="D204" s="2">
        <v>1114.8</v>
      </c>
      <c r="E204" t="s">
        <v>14</v>
      </c>
      <c r="F204" t="s">
        <v>1527</v>
      </c>
      <c r="G204">
        <v>2020</v>
      </c>
      <c r="H204">
        <f>IF(Table1_1[[#This Row],[Type]]="Expense", _xlfn.XLOOKUP(Table1_1[[#This Row],[Category]], Budget_Ref[Category], Budget_Ref[Monthly Budget], 0), 0)</f>
        <v>0</v>
      </c>
      <c r="I204" t="str">
        <f>IF(Table1_1[[#This Row],[Type]]="Expense", IF(Table1_1[[#This Row],[Amount]]&gt;Table1_1[[#This Row],[Monthly Budget]], "Over Budget", "OK"), "-")</f>
        <v>-</v>
      </c>
      <c r="J204">
        <f>IF(Table1_1[[#This Row],[Type]]="Income", Table1_1[[#This Row],[Amount]], -Table1_1[[#This Row],[Amount]])</f>
        <v>1114.8</v>
      </c>
    </row>
    <row r="205" spans="1:10" x14ac:dyDescent="0.25">
      <c r="A205" s="1">
        <v>44103</v>
      </c>
      <c r="B205" t="s">
        <v>220</v>
      </c>
      <c r="C205" t="s">
        <v>27</v>
      </c>
      <c r="D205" s="2">
        <v>1295.3499999999999</v>
      </c>
      <c r="E205" t="s">
        <v>14</v>
      </c>
      <c r="F205" t="s">
        <v>1527</v>
      </c>
      <c r="G205">
        <v>2020</v>
      </c>
      <c r="H205">
        <f>IF(Table1_1[[#This Row],[Type]]="Expense", _xlfn.XLOOKUP(Table1_1[[#This Row],[Category]], Budget_Ref[Category], Budget_Ref[Monthly Budget], 0), 0)</f>
        <v>0</v>
      </c>
      <c r="I205" t="str">
        <f>IF(Table1_1[[#This Row],[Type]]="Expense", IF(Table1_1[[#This Row],[Amount]]&gt;Table1_1[[#This Row],[Monthly Budget]], "Over Budget", "OK"), "-")</f>
        <v>-</v>
      </c>
      <c r="J205">
        <f>IF(Table1_1[[#This Row],[Type]]="Income", Table1_1[[#This Row],[Amount]], -Table1_1[[#This Row],[Amount]])</f>
        <v>1295.3499999999999</v>
      </c>
    </row>
    <row r="206" spans="1:10" x14ac:dyDescent="0.25">
      <c r="A206" s="1">
        <v>44104</v>
      </c>
      <c r="B206" t="s">
        <v>221</v>
      </c>
      <c r="C206" t="s">
        <v>6</v>
      </c>
      <c r="D206" s="2">
        <v>195.18</v>
      </c>
      <c r="E206" t="s">
        <v>7</v>
      </c>
      <c r="F206" t="s">
        <v>1527</v>
      </c>
      <c r="G206">
        <v>2020</v>
      </c>
      <c r="H206">
        <f>IF(Table1_1[[#This Row],[Type]]="Expense", _xlfn.XLOOKUP(Table1_1[[#This Row],[Category]], Budget_Ref[Category], Budget_Ref[Monthly Budget], 0), 0)</f>
        <v>500</v>
      </c>
      <c r="I206" t="str">
        <f>IF(Table1_1[[#This Row],[Type]]="Expense", IF(Table1_1[[#This Row],[Amount]]&gt;Table1_1[[#This Row],[Monthly Budget]], "Over Budget", "OK"), "-")</f>
        <v>OK</v>
      </c>
      <c r="J206">
        <f>IF(Table1_1[[#This Row],[Type]]="Income", Table1_1[[#This Row],[Amount]], -Table1_1[[#This Row],[Amount]])</f>
        <v>-195.18</v>
      </c>
    </row>
    <row r="207" spans="1:10" x14ac:dyDescent="0.25">
      <c r="A207" s="1">
        <v>44105</v>
      </c>
      <c r="B207" t="s">
        <v>222</v>
      </c>
      <c r="C207" t="s">
        <v>22</v>
      </c>
      <c r="D207" s="2">
        <v>619.35</v>
      </c>
      <c r="E207" t="s">
        <v>7</v>
      </c>
      <c r="F207" t="s">
        <v>1528</v>
      </c>
      <c r="G207">
        <v>2020</v>
      </c>
      <c r="H207">
        <f>IF(Table1_1[[#This Row],[Type]]="Expense", _xlfn.XLOOKUP(Table1_1[[#This Row],[Category]], Budget_Ref[Category], Budget_Ref[Monthly Budget], 0), 0)</f>
        <v>200</v>
      </c>
      <c r="I207" t="str">
        <f>IF(Table1_1[[#This Row],[Type]]="Expense", IF(Table1_1[[#This Row],[Amount]]&gt;Table1_1[[#This Row],[Monthly Budget]], "Over Budget", "OK"), "-")</f>
        <v>Over Budget</v>
      </c>
      <c r="J207">
        <f>IF(Table1_1[[#This Row],[Type]]="Income", Table1_1[[#This Row],[Amount]], -Table1_1[[#This Row],[Amount]])</f>
        <v>-619.35</v>
      </c>
    </row>
    <row r="208" spans="1:10" x14ac:dyDescent="0.25">
      <c r="A208" s="1">
        <v>44107</v>
      </c>
      <c r="B208" t="s">
        <v>223</v>
      </c>
      <c r="C208" t="s">
        <v>27</v>
      </c>
      <c r="D208" s="2">
        <v>1111.4100000000001</v>
      </c>
      <c r="E208" t="s">
        <v>14</v>
      </c>
      <c r="F208" t="s">
        <v>1528</v>
      </c>
      <c r="G208">
        <v>2020</v>
      </c>
      <c r="H208">
        <f>IF(Table1_1[[#This Row],[Type]]="Expense", _xlfn.XLOOKUP(Table1_1[[#This Row],[Category]], Budget_Ref[Category], Budget_Ref[Monthly Budget], 0), 0)</f>
        <v>0</v>
      </c>
      <c r="I208" t="str">
        <f>IF(Table1_1[[#This Row],[Type]]="Expense", IF(Table1_1[[#This Row],[Amount]]&gt;Table1_1[[#This Row],[Monthly Budget]], "Over Budget", "OK"), "-")</f>
        <v>-</v>
      </c>
      <c r="J208">
        <f>IF(Table1_1[[#This Row],[Type]]="Income", Table1_1[[#This Row],[Amount]], -Table1_1[[#This Row],[Amount]])</f>
        <v>1111.4100000000001</v>
      </c>
    </row>
    <row r="209" spans="1:10" x14ac:dyDescent="0.25">
      <c r="A209" s="1">
        <v>44108</v>
      </c>
      <c r="B209" t="s">
        <v>224</v>
      </c>
      <c r="C209" t="s">
        <v>25</v>
      </c>
      <c r="D209" s="2">
        <v>710.1</v>
      </c>
      <c r="E209" t="s">
        <v>7</v>
      </c>
      <c r="F209" t="s">
        <v>1528</v>
      </c>
      <c r="G209">
        <v>2020</v>
      </c>
      <c r="H209">
        <f>IF(Table1_1[[#This Row],[Type]]="Expense", _xlfn.XLOOKUP(Table1_1[[#This Row],[Category]], Budget_Ref[Category], Budget_Ref[Monthly Budget], 0), 0)</f>
        <v>150</v>
      </c>
      <c r="I209" t="str">
        <f>IF(Table1_1[[#This Row],[Type]]="Expense", IF(Table1_1[[#This Row],[Amount]]&gt;Table1_1[[#This Row],[Monthly Budget]], "Over Budget", "OK"), "-")</f>
        <v>Over Budget</v>
      </c>
      <c r="J209">
        <f>IF(Table1_1[[#This Row],[Type]]="Income", Table1_1[[#This Row],[Amount]], -Table1_1[[#This Row],[Amount]])</f>
        <v>-710.1</v>
      </c>
    </row>
    <row r="210" spans="1:10" x14ac:dyDescent="0.25">
      <c r="A210" s="1">
        <v>44111</v>
      </c>
      <c r="B210" t="s">
        <v>225</v>
      </c>
      <c r="C210" t="s">
        <v>35</v>
      </c>
      <c r="D210" s="2">
        <v>510.29</v>
      </c>
      <c r="E210" t="s">
        <v>7</v>
      </c>
      <c r="F210" t="s">
        <v>1528</v>
      </c>
      <c r="G210">
        <v>2020</v>
      </c>
      <c r="H210">
        <f>IF(Table1_1[[#This Row],[Type]]="Expense", _xlfn.XLOOKUP(Table1_1[[#This Row],[Category]], Budget_Ref[Category], Budget_Ref[Monthly Budget], 0), 0)</f>
        <v>200</v>
      </c>
      <c r="I210" t="str">
        <f>IF(Table1_1[[#This Row],[Type]]="Expense", IF(Table1_1[[#This Row],[Amount]]&gt;Table1_1[[#This Row],[Monthly Budget]], "Over Budget", "OK"), "-")</f>
        <v>Over Budget</v>
      </c>
      <c r="J210">
        <f>IF(Table1_1[[#This Row],[Type]]="Income", Table1_1[[#This Row],[Amount]], -Table1_1[[#This Row],[Amount]])</f>
        <v>-510.29</v>
      </c>
    </row>
    <row r="211" spans="1:10" x14ac:dyDescent="0.25">
      <c r="A211" s="1">
        <v>44111</v>
      </c>
      <c r="B211" t="s">
        <v>226</v>
      </c>
      <c r="C211" t="s">
        <v>13</v>
      </c>
      <c r="D211" s="2">
        <v>3084</v>
      </c>
      <c r="E211" t="s">
        <v>14</v>
      </c>
      <c r="F211" t="s">
        <v>1528</v>
      </c>
      <c r="G211">
        <v>2020</v>
      </c>
      <c r="H211">
        <f>IF(Table1_1[[#This Row],[Type]]="Expense", _xlfn.XLOOKUP(Table1_1[[#This Row],[Category]], Budget_Ref[Category], Budget_Ref[Monthly Budget], 0), 0)</f>
        <v>0</v>
      </c>
      <c r="I211" t="str">
        <f>IF(Table1_1[[#This Row],[Type]]="Expense", IF(Table1_1[[#This Row],[Amount]]&gt;Table1_1[[#This Row],[Monthly Budget]], "Over Budget", "OK"), "-")</f>
        <v>-</v>
      </c>
      <c r="J211">
        <f>IF(Table1_1[[#This Row],[Type]]="Income", Table1_1[[#This Row],[Amount]], -Table1_1[[#This Row],[Amount]])</f>
        <v>3084</v>
      </c>
    </row>
    <row r="212" spans="1:10" x14ac:dyDescent="0.25">
      <c r="A212" s="1">
        <v>44111</v>
      </c>
      <c r="B212" t="s">
        <v>227</v>
      </c>
      <c r="C212" t="s">
        <v>13</v>
      </c>
      <c r="D212" s="2">
        <v>2069</v>
      </c>
      <c r="E212" t="s">
        <v>14</v>
      </c>
      <c r="F212" t="s">
        <v>1528</v>
      </c>
      <c r="G212">
        <v>2020</v>
      </c>
      <c r="H212">
        <f>IF(Table1_1[[#This Row],[Type]]="Expense", _xlfn.XLOOKUP(Table1_1[[#This Row],[Category]], Budget_Ref[Category], Budget_Ref[Monthly Budget], 0), 0)</f>
        <v>0</v>
      </c>
      <c r="I212" t="str">
        <f>IF(Table1_1[[#This Row],[Type]]="Expense", IF(Table1_1[[#This Row],[Amount]]&gt;Table1_1[[#This Row],[Monthly Budget]], "Over Budget", "OK"), "-")</f>
        <v>-</v>
      </c>
      <c r="J212">
        <f>IF(Table1_1[[#This Row],[Type]]="Income", Table1_1[[#This Row],[Amount]], -Table1_1[[#This Row],[Amount]])</f>
        <v>2069</v>
      </c>
    </row>
    <row r="213" spans="1:10" x14ac:dyDescent="0.25">
      <c r="A213" s="1">
        <v>44112</v>
      </c>
      <c r="B213" t="s">
        <v>228</v>
      </c>
      <c r="C213" t="s">
        <v>27</v>
      </c>
      <c r="D213" s="2">
        <v>560.23</v>
      </c>
      <c r="E213" t="s">
        <v>14</v>
      </c>
      <c r="F213" t="s">
        <v>1528</v>
      </c>
      <c r="G213">
        <v>2020</v>
      </c>
      <c r="H213">
        <f>IF(Table1_1[[#This Row],[Type]]="Expense", _xlfn.XLOOKUP(Table1_1[[#This Row],[Category]], Budget_Ref[Category], Budget_Ref[Monthly Budget], 0), 0)</f>
        <v>0</v>
      </c>
      <c r="I213" t="str">
        <f>IF(Table1_1[[#This Row],[Type]]="Expense", IF(Table1_1[[#This Row],[Amount]]&gt;Table1_1[[#This Row],[Monthly Budget]], "Over Budget", "OK"), "-")</f>
        <v>-</v>
      </c>
      <c r="J213">
        <f>IF(Table1_1[[#This Row],[Type]]="Income", Table1_1[[#This Row],[Amount]], -Table1_1[[#This Row],[Amount]])</f>
        <v>560.23</v>
      </c>
    </row>
    <row r="214" spans="1:10" x14ac:dyDescent="0.25">
      <c r="A214" s="1">
        <v>44112</v>
      </c>
      <c r="B214" t="s">
        <v>229</v>
      </c>
      <c r="C214" t="s">
        <v>35</v>
      </c>
      <c r="D214" s="2">
        <v>1961.22</v>
      </c>
      <c r="E214" t="s">
        <v>7</v>
      </c>
      <c r="F214" t="s">
        <v>1528</v>
      </c>
      <c r="G214">
        <v>2020</v>
      </c>
      <c r="H214">
        <f>IF(Table1_1[[#This Row],[Type]]="Expense", _xlfn.XLOOKUP(Table1_1[[#This Row],[Category]], Budget_Ref[Category], Budget_Ref[Monthly Budget], 0), 0)</f>
        <v>200</v>
      </c>
      <c r="I214" t="str">
        <f>IF(Table1_1[[#This Row],[Type]]="Expense", IF(Table1_1[[#This Row],[Amount]]&gt;Table1_1[[#This Row],[Monthly Budget]], "Over Budget", "OK"), "-")</f>
        <v>Over Budget</v>
      </c>
      <c r="J214">
        <f>IF(Table1_1[[#This Row],[Type]]="Income", Table1_1[[#This Row],[Amount]], -Table1_1[[#This Row],[Amount]])</f>
        <v>-1961.22</v>
      </c>
    </row>
    <row r="215" spans="1:10" x14ac:dyDescent="0.25">
      <c r="A215" s="1">
        <v>44114</v>
      </c>
      <c r="B215" t="s">
        <v>230</v>
      </c>
      <c r="C215" t="s">
        <v>35</v>
      </c>
      <c r="D215" s="2">
        <v>462.69</v>
      </c>
      <c r="E215" t="s">
        <v>7</v>
      </c>
      <c r="F215" t="s">
        <v>1528</v>
      </c>
      <c r="G215">
        <v>2020</v>
      </c>
      <c r="H215">
        <f>IF(Table1_1[[#This Row],[Type]]="Expense", _xlfn.XLOOKUP(Table1_1[[#This Row],[Category]], Budget_Ref[Category], Budget_Ref[Monthly Budget], 0), 0)</f>
        <v>200</v>
      </c>
      <c r="I215" t="str">
        <f>IF(Table1_1[[#This Row],[Type]]="Expense", IF(Table1_1[[#This Row],[Amount]]&gt;Table1_1[[#This Row],[Monthly Budget]], "Over Budget", "OK"), "-")</f>
        <v>Over Budget</v>
      </c>
      <c r="J215">
        <f>IF(Table1_1[[#This Row],[Type]]="Income", Table1_1[[#This Row],[Amount]], -Table1_1[[#This Row],[Amount]])</f>
        <v>-462.69</v>
      </c>
    </row>
    <row r="216" spans="1:10" x14ac:dyDescent="0.25">
      <c r="A216" s="1">
        <v>44114</v>
      </c>
      <c r="B216" t="s">
        <v>231</v>
      </c>
      <c r="C216" t="s">
        <v>13</v>
      </c>
      <c r="D216" s="2">
        <v>4875</v>
      </c>
      <c r="E216" t="s">
        <v>14</v>
      </c>
      <c r="F216" t="s">
        <v>1528</v>
      </c>
      <c r="G216">
        <v>2020</v>
      </c>
      <c r="H216">
        <f>IF(Table1_1[[#This Row],[Type]]="Expense", _xlfn.XLOOKUP(Table1_1[[#This Row],[Category]], Budget_Ref[Category], Budget_Ref[Monthly Budget], 0), 0)</f>
        <v>0</v>
      </c>
      <c r="I216" t="str">
        <f>IF(Table1_1[[#This Row],[Type]]="Expense", IF(Table1_1[[#This Row],[Amount]]&gt;Table1_1[[#This Row],[Monthly Budget]], "Over Budget", "OK"), "-")</f>
        <v>-</v>
      </c>
      <c r="J216">
        <f>IF(Table1_1[[#This Row],[Type]]="Income", Table1_1[[#This Row],[Amount]], -Table1_1[[#This Row],[Amount]])</f>
        <v>4875</v>
      </c>
    </row>
    <row r="217" spans="1:10" x14ac:dyDescent="0.25">
      <c r="A217" s="1">
        <v>44114</v>
      </c>
      <c r="B217" t="s">
        <v>232</v>
      </c>
      <c r="C217" t="s">
        <v>13</v>
      </c>
      <c r="D217" s="2">
        <v>946</v>
      </c>
      <c r="E217" t="s">
        <v>14</v>
      </c>
      <c r="F217" t="s">
        <v>1528</v>
      </c>
      <c r="G217">
        <v>2020</v>
      </c>
      <c r="H217">
        <f>IF(Table1_1[[#This Row],[Type]]="Expense", _xlfn.XLOOKUP(Table1_1[[#This Row],[Category]], Budget_Ref[Category], Budget_Ref[Monthly Budget], 0), 0)</f>
        <v>0</v>
      </c>
      <c r="I217" t="str">
        <f>IF(Table1_1[[#This Row],[Type]]="Expense", IF(Table1_1[[#This Row],[Amount]]&gt;Table1_1[[#This Row],[Monthly Budget]], "Over Budget", "OK"), "-")</f>
        <v>-</v>
      </c>
      <c r="J217">
        <f>IF(Table1_1[[#This Row],[Type]]="Income", Table1_1[[#This Row],[Amount]], -Table1_1[[#This Row],[Amount]])</f>
        <v>946</v>
      </c>
    </row>
    <row r="218" spans="1:10" x14ac:dyDescent="0.25">
      <c r="A218" s="1">
        <v>44116</v>
      </c>
      <c r="B218" t="s">
        <v>233</v>
      </c>
      <c r="C218" t="s">
        <v>9</v>
      </c>
      <c r="D218" s="2">
        <v>1279.3599999999999</v>
      </c>
      <c r="E218" t="s">
        <v>7</v>
      </c>
      <c r="F218" t="s">
        <v>1528</v>
      </c>
      <c r="G218">
        <v>2020</v>
      </c>
      <c r="H218">
        <f>IF(Table1_1[[#This Row],[Type]]="Expense", _xlfn.XLOOKUP(Table1_1[[#This Row],[Category]], Budget_Ref[Category], Budget_Ref[Monthly Budget], 0), 0)</f>
        <v>150</v>
      </c>
      <c r="I218" t="str">
        <f>IF(Table1_1[[#This Row],[Type]]="Expense", IF(Table1_1[[#This Row],[Amount]]&gt;Table1_1[[#This Row],[Monthly Budget]], "Over Budget", "OK"), "-")</f>
        <v>Over Budget</v>
      </c>
      <c r="J218">
        <f>IF(Table1_1[[#This Row],[Type]]="Income", Table1_1[[#This Row],[Amount]], -Table1_1[[#This Row],[Amount]])</f>
        <v>-1279.3599999999999</v>
      </c>
    </row>
    <row r="219" spans="1:10" x14ac:dyDescent="0.25">
      <c r="A219" s="1">
        <v>44118</v>
      </c>
      <c r="B219" t="s">
        <v>234</v>
      </c>
      <c r="C219" t="s">
        <v>11</v>
      </c>
      <c r="D219" s="2">
        <v>1746.71</v>
      </c>
      <c r="E219" t="s">
        <v>7</v>
      </c>
      <c r="F219" t="s">
        <v>1528</v>
      </c>
      <c r="G219">
        <v>2020</v>
      </c>
      <c r="H219">
        <f>IF(Table1_1[[#This Row],[Type]]="Expense", _xlfn.XLOOKUP(Table1_1[[#This Row],[Category]], Budget_Ref[Category], Budget_Ref[Monthly Budget], 0), 0)</f>
        <v>1500</v>
      </c>
      <c r="I219" t="str">
        <f>IF(Table1_1[[#This Row],[Type]]="Expense", IF(Table1_1[[#This Row],[Amount]]&gt;Table1_1[[#This Row],[Monthly Budget]], "Over Budget", "OK"), "-")</f>
        <v>Over Budget</v>
      </c>
      <c r="J219">
        <f>IF(Table1_1[[#This Row],[Type]]="Income", Table1_1[[#This Row],[Amount]], -Table1_1[[#This Row],[Amount]])</f>
        <v>-1746.71</v>
      </c>
    </row>
    <row r="220" spans="1:10" x14ac:dyDescent="0.25">
      <c r="A220" s="1">
        <v>44119</v>
      </c>
      <c r="B220" t="s">
        <v>235</v>
      </c>
      <c r="C220" t="s">
        <v>27</v>
      </c>
      <c r="D220" s="2">
        <v>962.64</v>
      </c>
      <c r="E220" t="s">
        <v>14</v>
      </c>
      <c r="F220" t="s">
        <v>1528</v>
      </c>
      <c r="G220">
        <v>2020</v>
      </c>
      <c r="H220">
        <f>IF(Table1_1[[#This Row],[Type]]="Expense", _xlfn.XLOOKUP(Table1_1[[#This Row],[Category]], Budget_Ref[Category], Budget_Ref[Monthly Budget], 0), 0)</f>
        <v>0</v>
      </c>
      <c r="I220" t="str">
        <f>IF(Table1_1[[#This Row],[Type]]="Expense", IF(Table1_1[[#This Row],[Amount]]&gt;Table1_1[[#This Row],[Monthly Budget]], "Over Budget", "OK"), "-")</f>
        <v>-</v>
      </c>
      <c r="J220">
        <f>IF(Table1_1[[#This Row],[Type]]="Income", Table1_1[[#This Row],[Amount]], -Table1_1[[#This Row],[Amount]])</f>
        <v>962.64</v>
      </c>
    </row>
    <row r="221" spans="1:10" x14ac:dyDescent="0.25">
      <c r="A221" s="1">
        <v>44120</v>
      </c>
      <c r="B221" t="s">
        <v>236</v>
      </c>
      <c r="C221" t="s">
        <v>6</v>
      </c>
      <c r="D221" s="2">
        <v>512.42999999999995</v>
      </c>
      <c r="E221" t="s">
        <v>7</v>
      </c>
      <c r="F221" t="s">
        <v>1528</v>
      </c>
      <c r="G221">
        <v>2020</v>
      </c>
      <c r="H221">
        <f>IF(Table1_1[[#This Row],[Type]]="Expense", _xlfn.XLOOKUP(Table1_1[[#This Row],[Category]], Budget_Ref[Category], Budget_Ref[Monthly Budget], 0), 0)</f>
        <v>500</v>
      </c>
      <c r="I221" t="str">
        <f>IF(Table1_1[[#This Row],[Type]]="Expense", IF(Table1_1[[#This Row],[Amount]]&gt;Table1_1[[#This Row],[Monthly Budget]], "Over Budget", "OK"), "-")</f>
        <v>Over Budget</v>
      </c>
      <c r="J221">
        <f>IF(Table1_1[[#This Row],[Type]]="Income", Table1_1[[#This Row],[Amount]], -Table1_1[[#This Row],[Amount]])</f>
        <v>-512.42999999999995</v>
      </c>
    </row>
    <row r="222" spans="1:10" x14ac:dyDescent="0.25">
      <c r="A222" s="1">
        <v>44120</v>
      </c>
      <c r="B222" t="s">
        <v>237</v>
      </c>
      <c r="C222" t="s">
        <v>11</v>
      </c>
      <c r="D222" s="2">
        <v>1646.01</v>
      </c>
      <c r="E222" t="s">
        <v>7</v>
      </c>
      <c r="F222" t="s">
        <v>1528</v>
      </c>
      <c r="G222">
        <v>2020</v>
      </c>
      <c r="H222">
        <f>IF(Table1_1[[#This Row],[Type]]="Expense", _xlfn.XLOOKUP(Table1_1[[#This Row],[Category]], Budget_Ref[Category], Budget_Ref[Monthly Budget], 0), 0)</f>
        <v>1500</v>
      </c>
      <c r="I222" t="str">
        <f>IF(Table1_1[[#This Row],[Type]]="Expense", IF(Table1_1[[#This Row],[Amount]]&gt;Table1_1[[#This Row],[Monthly Budget]], "Over Budget", "OK"), "-")</f>
        <v>Over Budget</v>
      </c>
      <c r="J222">
        <f>IF(Table1_1[[#This Row],[Type]]="Income", Table1_1[[#This Row],[Amount]], -Table1_1[[#This Row],[Amount]])</f>
        <v>-1646.01</v>
      </c>
    </row>
    <row r="223" spans="1:10" x14ac:dyDescent="0.25">
      <c r="A223" s="1">
        <v>44120</v>
      </c>
      <c r="B223" t="s">
        <v>238</v>
      </c>
      <c r="C223" t="s">
        <v>11</v>
      </c>
      <c r="D223" s="2">
        <v>1158.27</v>
      </c>
      <c r="E223" t="s">
        <v>7</v>
      </c>
      <c r="F223" t="s">
        <v>1528</v>
      </c>
      <c r="G223">
        <v>2020</v>
      </c>
      <c r="H223">
        <f>IF(Table1_1[[#This Row],[Type]]="Expense", _xlfn.XLOOKUP(Table1_1[[#This Row],[Category]], Budget_Ref[Category], Budget_Ref[Monthly Budget], 0), 0)</f>
        <v>1500</v>
      </c>
      <c r="I223" t="str">
        <f>IF(Table1_1[[#This Row],[Type]]="Expense", IF(Table1_1[[#This Row],[Amount]]&gt;Table1_1[[#This Row],[Monthly Budget]], "Over Budget", "OK"), "-")</f>
        <v>OK</v>
      </c>
      <c r="J223">
        <f>IF(Table1_1[[#This Row],[Type]]="Income", Table1_1[[#This Row],[Amount]], -Table1_1[[#This Row],[Amount]])</f>
        <v>-1158.27</v>
      </c>
    </row>
    <row r="224" spans="1:10" x14ac:dyDescent="0.25">
      <c r="A224" s="1">
        <v>44122</v>
      </c>
      <c r="B224" t="s">
        <v>239</v>
      </c>
      <c r="C224" t="s">
        <v>9</v>
      </c>
      <c r="D224" s="2">
        <v>306.89999999999998</v>
      </c>
      <c r="E224" t="s">
        <v>7</v>
      </c>
      <c r="F224" t="s">
        <v>1528</v>
      </c>
      <c r="G224">
        <v>2020</v>
      </c>
      <c r="H224">
        <f>IF(Table1_1[[#This Row],[Type]]="Expense", _xlfn.XLOOKUP(Table1_1[[#This Row],[Category]], Budget_Ref[Category], Budget_Ref[Monthly Budget], 0), 0)</f>
        <v>150</v>
      </c>
      <c r="I224" t="str">
        <f>IF(Table1_1[[#This Row],[Type]]="Expense", IF(Table1_1[[#This Row],[Amount]]&gt;Table1_1[[#This Row],[Monthly Budget]], "Over Budget", "OK"), "-")</f>
        <v>Over Budget</v>
      </c>
      <c r="J224">
        <f>IF(Table1_1[[#This Row],[Type]]="Income", Table1_1[[#This Row],[Amount]], -Table1_1[[#This Row],[Amount]])</f>
        <v>-306.89999999999998</v>
      </c>
    </row>
    <row r="225" spans="1:10" x14ac:dyDescent="0.25">
      <c r="A225" s="1">
        <v>44123</v>
      </c>
      <c r="B225" t="s">
        <v>240</v>
      </c>
      <c r="C225" t="s">
        <v>35</v>
      </c>
      <c r="D225" s="2">
        <v>179.51</v>
      </c>
      <c r="E225" t="s">
        <v>7</v>
      </c>
      <c r="F225" t="s">
        <v>1528</v>
      </c>
      <c r="G225">
        <v>2020</v>
      </c>
      <c r="H225">
        <f>IF(Table1_1[[#This Row],[Type]]="Expense", _xlfn.XLOOKUP(Table1_1[[#This Row],[Category]], Budget_Ref[Category], Budget_Ref[Monthly Budget], 0), 0)</f>
        <v>200</v>
      </c>
      <c r="I225" t="str">
        <f>IF(Table1_1[[#This Row],[Type]]="Expense", IF(Table1_1[[#This Row],[Amount]]&gt;Table1_1[[#This Row],[Monthly Budget]], "Over Budget", "OK"), "-")</f>
        <v>OK</v>
      </c>
      <c r="J225">
        <f>IF(Table1_1[[#This Row],[Type]]="Income", Table1_1[[#This Row],[Amount]], -Table1_1[[#This Row],[Amount]])</f>
        <v>-179.51</v>
      </c>
    </row>
    <row r="226" spans="1:10" x14ac:dyDescent="0.25">
      <c r="A226" s="1">
        <v>44127</v>
      </c>
      <c r="B226" t="s">
        <v>241</v>
      </c>
      <c r="C226" t="s">
        <v>17</v>
      </c>
      <c r="D226" s="2">
        <v>1216.57</v>
      </c>
      <c r="E226" t="s">
        <v>7</v>
      </c>
      <c r="F226" t="s">
        <v>1528</v>
      </c>
      <c r="G226">
        <v>2020</v>
      </c>
      <c r="H226">
        <f>IF(Table1_1[[#This Row],[Type]]="Expense", _xlfn.XLOOKUP(Table1_1[[#This Row],[Category]], Budget_Ref[Category], Budget_Ref[Monthly Budget], 0), 0)</f>
        <v>300</v>
      </c>
      <c r="I226" t="str">
        <f>IF(Table1_1[[#This Row],[Type]]="Expense", IF(Table1_1[[#This Row],[Amount]]&gt;Table1_1[[#This Row],[Monthly Budget]], "Over Budget", "OK"), "-")</f>
        <v>Over Budget</v>
      </c>
      <c r="J226">
        <f>IF(Table1_1[[#This Row],[Type]]="Income", Table1_1[[#This Row],[Amount]], -Table1_1[[#This Row],[Amount]])</f>
        <v>-1216.57</v>
      </c>
    </row>
    <row r="227" spans="1:10" x14ac:dyDescent="0.25">
      <c r="A227" s="1">
        <v>44128</v>
      </c>
      <c r="B227" t="s">
        <v>242</v>
      </c>
      <c r="C227" t="s">
        <v>22</v>
      </c>
      <c r="D227" s="2">
        <v>1553.63</v>
      </c>
      <c r="E227" t="s">
        <v>7</v>
      </c>
      <c r="F227" t="s">
        <v>1528</v>
      </c>
      <c r="G227">
        <v>2020</v>
      </c>
      <c r="H227">
        <f>IF(Table1_1[[#This Row],[Type]]="Expense", _xlfn.XLOOKUP(Table1_1[[#This Row],[Category]], Budget_Ref[Category], Budget_Ref[Monthly Budget], 0), 0)</f>
        <v>200</v>
      </c>
      <c r="I227" t="str">
        <f>IF(Table1_1[[#This Row],[Type]]="Expense", IF(Table1_1[[#This Row],[Amount]]&gt;Table1_1[[#This Row],[Monthly Budget]], "Over Budget", "OK"), "-")</f>
        <v>Over Budget</v>
      </c>
      <c r="J227">
        <f>IF(Table1_1[[#This Row],[Type]]="Income", Table1_1[[#This Row],[Amount]], -Table1_1[[#This Row],[Amount]])</f>
        <v>-1553.63</v>
      </c>
    </row>
    <row r="228" spans="1:10" x14ac:dyDescent="0.25">
      <c r="A228" s="1">
        <v>44130</v>
      </c>
      <c r="B228" t="s">
        <v>243</v>
      </c>
      <c r="C228" t="s">
        <v>27</v>
      </c>
      <c r="D228" s="2">
        <v>601.73</v>
      </c>
      <c r="E228" t="s">
        <v>14</v>
      </c>
      <c r="F228" t="s">
        <v>1528</v>
      </c>
      <c r="G228">
        <v>2020</v>
      </c>
      <c r="H228">
        <f>IF(Table1_1[[#This Row],[Type]]="Expense", _xlfn.XLOOKUP(Table1_1[[#This Row],[Category]], Budget_Ref[Category], Budget_Ref[Monthly Budget], 0), 0)</f>
        <v>0</v>
      </c>
      <c r="I228" t="str">
        <f>IF(Table1_1[[#This Row],[Type]]="Expense", IF(Table1_1[[#This Row],[Amount]]&gt;Table1_1[[#This Row],[Monthly Budget]], "Over Budget", "OK"), "-")</f>
        <v>-</v>
      </c>
      <c r="J228">
        <f>IF(Table1_1[[#This Row],[Type]]="Income", Table1_1[[#This Row],[Amount]], -Table1_1[[#This Row],[Amount]])</f>
        <v>601.73</v>
      </c>
    </row>
    <row r="229" spans="1:10" x14ac:dyDescent="0.25">
      <c r="A229" s="1">
        <v>44131</v>
      </c>
      <c r="B229" t="s">
        <v>244</v>
      </c>
      <c r="C229" t="s">
        <v>17</v>
      </c>
      <c r="D229" s="2">
        <v>617.71</v>
      </c>
      <c r="E229" t="s">
        <v>7</v>
      </c>
      <c r="F229" t="s">
        <v>1528</v>
      </c>
      <c r="G229">
        <v>2020</v>
      </c>
      <c r="H229">
        <f>IF(Table1_1[[#This Row],[Type]]="Expense", _xlfn.XLOOKUP(Table1_1[[#This Row],[Category]], Budget_Ref[Category], Budget_Ref[Monthly Budget], 0), 0)</f>
        <v>300</v>
      </c>
      <c r="I229" t="str">
        <f>IF(Table1_1[[#This Row],[Type]]="Expense", IF(Table1_1[[#This Row],[Amount]]&gt;Table1_1[[#This Row],[Monthly Budget]], "Over Budget", "OK"), "-")</f>
        <v>Over Budget</v>
      </c>
      <c r="J229">
        <f>IF(Table1_1[[#This Row],[Type]]="Income", Table1_1[[#This Row],[Amount]], -Table1_1[[#This Row],[Amount]])</f>
        <v>-617.71</v>
      </c>
    </row>
    <row r="230" spans="1:10" x14ac:dyDescent="0.25">
      <c r="A230" s="1">
        <v>44131</v>
      </c>
      <c r="B230" t="s">
        <v>245</v>
      </c>
      <c r="C230" t="s">
        <v>11</v>
      </c>
      <c r="D230" s="2">
        <v>1895.7</v>
      </c>
      <c r="E230" t="s">
        <v>7</v>
      </c>
      <c r="F230" t="s">
        <v>1528</v>
      </c>
      <c r="G230">
        <v>2020</v>
      </c>
      <c r="H230">
        <f>IF(Table1_1[[#This Row],[Type]]="Expense", _xlfn.XLOOKUP(Table1_1[[#This Row],[Category]], Budget_Ref[Category], Budget_Ref[Monthly Budget], 0), 0)</f>
        <v>1500</v>
      </c>
      <c r="I230" t="str">
        <f>IF(Table1_1[[#This Row],[Type]]="Expense", IF(Table1_1[[#This Row],[Amount]]&gt;Table1_1[[#This Row],[Monthly Budget]], "Over Budget", "OK"), "-")</f>
        <v>Over Budget</v>
      </c>
      <c r="J230">
        <f>IF(Table1_1[[#This Row],[Type]]="Income", Table1_1[[#This Row],[Amount]], -Table1_1[[#This Row],[Amount]])</f>
        <v>-1895.7</v>
      </c>
    </row>
    <row r="231" spans="1:10" x14ac:dyDescent="0.25">
      <c r="A231" s="1">
        <v>44131</v>
      </c>
      <c r="B231" t="s">
        <v>246</v>
      </c>
      <c r="C231" t="s">
        <v>22</v>
      </c>
      <c r="D231" s="2">
        <v>536.65</v>
      </c>
      <c r="E231" t="s">
        <v>7</v>
      </c>
      <c r="F231" t="s">
        <v>1528</v>
      </c>
      <c r="G231">
        <v>2020</v>
      </c>
      <c r="H231">
        <f>IF(Table1_1[[#This Row],[Type]]="Expense", _xlfn.XLOOKUP(Table1_1[[#This Row],[Category]], Budget_Ref[Category], Budget_Ref[Monthly Budget], 0), 0)</f>
        <v>200</v>
      </c>
      <c r="I231" t="str">
        <f>IF(Table1_1[[#This Row],[Type]]="Expense", IF(Table1_1[[#This Row],[Amount]]&gt;Table1_1[[#This Row],[Monthly Budget]], "Over Budget", "OK"), "-")</f>
        <v>Over Budget</v>
      </c>
      <c r="J231">
        <f>IF(Table1_1[[#This Row],[Type]]="Income", Table1_1[[#This Row],[Amount]], -Table1_1[[#This Row],[Amount]])</f>
        <v>-536.65</v>
      </c>
    </row>
    <row r="232" spans="1:10" x14ac:dyDescent="0.25">
      <c r="A232" s="1">
        <v>44132</v>
      </c>
      <c r="B232" t="s">
        <v>247</v>
      </c>
      <c r="C232" t="s">
        <v>13</v>
      </c>
      <c r="D232" s="2">
        <v>1923</v>
      </c>
      <c r="E232" t="s">
        <v>14</v>
      </c>
      <c r="F232" t="s">
        <v>1528</v>
      </c>
      <c r="G232">
        <v>2020</v>
      </c>
      <c r="H232">
        <f>IF(Table1_1[[#This Row],[Type]]="Expense", _xlfn.XLOOKUP(Table1_1[[#This Row],[Category]], Budget_Ref[Category], Budget_Ref[Monthly Budget], 0), 0)</f>
        <v>0</v>
      </c>
      <c r="I232" t="str">
        <f>IF(Table1_1[[#This Row],[Type]]="Expense", IF(Table1_1[[#This Row],[Amount]]&gt;Table1_1[[#This Row],[Monthly Budget]], "Over Budget", "OK"), "-")</f>
        <v>-</v>
      </c>
      <c r="J232">
        <f>IF(Table1_1[[#This Row],[Type]]="Income", Table1_1[[#This Row],[Amount]], -Table1_1[[#This Row],[Amount]])</f>
        <v>1923</v>
      </c>
    </row>
    <row r="233" spans="1:10" x14ac:dyDescent="0.25">
      <c r="A233" s="1">
        <v>44133</v>
      </c>
      <c r="B233" t="s">
        <v>248</v>
      </c>
      <c r="C233" t="s">
        <v>9</v>
      </c>
      <c r="D233" s="2">
        <v>15.32</v>
      </c>
      <c r="E233" t="s">
        <v>7</v>
      </c>
      <c r="F233" t="s">
        <v>1528</v>
      </c>
      <c r="G233">
        <v>2020</v>
      </c>
      <c r="H233">
        <f>IF(Table1_1[[#This Row],[Type]]="Expense", _xlfn.XLOOKUP(Table1_1[[#This Row],[Category]], Budget_Ref[Category], Budget_Ref[Monthly Budget], 0), 0)</f>
        <v>150</v>
      </c>
      <c r="I233" t="str">
        <f>IF(Table1_1[[#This Row],[Type]]="Expense", IF(Table1_1[[#This Row],[Amount]]&gt;Table1_1[[#This Row],[Monthly Budget]], "Over Budget", "OK"), "-")</f>
        <v>OK</v>
      </c>
      <c r="J233">
        <f>IF(Table1_1[[#This Row],[Type]]="Income", Table1_1[[#This Row],[Amount]], -Table1_1[[#This Row],[Amount]])</f>
        <v>-15.32</v>
      </c>
    </row>
    <row r="234" spans="1:10" x14ac:dyDescent="0.25">
      <c r="A234" s="1">
        <v>44134</v>
      </c>
      <c r="B234" t="s">
        <v>249</v>
      </c>
      <c r="C234" t="s">
        <v>27</v>
      </c>
      <c r="D234" s="2">
        <v>589.61</v>
      </c>
      <c r="E234" t="s">
        <v>14</v>
      </c>
      <c r="F234" t="s">
        <v>1528</v>
      </c>
      <c r="G234">
        <v>2020</v>
      </c>
      <c r="H234">
        <f>IF(Table1_1[[#This Row],[Type]]="Expense", _xlfn.XLOOKUP(Table1_1[[#This Row],[Category]], Budget_Ref[Category], Budget_Ref[Monthly Budget], 0), 0)</f>
        <v>0</v>
      </c>
      <c r="I234" t="str">
        <f>IF(Table1_1[[#This Row],[Type]]="Expense", IF(Table1_1[[#This Row],[Amount]]&gt;Table1_1[[#This Row],[Monthly Budget]], "Over Budget", "OK"), "-")</f>
        <v>-</v>
      </c>
      <c r="J234">
        <f>IF(Table1_1[[#This Row],[Type]]="Income", Table1_1[[#This Row],[Amount]], -Table1_1[[#This Row],[Amount]])</f>
        <v>589.61</v>
      </c>
    </row>
    <row r="235" spans="1:10" x14ac:dyDescent="0.25">
      <c r="A235" s="1">
        <v>44135</v>
      </c>
      <c r="B235" t="s">
        <v>250</v>
      </c>
      <c r="C235" t="s">
        <v>35</v>
      </c>
      <c r="D235" s="2">
        <v>1408.95</v>
      </c>
      <c r="E235" t="s">
        <v>7</v>
      </c>
      <c r="F235" t="s">
        <v>1528</v>
      </c>
      <c r="G235">
        <v>2020</v>
      </c>
      <c r="H235">
        <f>IF(Table1_1[[#This Row],[Type]]="Expense", _xlfn.XLOOKUP(Table1_1[[#This Row],[Category]], Budget_Ref[Category], Budget_Ref[Monthly Budget], 0), 0)</f>
        <v>200</v>
      </c>
      <c r="I235" t="str">
        <f>IF(Table1_1[[#This Row],[Type]]="Expense", IF(Table1_1[[#This Row],[Amount]]&gt;Table1_1[[#This Row],[Monthly Budget]], "Over Budget", "OK"), "-")</f>
        <v>Over Budget</v>
      </c>
      <c r="J235">
        <f>IF(Table1_1[[#This Row],[Type]]="Income", Table1_1[[#This Row],[Amount]], -Table1_1[[#This Row],[Amount]])</f>
        <v>-1408.95</v>
      </c>
    </row>
    <row r="236" spans="1:10" x14ac:dyDescent="0.25">
      <c r="A236" s="1">
        <v>44136</v>
      </c>
      <c r="B236" t="s">
        <v>251</v>
      </c>
      <c r="C236" t="s">
        <v>22</v>
      </c>
      <c r="D236" s="2">
        <v>1848.58</v>
      </c>
      <c r="E236" t="s">
        <v>7</v>
      </c>
      <c r="F236" t="s">
        <v>1529</v>
      </c>
      <c r="G236">
        <v>2020</v>
      </c>
      <c r="H236">
        <f>IF(Table1_1[[#This Row],[Type]]="Expense", _xlfn.XLOOKUP(Table1_1[[#This Row],[Category]], Budget_Ref[Category], Budget_Ref[Monthly Budget], 0), 0)</f>
        <v>200</v>
      </c>
      <c r="I236" t="str">
        <f>IF(Table1_1[[#This Row],[Type]]="Expense", IF(Table1_1[[#This Row],[Amount]]&gt;Table1_1[[#This Row],[Monthly Budget]], "Over Budget", "OK"), "-")</f>
        <v>Over Budget</v>
      </c>
      <c r="J236">
        <f>IF(Table1_1[[#This Row],[Type]]="Income", Table1_1[[#This Row],[Amount]], -Table1_1[[#This Row],[Amount]])</f>
        <v>-1848.58</v>
      </c>
    </row>
    <row r="237" spans="1:10" x14ac:dyDescent="0.25">
      <c r="A237" s="1">
        <v>44136</v>
      </c>
      <c r="B237" t="s">
        <v>252</v>
      </c>
      <c r="C237" t="s">
        <v>22</v>
      </c>
      <c r="D237" s="2">
        <v>856.03</v>
      </c>
      <c r="E237" t="s">
        <v>7</v>
      </c>
      <c r="F237" t="s">
        <v>1529</v>
      </c>
      <c r="G237">
        <v>2020</v>
      </c>
      <c r="H237">
        <f>IF(Table1_1[[#This Row],[Type]]="Expense", _xlfn.XLOOKUP(Table1_1[[#This Row],[Category]], Budget_Ref[Category], Budget_Ref[Monthly Budget], 0), 0)</f>
        <v>200</v>
      </c>
      <c r="I237" t="str">
        <f>IF(Table1_1[[#This Row],[Type]]="Expense", IF(Table1_1[[#This Row],[Amount]]&gt;Table1_1[[#This Row],[Monthly Budget]], "Over Budget", "OK"), "-")</f>
        <v>Over Budget</v>
      </c>
      <c r="J237">
        <f>IF(Table1_1[[#This Row],[Type]]="Income", Table1_1[[#This Row],[Amount]], -Table1_1[[#This Row],[Amount]])</f>
        <v>-856.03</v>
      </c>
    </row>
    <row r="238" spans="1:10" x14ac:dyDescent="0.25">
      <c r="A238" s="1">
        <v>44137</v>
      </c>
      <c r="B238" t="s">
        <v>253</v>
      </c>
      <c r="C238" t="s">
        <v>9</v>
      </c>
      <c r="D238" s="2">
        <v>1817.74</v>
      </c>
      <c r="E238" t="s">
        <v>7</v>
      </c>
      <c r="F238" t="s">
        <v>1529</v>
      </c>
      <c r="G238">
        <v>2020</v>
      </c>
      <c r="H238">
        <f>IF(Table1_1[[#This Row],[Type]]="Expense", _xlfn.XLOOKUP(Table1_1[[#This Row],[Category]], Budget_Ref[Category], Budget_Ref[Monthly Budget], 0), 0)</f>
        <v>150</v>
      </c>
      <c r="I238" t="str">
        <f>IF(Table1_1[[#This Row],[Type]]="Expense", IF(Table1_1[[#This Row],[Amount]]&gt;Table1_1[[#This Row],[Monthly Budget]], "Over Budget", "OK"), "-")</f>
        <v>Over Budget</v>
      </c>
      <c r="J238">
        <f>IF(Table1_1[[#This Row],[Type]]="Income", Table1_1[[#This Row],[Amount]], -Table1_1[[#This Row],[Amount]])</f>
        <v>-1817.74</v>
      </c>
    </row>
    <row r="239" spans="1:10" x14ac:dyDescent="0.25">
      <c r="A239" s="1">
        <v>44139</v>
      </c>
      <c r="B239" t="s">
        <v>254</v>
      </c>
      <c r="C239" t="s">
        <v>11</v>
      </c>
      <c r="D239" s="2">
        <v>128.68</v>
      </c>
      <c r="E239" t="s">
        <v>7</v>
      </c>
      <c r="F239" t="s">
        <v>1529</v>
      </c>
      <c r="G239">
        <v>2020</v>
      </c>
      <c r="H239">
        <f>IF(Table1_1[[#This Row],[Type]]="Expense", _xlfn.XLOOKUP(Table1_1[[#This Row],[Category]], Budget_Ref[Category], Budget_Ref[Monthly Budget], 0), 0)</f>
        <v>1500</v>
      </c>
      <c r="I239" t="str">
        <f>IF(Table1_1[[#This Row],[Type]]="Expense", IF(Table1_1[[#This Row],[Amount]]&gt;Table1_1[[#This Row],[Monthly Budget]], "Over Budget", "OK"), "-")</f>
        <v>OK</v>
      </c>
      <c r="J239">
        <f>IF(Table1_1[[#This Row],[Type]]="Income", Table1_1[[#This Row],[Amount]], -Table1_1[[#This Row],[Amount]])</f>
        <v>-128.68</v>
      </c>
    </row>
    <row r="240" spans="1:10" x14ac:dyDescent="0.25">
      <c r="A240" s="1">
        <v>44141</v>
      </c>
      <c r="B240" t="s">
        <v>255</v>
      </c>
      <c r="C240" t="s">
        <v>35</v>
      </c>
      <c r="D240" s="2">
        <v>883.92</v>
      </c>
      <c r="E240" t="s">
        <v>7</v>
      </c>
      <c r="F240" t="s">
        <v>1529</v>
      </c>
      <c r="G240">
        <v>2020</v>
      </c>
      <c r="H240">
        <f>IF(Table1_1[[#This Row],[Type]]="Expense", _xlfn.XLOOKUP(Table1_1[[#This Row],[Category]], Budget_Ref[Category], Budget_Ref[Monthly Budget], 0), 0)</f>
        <v>200</v>
      </c>
      <c r="I240" t="str">
        <f>IF(Table1_1[[#This Row],[Type]]="Expense", IF(Table1_1[[#This Row],[Amount]]&gt;Table1_1[[#This Row],[Monthly Budget]], "Over Budget", "OK"), "-")</f>
        <v>Over Budget</v>
      </c>
      <c r="J240">
        <f>IF(Table1_1[[#This Row],[Type]]="Income", Table1_1[[#This Row],[Amount]], -Table1_1[[#This Row],[Amount]])</f>
        <v>-883.92</v>
      </c>
    </row>
    <row r="241" spans="1:10" x14ac:dyDescent="0.25">
      <c r="A241" s="1">
        <v>44142</v>
      </c>
      <c r="B241" t="s">
        <v>256</v>
      </c>
      <c r="C241" t="s">
        <v>35</v>
      </c>
      <c r="D241" s="2">
        <v>1402.47</v>
      </c>
      <c r="E241" t="s">
        <v>7</v>
      </c>
      <c r="F241" t="s">
        <v>1529</v>
      </c>
      <c r="G241">
        <v>2020</v>
      </c>
      <c r="H241">
        <f>IF(Table1_1[[#This Row],[Type]]="Expense", _xlfn.XLOOKUP(Table1_1[[#This Row],[Category]], Budget_Ref[Category], Budget_Ref[Monthly Budget], 0), 0)</f>
        <v>200</v>
      </c>
      <c r="I241" t="str">
        <f>IF(Table1_1[[#This Row],[Type]]="Expense", IF(Table1_1[[#This Row],[Amount]]&gt;Table1_1[[#This Row],[Monthly Budget]], "Over Budget", "OK"), "-")</f>
        <v>Over Budget</v>
      </c>
      <c r="J241">
        <f>IF(Table1_1[[#This Row],[Type]]="Income", Table1_1[[#This Row],[Amount]], -Table1_1[[#This Row],[Amount]])</f>
        <v>-1402.47</v>
      </c>
    </row>
    <row r="242" spans="1:10" x14ac:dyDescent="0.25">
      <c r="A242" s="1">
        <v>44144</v>
      </c>
      <c r="B242" t="s">
        <v>257</v>
      </c>
      <c r="C242" t="s">
        <v>27</v>
      </c>
      <c r="D242" s="2">
        <v>881.14</v>
      </c>
      <c r="E242" t="s">
        <v>14</v>
      </c>
      <c r="F242" t="s">
        <v>1529</v>
      </c>
      <c r="G242">
        <v>2020</v>
      </c>
      <c r="H242">
        <f>IF(Table1_1[[#This Row],[Type]]="Expense", _xlfn.XLOOKUP(Table1_1[[#This Row],[Category]], Budget_Ref[Category], Budget_Ref[Monthly Budget], 0), 0)</f>
        <v>0</v>
      </c>
      <c r="I242" t="str">
        <f>IF(Table1_1[[#This Row],[Type]]="Expense", IF(Table1_1[[#This Row],[Amount]]&gt;Table1_1[[#This Row],[Monthly Budget]], "Over Budget", "OK"), "-")</f>
        <v>-</v>
      </c>
      <c r="J242">
        <f>IF(Table1_1[[#This Row],[Type]]="Income", Table1_1[[#This Row],[Amount]], -Table1_1[[#This Row],[Amount]])</f>
        <v>881.14</v>
      </c>
    </row>
    <row r="243" spans="1:10" x14ac:dyDescent="0.25">
      <c r="A243" s="1">
        <v>44145</v>
      </c>
      <c r="B243" t="s">
        <v>258</v>
      </c>
      <c r="C243" t="s">
        <v>17</v>
      </c>
      <c r="D243" s="2">
        <v>1471.72</v>
      </c>
      <c r="E243" t="s">
        <v>7</v>
      </c>
      <c r="F243" t="s">
        <v>1529</v>
      </c>
      <c r="G243">
        <v>2020</v>
      </c>
      <c r="H243">
        <f>IF(Table1_1[[#This Row],[Type]]="Expense", _xlfn.XLOOKUP(Table1_1[[#This Row],[Category]], Budget_Ref[Category], Budget_Ref[Monthly Budget], 0), 0)</f>
        <v>300</v>
      </c>
      <c r="I243" t="str">
        <f>IF(Table1_1[[#This Row],[Type]]="Expense", IF(Table1_1[[#This Row],[Amount]]&gt;Table1_1[[#This Row],[Monthly Budget]], "Over Budget", "OK"), "-")</f>
        <v>Over Budget</v>
      </c>
      <c r="J243">
        <f>IF(Table1_1[[#This Row],[Type]]="Income", Table1_1[[#This Row],[Amount]], -Table1_1[[#This Row],[Amount]])</f>
        <v>-1471.72</v>
      </c>
    </row>
    <row r="244" spans="1:10" x14ac:dyDescent="0.25">
      <c r="A244" s="1">
        <v>44145</v>
      </c>
      <c r="B244" t="s">
        <v>259</v>
      </c>
      <c r="C244" t="s">
        <v>6</v>
      </c>
      <c r="D244" s="2">
        <v>191.74</v>
      </c>
      <c r="E244" t="s">
        <v>7</v>
      </c>
      <c r="F244" t="s">
        <v>1529</v>
      </c>
      <c r="G244">
        <v>2020</v>
      </c>
      <c r="H244">
        <f>IF(Table1_1[[#This Row],[Type]]="Expense", _xlfn.XLOOKUP(Table1_1[[#This Row],[Category]], Budget_Ref[Category], Budget_Ref[Monthly Budget], 0), 0)</f>
        <v>500</v>
      </c>
      <c r="I244" t="str">
        <f>IF(Table1_1[[#This Row],[Type]]="Expense", IF(Table1_1[[#This Row],[Amount]]&gt;Table1_1[[#This Row],[Monthly Budget]], "Over Budget", "OK"), "-")</f>
        <v>OK</v>
      </c>
      <c r="J244">
        <f>IF(Table1_1[[#This Row],[Type]]="Income", Table1_1[[#This Row],[Amount]], -Table1_1[[#This Row],[Amount]])</f>
        <v>-191.74</v>
      </c>
    </row>
    <row r="245" spans="1:10" x14ac:dyDescent="0.25">
      <c r="A245" s="1">
        <v>44147</v>
      </c>
      <c r="B245" t="s">
        <v>260</v>
      </c>
      <c r="C245" t="s">
        <v>6</v>
      </c>
      <c r="D245" s="2">
        <v>1999.15</v>
      </c>
      <c r="E245" t="s">
        <v>7</v>
      </c>
      <c r="F245" t="s">
        <v>1529</v>
      </c>
      <c r="G245">
        <v>2020</v>
      </c>
      <c r="H245">
        <f>IF(Table1_1[[#This Row],[Type]]="Expense", _xlfn.XLOOKUP(Table1_1[[#This Row],[Category]], Budget_Ref[Category], Budget_Ref[Monthly Budget], 0), 0)</f>
        <v>500</v>
      </c>
      <c r="I245" t="str">
        <f>IF(Table1_1[[#This Row],[Type]]="Expense", IF(Table1_1[[#This Row],[Amount]]&gt;Table1_1[[#This Row],[Monthly Budget]], "Over Budget", "OK"), "-")</f>
        <v>Over Budget</v>
      </c>
      <c r="J245">
        <f>IF(Table1_1[[#This Row],[Type]]="Income", Table1_1[[#This Row],[Amount]], -Table1_1[[#This Row],[Amount]])</f>
        <v>-1999.15</v>
      </c>
    </row>
    <row r="246" spans="1:10" x14ac:dyDescent="0.25">
      <c r="A246" s="1">
        <v>44147</v>
      </c>
      <c r="B246" t="s">
        <v>261</v>
      </c>
      <c r="C246" t="s">
        <v>35</v>
      </c>
      <c r="D246" s="2">
        <v>1156.73</v>
      </c>
      <c r="E246" t="s">
        <v>7</v>
      </c>
      <c r="F246" t="s">
        <v>1529</v>
      </c>
      <c r="G246">
        <v>2020</v>
      </c>
      <c r="H246">
        <f>IF(Table1_1[[#This Row],[Type]]="Expense", _xlfn.XLOOKUP(Table1_1[[#This Row],[Category]], Budget_Ref[Category], Budget_Ref[Monthly Budget], 0), 0)</f>
        <v>200</v>
      </c>
      <c r="I246" t="str">
        <f>IF(Table1_1[[#This Row],[Type]]="Expense", IF(Table1_1[[#This Row],[Amount]]&gt;Table1_1[[#This Row],[Monthly Budget]], "Over Budget", "OK"), "-")</f>
        <v>Over Budget</v>
      </c>
      <c r="J246">
        <f>IF(Table1_1[[#This Row],[Type]]="Income", Table1_1[[#This Row],[Amount]], -Table1_1[[#This Row],[Amount]])</f>
        <v>-1156.73</v>
      </c>
    </row>
    <row r="247" spans="1:10" x14ac:dyDescent="0.25">
      <c r="A247" s="1">
        <v>44149</v>
      </c>
      <c r="B247" t="s">
        <v>262</v>
      </c>
      <c r="C247" t="s">
        <v>9</v>
      </c>
      <c r="D247" s="2">
        <v>946.3</v>
      </c>
      <c r="E247" t="s">
        <v>7</v>
      </c>
      <c r="F247" t="s">
        <v>1529</v>
      </c>
      <c r="G247">
        <v>2020</v>
      </c>
      <c r="H247">
        <f>IF(Table1_1[[#This Row],[Type]]="Expense", _xlfn.XLOOKUP(Table1_1[[#This Row],[Category]], Budget_Ref[Category], Budget_Ref[Monthly Budget], 0), 0)</f>
        <v>150</v>
      </c>
      <c r="I247" t="str">
        <f>IF(Table1_1[[#This Row],[Type]]="Expense", IF(Table1_1[[#This Row],[Amount]]&gt;Table1_1[[#This Row],[Monthly Budget]], "Over Budget", "OK"), "-")</f>
        <v>Over Budget</v>
      </c>
      <c r="J247">
        <f>IF(Table1_1[[#This Row],[Type]]="Income", Table1_1[[#This Row],[Amount]], -Table1_1[[#This Row],[Amount]])</f>
        <v>-946.3</v>
      </c>
    </row>
    <row r="248" spans="1:10" x14ac:dyDescent="0.25">
      <c r="A248" s="1">
        <v>44149</v>
      </c>
      <c r="B248" t="s">
        <v>263</v>
      </c>
      <c r="C248" t="s">
        <v>35</v>
      </c>
      <c r="D248" s="2">
        <v>371.16</v>
      </c>
      <c r="E248" t="s">
        <v>7</v>
      </c>
      <c r="F248" t="s">
        <v>1529</v>
      </c>
      <c r="G248">
        <v>2020</v>
      </c>
      <c r="H248">
        <f>IF(Table1_1[[#This Row],[Type]]="Expense", _xlfn.XLOOKUP(Table1_1[[#This Row],[Category]], Budget_Ref[Category], Budget_Ref[Monthly Budget], 0), 0)</f>
        <v>200</v>
      </c>
      <c r="I248" t="str">
        <f>IF(Table1_1[[#This Row],[Type]]="Expense", IF(Table1_1[[#This Row],[Amount]]&gt;Table1_1[[#This Row],[Monthly Budget]], "Over Budget", "OK"), "-")</f>
        <v>Over Budget</v>
      </c>
      <c r="J248">
        <f>IF(Table1_1[[#This Row],[Type]]="Income", Table1_1[[#This Row],[Amount]], -Table1_1[[#This Row],[Amount]])</f>
        <v>-371.16</v>
      </c>
    </row>
    <row r="249" spans="1:10" x14ac:dyDescent="0.25">
      <c r="A249" s="1">
        <v>44149</v>
      </c>
      <c r="B249" t="s">
        <v>264</v>
      </c>
      <c r="C249" t="s">
        <v>27</v>
      </c>
      <c r="D249" s="2">
        <v>1938.42</v>
      </c>
      <c r="E249" t="s">
        <v>14</v>
      </c>
      <c r="F249" t="s">
        <v>1529</v>
      </c>
      <c r="G249">
        <v>2020</v>
      </c>
      <c r="H249">
        <f>IF(Table1_1[[#This Row],[Type]]="Expense", _xlfn.XLOOKUP(Table1_1[[#This Row],[Category]], Budget_Ref[Category], Budget_Ref[Monthly Budget], 0), 0)</f>
        <v>0</v>
      </c>
      <c r="I249" t="str">
        <f>IF(Table1_1[[#This Row],[Type]]="Expense", IF(Table1_1[[#This Row],[Amount]]&gt;Table1_1[[#This Row],[Monthly Budget]], "Over Budget", "OK"), "-")</f>
        <v>-</v>
      </c>
      <c r="J249">
        <f>IF(Table1_1[[#This Row],[Type]]="Income", Table1_1[[#This Row],[Amount]], -Table1_1[[#This Row],[Amount]])</f>
        <v>1938.42</v>
      </c>
    </row>
    <row r="250" spans="1:10" x14ac:dyDescent="0.25">
      <c r="A250" s="1">
        <v>44149</v>
      </c>
      <c r="B250" t="s">
        <v>265</v>
      </c>
      <c r="C250" t="s">
        <v>17</v>
      </c>
      <c r="D250" s="2">
        <v>673.28</v>
      </c>
      <c r="E250" t="s">
        <v>7</v>
      </c>
      <c r="F250" t="s">
        <v>1529</v>
      </c>
      <c r="G250">
        <v>2020</v>
      </c>
      <c r="H250">
        <f>IF(Table1_1[[#This Row],[Type]]="Expense", _xlfn.XLOOKUP(Table1_1[[#This Row],[Category]], Budget_Ref[Category], Budget_Ref[Monthly Budget], 0), 0)</f>
        <v>300</v>
      </c>
      <c r="I250" t="str">
        <f>IF(Table1_1[[#This Row],[Type]]="Expense", IF(Table1_1[[#This Row],[Amount]]&gt;Table1_1[[#This Row],[Monthly Budget]], "Over Budget", "OK"), "-")</f>
        <v>Over Budget</v>
      </c>
      <c r="J250">
        <f>IF(Table1_1[[#This Row],[Type]]="Income", Table1_1[[#This Row],[Amount]], -Table1_1[[#This Row],[Amount]])</f>
        <v>-673.28</v>
      </c>
    </row>
    <row r="251" spans="1:10" x14ac:dyDescent="0.25">
      <c r="A251" s="1">
        <v>44150</v>
      </c>
      <c r="B251" t="s">
        <v>266</v>
      </c>
      <c r="C251" t="s">
        <v>9</v>
      </c>
      <c r="D251" s="2">
        <v>666.31</v>
      </c>
      <c r="E251" t="s">
        <v>7</v>
      </c>
      <c r="F251" t="s">
        <v>1529</v>
      </c>
      <c r="G251">
        <v>2020</v>
      </c>
      <c r="H251">
        <f>IF(Table1_1[[#This Row],[Type]]="Expense", _xlfn.XLOOKUP(Table1_1[[#This Row],[Category]], Budget_Ref[Category], Budget_Ref[Monthly Budget], 0), 0)</f>
        <v>150</v>
      </c>
      <c r="I251" t="str">
        <f>IF(Table1_1[[#This Row],[Type]]="Expense", IF(Table1_1[[#This Row],[Amount]]&gt;Table1_1[[#This Row],[Monthly Budget]], "Over Budget", "OK"), "-")</f>
        <v>Over Budget</v>
      </c>
      <c r="J251">
        <f>IF(Table1_1[[#This Row],[Type]]="Income", Table1_1[[#This Row],[Amount]], -Table1_1[[#This Row],[Amount]])</f>
        <v>-666.31</v>
      </c>
    </row>
    <row r="252" spans="1:10" x14ac:dyDescent="0.25">
      <c r="A252" s="1">
        <v>44150</v>
      </c>
      <c r="B252" t="s">
        <v>267</v>
      </c>
      <c r="C252" t="s">
        <v>35</v>
      </c>
      <c r="D252" s="2">
        <v>1328.54</v>
      </c>
      <c r="E252" t="s">
        <v>7</v>
      </c>
      <c r="F252" t="s">
        <v>1529</v>
      </c>
      <c r="G252">
        <v>2020</v>
      </c>
      <c r="H252">
        <f>IF(Table1_1[[#This Row],[Type]]="Expense", _xlfn.XLOOKUP(Table1_1[[#This Row],[Category]], Budget_Ref[Category], Budget_Ref[Monthly Budget], 0), 0)</f>
        <v>200</v>
      </c>
      <c r="I252" t="str">
        <f>IF(Table1_1[[#This Row],[Type]]="Expense", IF(Table1_1[[#This Row],[Amount]]&gt;Table1_1[[#This Row],[Monthly Budget]], "Over Budget", "OK"), "-")</f>
        <v>Over Budget</v>
      </c>
      <c r="J252">
        <f>IF(Table1_1[[#This Row],[Type]]="Income", Table1_1[[#This Row],[Amount]], -Table1_1[[#This Row],[Amount]])</f>
        <v>-1328.54</v>
      </c>
    </row>
    <row r="253" spans="1:10" x14ac:dyDescent="0.25">
      <c r="A253" s="1">
        <v>44151</v>
      </c>
      <c r="B253" t="s">
        <v>268</v>
      </c>
      <c r="C253" t="s">
        <v>6</v>
      </c>
      <c r="D253" s="2">
        <v>915.1</v>
      </c>
      <c r="E253" t="s">
        <v>7</v>
      </c>
      <c r="F253" t="s">
        <v>1529</v>
      </c>
      <c r="G253">
        <v>2020</v>
      </c>
      <c r="H253">
        <f>IF(Table1_1[[#This Row],[Type]]="Expense", _xlfn.XLOOKUP(Table1_1[[#This Row],[Category]], Budget_Ref[Category], Budget_Ref[Monthly Budget], 0), 0)</f>
        <v>500</v>
      </c>
      <c r="I253" t="str">
        <f>IF(Table1_1[[#This Row],[Type]]="Expense", IF(Table1_1[[#This Row],[Amount]]&gt;Table1_1[[#This Row],[Monthly Budget]], "Over Budget", "OK"), "-")</f>
        <v>Over Budget</v>
      </c>
      <c r="J253">
        <f>IF(Table1_1[[#This Row],[Type]]="Income", Table1_1[[#This Row],[Amount]], -Table1_1[[#This Row],[Amount]])</f>
        <v>-915.1</v>
      </c>
    </row>
    <row r="254" spans="1:10" x14ac:dyDescent="0.25">
      <c r="A254" s="1">
        <v>44151</v>
      </c>
      <c r="B254" t="s">
        <v>269</v>
      </c>
      <c r="C254" t="s">
        <v>25</v>
      </c>
      <c r="D254" s="2">
        <v>240.68</v>
      </c>
      <c r="E254" t="s">
        <v>7</v>
      </c>
      <c r="F254" t="s">
        <v>1529</v>
      </c>
      <c r="G254">
        <v>2020</v>
      </c>
      <c r="H254">
        <f>IF(Table1_1[[#This Row],[Type]]="Expense", _xlfn.XLOOKUP(Table1_1[[#This Row],[Category]], Budget_Ref[Category], Budget_Ref[Monthly Budget], 0), 0)</f>
        <v>150</v>
      </c>
      <c r="I254" t="str">
        <f>IF(Table1_1[[#This Row],[Type]]="Expense", IF(Table1_1[[#This Row],[Amount]]&gt;Table1_1[[#This Row],[Monthly Budget]], "Over Budget", "OK"), "-")</f>
        <v>Over Budget</v>
      </c>
      <c r="J254">
        <f>IF(Table1_1[[#This Row],[Type]]="Income", Table1_1[[#This Row],[Amount]], -Table1_1[[#This Row],[Amount]])</f>
        <v>-240.68</v>
      </c>
    </row>
    <row r="255" spans="1:10" x14ac:dyDescent="0.25">
      <c r="A255" s="1">
        <v>44152</v>
      </c>
      <c r="B255" t="s">
        <v>270</v>
      </c>
      <c r="C255" t="s">
        <v>6</v>
      </c>
      <c r="D255" s="2">
        <v>1318.74</v>
      </c>
      <c r="E255" t="s">
        <v>7</v>
      </c>
      <c r="F255" t="s">
        <v>1529</v>
      </c>
      <c r="G255">
        <v>2020</v>
      </c>
      <c r="H255">
        <f>IF(Table1_1[[#This Row],[Type]]="Expense", _xlfn.XLOOKUP(Table1_1[[#This Row],[Category]], Budget_Ref[Category], Budget_Ref[Monthly Budget], 0), 0)</f>
        <v>500</v>
      </c>
      <c r="I255" t="str">
        <f>IF(Table1_1[[#This Row],[Type]]="Expense", IF(Table1_1[[#This Row],[Amount]]&gt;Table1_1[[#This Row],[Monthly Budget]], "Over Budget", "OK"), "-")</f>
        <v>Over Budget</v>
      </c>
      <c r="J255">
        <f>IF(Table1_1[[#This Row],[Type]]="Income", Table1_1[[#This Row],[Amount]], -Table1_1[[#This Row],[Amount]])</f>
        <v>-1318.74</v>
      </c>
    </row>
    <row r="256" spans="1:10" x14ac:dyDescent="0.25">
      <c r="A256" s="1">
        <v>44155</v>
      </c>
      <c r="B256" t="s">
        <v>271</v>
      </c>
      <c r="C256" t="s">
        <v>17</v>
      </c>
      <c r="D256" s="2">
        <v>117.87</v>
      </c>
      <c r="E256" t="s">
        <v>7</v>
      </c>
      <c r="F256" t="s">
        <v>1529</v>
      </c>
      <c r="G256">
        <v>2020</v>
      </c>
      <c r="H256">
        <f>IF(Table1_1[[#This Row],[Type]]="Expense", _xlfn.XLOOKUP(Table1_1[[#This Row],[Category]], Budget_Ref[Category], Budget_Ref[Monthly Budget], 0), 0)</f>
        <v>300</v>
      </c>
      <c r="I256" t="str">
        <f>IF(Table1_1[[#This Row],[Type]]="Expense", IF(Table1_1[[#This Row],[Amount]]&gt;Table1_1[[#This Row],[Monthly Budget]], "Over Budget", "OK"), "-")</f>
        <v>OK</v>
      </c>
      <c r="J256">
        <f>IF(Table1_1[[#This Row],[Type]]="Income", Table1_1[[#This Row],[Amount]], -Table1_1[[#This Row],[Amount]])</f>
        <v>-117.87</v>
      </c>
    </row>
    <row r="257" spans="1:10" x14ac:dyDescent="0.25">
      <c r="A257" s="1">
        <v>44157</v>
      </c>
      <c r="B257" t="s">
        <v>272</v>
      </c>
      <c r="C257" t="s">
        <v>27</v>
      </c>
      <c r="D257" s="2">
        <v>1254.56</v>
      </c>
      <c r="E257" t="s">
        <v>14</v>
      </c>
      <c r="F257" t="s">
        <v>1529</v>
      </c>
      <c r="G257">
        <v>2020</v>
      </c>
      <c r="H257">
        <f>IF(Table1_1[[#This Row],[Type]]="Expense", _xlfn.XLOOKUP(Table1_1[[#This Row],[Category]], Budget_Ref[Category], Budget_Ref[Monthly Budget], 0), 0)</f>
        <v>0</v>
      </c>
      <c r="I257" t="str">
        <f>IF(Table1_1[[#This Row],[Type]]="Expense", IF(Table1_1[[#This Row],[Amount]]&gt;Table1_1[[#This Row],[Monthly Budget]], "Over Budget", "OK"), "-")</f>
        <v>-</v>
      </c>
      <c r="J257">
        <f>IF(Table1_1[[#This Row],[Type]]="Income", Table1_1[[#This Row],[Amount]], -Table1_1[[#This Row],[Amount]])</f>
        <v>1254.56</v>
      </c>
    </row>
    <row r="258" spans="1:10" x14ac:dyDescent="0.25">
      <c r="A258" s="1">
        <v>44158</v>
      </c>
      <c r="B258" t="s">
        <v>273</v>
      </c>
      <c r="C258" t="s">
        <v>22</v>
      </c>
      <c r="D258" s="2">
        <v>541.44000000000005</v>
      </c>
      <c r="E258" t="s">
        <v>7</v>
      </c>
      <c r="F258" t="s">
        <v>1529</v>
      </c>
      <c r="G258">
        <v>2020</v>
      </c>
      <c r="H258">
        <f>IF(Table1_1[[#This Row],[Type]]="Expense", _xlfn.XLOOKUP(Table1_1[[#This Row],[Category]], Budget_Ref[Category], Budget_Ref[Monthly Budget], 0), 0)</f>
        <v>200</v>
      </c>
      <c r="I258" t="str">
        <f>IF(Table1_1[[#This Row],[Type]]="Expense", IF(Table1_1[[#This Row],[Amount]]&gt;Table1_1[[#This Row],[Monthly Budget]], "Over Budget", "OK"), "-")</f>
        <v>Over Budget</v>
      </c>
      <c r="J258">
        <f>IF(Table1_1[[#This Row],[Type]]="Income", Table1_1[[#This Row],[Amount]], -Table1_1[[#This Row],[Amount]])</f>
        <v>-541.44000000000005</v>
      </c>
    </row>
    <row r="259" spans="1:10" x14ac:dyDescent="0.25">
      <c r="A259" s="1">
        <v>44160</v>
      </c>
      <c r="B259" t="s">
        <v>274</v>
      </c>
      <c r="C259" t="s">
        <v>20</v>
      </c>
      <c r="D259" s="2">
        <v>4089</v>
      </c>
      <c r="E259" t="s">
        <v>14</v>
      </c>
      <c r="F259" t="s">
        <v>1529</v>
      </c>
      <c r="G259">
        <v>2020</v>
      </c>
      <c r="H259">
        <f>IF(Table1_1[[#This Row],[Type]]="Expense", _xlfn.XLOOKUP(Table1_1[[#This Row],[Category]], Budget_Ref[Category], Budget_Ref[Monthly Budget], 0), 0)</f>
        <v>0</v>
      </c>
      <c r="I259" t="str">
        <f>IF(Table1_1[[#This Row],[Type]]="Expense", IF(Table1_1[[#This Row],[Amount]]&gt;Table1_1[[#This Row],[Monthly Budget]], "Over Budget", "OK"), "-")</f>
        <v>-</v>
      </c>
      <c r="J259">
        <f>IF(Table1_1[[#This Row],[Type]]="Income", Table1_1[[#This Row],[Amount]], -Table1_1[[#This Row],[Amount]])</f>
        <v>4089</v>
      </c>
    </row>
    <row r="260" spans="1:10" x14ac:dyDescent="0.25">
      <c r="A260" s="1">
        <v>44160</v>
      </c>
      <c r="B260" t="s">
        <v>275</v>
      </c>
      <c r="C260" t="s">
        <v>27</v>
      </c>
      <c r="D260" s="2">
        <v>251.64</v>
      </c>
      <c r="E260" t="s">
        <v>14</v>
      </c>
      <c r="F260" t="s">
        <v>1529</v>
      </c>
      <c r="G260">
        <v>2020</v>
      </c>
      <c r="H260">
        <f>IF(Table1_1[[#This Row],[Type]]="Expense", _xlfn.XLOOKUP(Table1_1[[#This Row],[Category]], Budget_Ref[Category], Budget_Ref[Monthly Budget], 0), 0)</f>
        <v>0</v>
      </c>
      <c r="I260" t="str">
        <f>IF(Table1_1[[#This Row],[Type]]="Expense", IF(Table1_1[[#This Row],[Amount]]&gt;Table1_1[[#This Row],[Monthly Budget]], "Over Budget", "OK"), "-")</f>
        <v>-</v>
      </c>
      <c r="J260">
        <f>IF(Table1_1[[#This Row],[Type]]="Income", Table1_1[[#This Row],[Amount]], -Table1_1[[#This Row],[Amount]])</f>
        <v>251.64</v>
      </c>
    </row>
    <row r="261" spans="1:10" x14ac:dyDescent="0.25">
      <c r="A261" s="1">
        <v>44161</v>
      </c>
      <c r="B261" t="s">
        <v>276</v>
      </c>
      <c r="C261" t="s">
        <v>22</v>
      </c>
      <c r="D261" s="2">
        <v>1422.47</v>
      </c>
      <c r="E261" t="s">
        <v>7</v>
      </c>
      <c r="F261" t="s">
        <v>1529</v>
      </c>
      <c r="G261">
        <v>2020</v>
      </c>
      <c r="H261">
        <f>IF(Table1_1[[#This Row],[Type]]="Expense", _xlfn.XLOOKUP(Table1_1[[#This Row],[Category]], Budget_Ref[Category], Budget_Ref[Monthly Budget], 0), 0)</f>
        <v>200</v>
      </c>
      <c r="I261" t="str">
        <f>IF(Table1_1[[#This Row],[Type]]="Expense", IF(Table1_1[[#This Row],[Amount]]&gt;Table1_1[[#This Row],[Monthly Budget]], "Over Budget", "OK"), "-")</f>
        <v>Over Budget</v>
      </c>
      <c r="J261">
        <f>IF(Table1_1[[#This Row],[Type]]="Income", Table1_1[[#This Row],[Amount]], -Table1_1[[#This Row],[Amount]])</f>
        <v>-1422.47</v>
      </c>
    </row>
    <row r="262" spans="1:10" x14ac:dyDescent="0.25">
      <c r="A262" s="1">
        <v>44162</v>
      </c>
      <c r="B262" t="s">
        <v>277</v>
      </c>
      <c r="C262" t="s">
        <v>6</v>
      </c>
      <c r="D262" s="2">
        <v>1108.98</v>
      </c>
      <c r="E262" t="s">
        <v>7</v>
      </c>
      <c r="F262" t="s">
        <v>1529</v>
      </c>
      <c r="G262">
        <v>2020</v>
      </c>
      <c r="H262">
        <f>IF(Table1_1[[#This Row],[Type]]="Expense", _xlfn.XLOOKUP(Table1_1[[#This Row],[Category]], Budget_Ref[Category], Budget_Ref[Monthly Budget], 0), 0)</f>
        <v>500</v>
      </c>
      <c r="I262" t="str">
        <f>IF(Table1_1[[#This Row],[Type]]="Expense", IF(Table1_1[[#This Row],[Amount]]&gt;Table1_1[[#This Row],[Monthly Budget]], "Over Budget", "OK"), "-")</f>
        <v>Over Budget</v>
      </c>
      <c r="J262">
        <f>IF(Table1_1[[#This Row],[Type]]="Income", Table1_1[[#This Row],[Amount]], -Table1_1[[#This Row],[Amount]])</f>
        <v>-1108.98</v>
      </c>
    </row>
    <row r="263" spans="1:10" x14ac:dyDescent="0.25">
      <c r="A263" s="1">
        <v>44162</v>
      </c>
      <c r="B263" t="s">
        <v>278</v>
      </c>
      <c r="C263" t="s">
        <v>13</v>
      </c>
      <c r="D263" s="2">
        <v>4280</v>
      </c>
      <c r="E263" t="s">
        <v>14</v>
      </c>
      <c r="F263" t="s">
        <v>1529</v>
      </c>
      <c r="G263">
        <v>2020</v>
      </c>
      <c r="H263">
        <f>IF(Table1_1[[#This Row],[Type]]="Expense", _xlfn.XLOOKUP(Table1_1[[#This Row],[Category]], Budget_Ref[Category], Budget_Ref[Monthly Budget], 0), 0)</f>
        <v>0</v>
      </c>
      <c r="I263" t="str">
        <f>IF(Table1_1[[#This Row],[Type]]="Expense", IF(Table1_1[[#This Row],[Amount]]&gt;Table1_1[[#This Row],[Monthly Budget]], "Over Budget", "OK"), "-")</f>
        <v>-</v>
      </c>
      <c r="J263">
        <f>IF(Table1_1[[#This Row],[Type]]="Income", Table1_1[[#This Row],[Amount]], -Table1_1[[#This Row],[Amount]])</f>
        <v>4280</v>
      </c>
    </row>
    <row r="264" spans="1:10" x14ac:dyDescent="0.25">
      <c r="A264" s="1">
        <v>44164</v>
      </c>
      <c r="B264" t="s">
        <v>279</v>
      </c>
      <c r="C264" t="s">
        <v>9</v>
      </c>
      <c r="D264" s="2">
        <v>1001.77</v>
      </c>
      <c r="E264" t="s">
        <v>7</v>
      </c>
      <c r="F264" t="s">
        <v>1529</v>
      </c>
      <c r="G264">
        <v>2020</v>
      </c>
      <c r="H264">
        <f>IF(Table1_1[[#This Row],[Type]]="Expense", _xlfn.XLOOKUP(Table1_1[[#This Row],[Category]], Budget_Ref[Category], Budget_Ref[Monthly Budget], 0), 0)</f>
        <v>150</v>
      </c>
      <c r="I264" t="str">
        <f>IF(Table1_1[[#This Row],[Type]]="Expense", IF(Table1_1[[#This Row],[Amount]]&gt;Table1_1[[#This Row],[Monthly Budget]], "Over Budget", "OK"), "-")</f>
        <v>Over Budget</v>
      </c>
      <c r="J264">
        <f>IF(Table1_1[[#This Row],[Type]]="Income", Table1_1[[#This Row],[Amount]], -Table1_1[[#This Row],[Amount]])</f>
        <v>-1001.77</v>
      </c>
    </row>
    <row r="265" spans="1:10" x14ac:dyDescent="0.25">
      <c r="A265" s="1">
        <v>44166</v>
      </c>
      <c r="B265" t="s">
        <v>280</v>
      </c>
      <c r="C265" t="s">
        <v>35</v>
      </c>
      <c r="D265" s="2">
        <v>836.83</v>
      </c>
      <c r="E265" t="s">
        <v>7</v>
      </c>
      <c r="F265" t="s">
        <v>1530</v>
      </c>
      <c r="G265">
        <v>2020</v>
      </c>
      <c r="H265">
        <f>IF(Table1_1[[#This Row],[Type]]="Expense", _xlfn.XLOOKUP(Table1_1[[#This Row],[Category]], Budget_Ref[Category], Budget_Ref[Monthly Budget], 0), 0)</f>
        <v>200</v>
      </c>
      <c r="I265" t="str">
        <f>IF(Table1_1[[#This Row],[Type]]="Expense", IF(Table1_1[[#This Row],[Amount]]&gt;Table1_1[[#This Row],[Monthly Budget]], "Over Budget", "OK"), "-")</f>
        <v>Over Budget</v>
      </c>
      <c r="J265">
        <f>IF(Table1_1[[#This Row],[Type]]="Income", Table1_1[[#This Row],[Amount]], -Table1_1[[#This Row],[Amount]])</f>
        <v>-836.83</v>
      </c>
    </row>
    <row r="266" spans="1:10" x14ac:dyDescent="0.25">
      <c r="A266" s="1">
        <v>44170</v>
      </c>
      <c r="B266" t="s">
        <v>281</v>
      </c>
      <c r="C266" t="s">
        <v>27</v>
      </c>
      <c r="D266" s="2">
        <v>495.02</v>
      </c>
      <c r="E266" t="s">
        <v>14</v>
      </c>
      <c r="F266" t="s">
        <v>1530</v>
      </c>
      <c r="G266">
        <v>2020</v>
      </c>
      <c r="H266">
        <f>IF(Table1_1[[#This Row],[Type]]="Expense", _xlfn.XLOOKUP(Table1_1[[#This Row],[Category]], Budget_Ref[Category], Budget_Ref[Monthly Budget], 0), 0)</f>
        <v>0</v>
      </c>
      <c r="I266" t="str">
        <f>IF(Table1_1[[#This Row],[Type]]="Expense", IF(Table1_1[[#This Row],[Amount]]&gt;Table1_1[[#This Row],[Monthly Budget]], "Over Budget", "OK"), "-")</f>
        <v>-</v>
      </c>
      <c r="J266">
        <f>IF(Table1_1[[#This Row],[Type]]="Income", Table1_1[[#This Row],[Amount]], -Table1_1[[#This Row],[Amount]])</f>
        <v>495.02</v>
      </c>
    </row>
    <row r="267" spans="1:10" x14ac:dyDescent="0.25">
      <c r="A267" s="1">
        <v>44170</v>
      </c>
      <c r="B267" t="s">
        <v>282</v>
      </c>
      <c r="C267" t="s">
        <v>17</v>
      </c>
      <c r="D267" s="2">
        <v>389.31</v>
      </c>
      <c r="E267" t="s">
        <v>7</v>
      </c>
      <c r="F267" t="s">
        <v>1530</v>
      </c>
      <c r="G267">
        <v>2020</v>
      </c>
      <c r="H267">
        <f>IF(Table1_1[[#This Row],[Type]]="Expense", _xlfn.XLOOKUP(Table1_1[[#This Row],[Category]], Budget_Ref[Category], Budget_Ref[Monthly Budget], 0), 0)</f>
        <v>300</v>
      </c>
      <c r="I267" t="str">
        <f>IF(Table1_1[[#This Row],[Type]]="Expense", IF(Table1_1[[#This Row],[Amount]]&gt;Table1_1[[#This Row],[Monthly Budget]], "Over Budget", "OK"), "-")</f>
        <v>Over Budget</v>
      </c>
      <c r="J267">
        <f>IF(Table1_1[[#This Row],[Type]]="Income", Table1_1[[#This Row],[Amount]], -Table1_1[[#This Row],[Amount]])</f>
        <v>-389.31</v>
      </c>
    </row>
    <row r="268" spans="1:10" x14ac:dyDescent="0.25">
      <c r="A268" s="1">
        <v>44171</v>
      </c>
      <c r="B268" t="s">
        <v>283</v>
      </c>
      <c r="C268" t="s">
        <v>9</v>
      </c>
      <c r="D268" s="2">
        <v>1729.41</v>
      </c>
      <c r="E268" t="s">
        <v>7</v>
      </c>
      <c r="F268" t="s">
        <v>1530</v>
      </c>
      <c r="G268">
        <v>2020</v>
      </c>
      <c r="H268">
        <f>IF(Table1_1[[#This Row],[Type]]="Expense", _xlfn.XLOOKUP(Table1_1[[#This Row],[Category]], Budget_Ref[Category], Budget_Ref[Monthly Budget], 0), 0)</f>
        <v>150</v>
      </c>
      <c r="I268" t="str">
        <f>IF(Table1_1[[#This Row],[Type]]="Expense", IF(Table1_1[[#This Row],[Amount]]&gt;Table1_1[[#This Row],[Monthly Budget]], "Over Budget", "OK"), "-")</f>
        <v>Over Budget</v>
      </c>
      <c r="J268">
        <f>IF(Table1_1[[#This Row],[Type]]="Income", Table1_1[[#This Row],[Amount]], -Table1_1[[#This Row],[Amount]])</f>
        <v>-1729.41</v>
      </c>
    </row>
    <row r="269" spans="1:10" x14ac:dyDescent="0.25">
      <c r="A269" s="1">
        <v>44175</v>
      </c>
      <c r="B269" t="s">
        <v>284</v>
      </c>
      <c r="C269" t="s">
        <v>17</v>
      </c>
      <c r="D269" s="2">
        <v>686.35</v>
      </c>
      <c r="E269" t="s">
        <v>7</v>
      </c>
      <c r="F269" t="s">
        <v>1530</v>
      </c>
      <c r="G269">
        <v>2020</v>
      </c>
      <c r="H269">
        <f>IF(Table1_1[[#This Row],[Type]]="Expense", _xlfn.XLOOKUP(Table1_1[[#This Row],[Category]], Budget_Ref[Category], Budget_Ref[Monthly Budget], 0), 0)</f>
        <v>300</v>
      </c>
      <c r="I269" t="str">
        <f>IF(Table1_1[[#This Row],[Type]]="Expense", IF(Table1_1[[#This Row],[Amount]]&gt;Table1_1[[#This Row],[Monthly Budget]], "Over Budget", "OK"), "-")</f>
        <v>Over Budget</v>
      </c>
      <c r="J269">
        <f>IF(Table1_1[[#This Row],[Type]]="Income", Table1_1[[#This Row],[Amount]], -Table1_1[[#This Row],[Amount]])</f>
        <v>-686.35</v>
      </c>
    </row>
    <row r="270" spans="1:10" x14ac:dyDescent="0.25">
      <c r="A270" s="1">
        <v>44175</v>
      </c>
      <c r="B270" t="s">
        <v>285</v>
      </c>
      <c r="C270" t="s">
        <v>35</v>
      </c>
      <c r="D270" s="2">
        <v>1642.89</v>
      </c>
      <c r="E270" t="s">
        <v>7</v>
      </c>
      <c r="F270" t="s">
        <v>1530</v>
      </c>
      <c r="G270">
        <v>2020</v>
      </c>
      <c r="H270">
        <f>IF(Table1_1[[#This Row],[Type]]="Expense", _xlfn.XLOOKUP(Table1_1[[#This Row],[Category]], Budget_Ref[Category], Budget_Ref[Monthly Budget], 0), 0)</f>
        <v>200</v>
      </c>
      <c r="I270" t="str">
        <f>IF(Table1_1[[#This Row],[Type]]="Expense", IF(Table1_1[[#This Row],[Amount]]&gt;Table1_1[[#This Row],[Monthly Budget]], "Over Budget", "OK"), "-")</f>
        <v>Over Budget</v>
      </c>
      <c r="J270">
        <f>IF(Table1_1[[#This Row],[Type]]="Income", Table1_1[[#This Row],[Amount]], -Table1_1[[#This Row],[Amount]])</f>
        <v>-1642.89</v>
      </c>
    </row>
    <row r="271" spans="1:10" x14ac:dyDescent="0.25">
      <c r="A271" s="1">
        <v>44176</v>
      </c>
      <c r="B271" t="s">
        <v>286</v>
      </c>
      <c r="C271" t="s">
        <v>35</v>
      </c>
      <c r="D271" s="2">
        <v>1676.58</v>
      </c>
      <c r="E271" t="s">
        <v>7</v>
      </c>
      <c r="F271" t="s">
        <v>1530</v>
      </c>
      <c r="G271">
        <v>2020</v>
      </c>
      <c r="H271">
        <f>IF(Table1_1[[#This Row],[Type]]="Expense", _xlfn.XLOOKUP(Table1_1[[#This Row],[Category]], Budget_Ref[Category], Budget_Ref[Monthly Budget], 0), 0)</f>
        <v>200</v>
      </c>
      <c r="I271" t="str">
        <f>IF(Table1_1[[#This Row],[Type]]="Expense", IF(Table1_1[[#This Row],[Amount]]&gt;Table1_1[[#This Row],[Monthly Budget]], "Over Budget", "OK"), "-")</f>
        <v>Over Budget</v>
      </c>
      <c r="J271">
        <f>IF(Table1_1[[#This Row],[Type]]="Income", Table1_1[[#This Row],[Amount]], -Table1_1[[#This Row],[Amount]])</f>
        <v>-1676.58</v>
      </c>
    </row>
    <row r="272" spans="1:10" x14ac:dyDescent="0.25">
      <c r="A272" s="1">
        <v>44177</v>
      </c>
      <c r="B272" t="s">
        <v>287</v>
      </c>
      <c r="C272" t="s">
        <v>27</v>
      </c>
      <c r="D272" s="2">
        <v>1731.87</v>
      </c>
      <c r="E272" t="s">
        <v>14</v>
      </c>
      <c r="F272" t="s">
        <v>1530</v>
      </c>
      <c r="G272">
        <v>2020</v>
      </c>
      <c r="H272">
        <f>IF(Table1_1[[#This Row],[Type]]="Expense", _xlfn.XLOOKUP(Table1_1[[#This Row],[Category]], Budget_Ref[Category], Budget_Ref[Monthly Budget], 0), 0)</f>
        <v>0</v>
      </c>
      <c r="I272" t="str">
        <f>IF(Table1_1[[#This Row],[Type]]="Expense", IF(Table1_1[[#This Row],[Amount]]&gt;Table1_1[[#This Row],[Monthly Budget]], "Over Budget", "OK"), "-")</f>
        <v>-</v>
      </c>
      <c r="J272">
        <f>IF(Table1_1[[#This Row],[Type]]="Income", Table1_1[[#This Row],[Amount]], -Table1_1[[#This Row],[Amount]])</f>
        <v>1731.87</v>
      </c>
    </row>
    <row r="273" spans="1:10" x14ac:dyDescent="0.25">
      <c r="A273" s="1">
        <v>44178</v>
      </c>
      <c r="B273" t="s">
        <v>288</v>
      </c>
      <c r="C273" t="s">
        <v>27</v>
      </c>
      <c r="D273" s="2">
        <v>696.8</v>
      </c>
      <c r="E273" t="s">
        <v>14</v>
      </c>
      <c r="F273" t="s">
        <v>1530</v>
      </c>
      <c r="G273">
        <v>2020</v>
      </c>
      <c r="H273">
        <f>IF(Table1_1[[#This Row],[Type]]="Expense", _xlfn.XLOOKUP(Table1_1[[#This Row],[Category]], Budget_Ref[Category], Budget_Ref[Monthly Budget], 0), 0)</f>
        <v>0</v>
      </c>
      <c r="I273" t="str">
        <f>IF(Table1_1[[#This Row],[Type]]="Expense", IF(Table1_1[[#This Row],[Amount]]&gt;Table1_1[[#This Row],[Monthly Budget]], "Over Budget", "OK"), "-")</f>
        <v>-</v>
      </c>
      <c r="J273">
        <f>IF(Table1_1[[#This Row],[Type]]="Income", Table1_1[[#This Row],[Amount]], -Table1_1[[#This Row],[Amount]])</f>
        <v>696.8</v>
      </c>
    </row>
    <row r="274" spans="1:10" x14ac:dyDescent="0.25">
      <c r="A274" s="1">
        <v>44179</v>
      </c>
      <c r="B274" t="s">
        <v>289</v>
      </c>
      <c r="C274" t="s">
        <v>17</v>
      </c>
      <c r="D274" s="2">
        <v>916.14</v>
      </c>
      <c r="E274" t="s">
        <v>7</v>
      </c>
      <c r="F274" t="s">
        <v>1530</v>
      </c>
      <c r="G274">
        <v>2020</v>
      </c>
      <c r="H274">
        <f>IF(Table1_1[[#This Row],[Type]]="Expense", _xlfn.XLOOKUP(Table1_1[[#This Row],[Category]], Budget_Ref[Category], Budget_Ref[Monthly Budget], 0), 0)</f>
        <v>300</v>
      </c>
      <c r="I274" t="str">
        <f>IF(Table1_1[[#This Row],[Type]]="Expense", IF(Table1_1[[#This Row],[Amount]]&gt;Table1_1[[#This Row],[Monthly Budget]], "Over Budget", "OK"), "-")</f>
        <v>Over Budget</v>
      </c>
      <c r="J274">
        <f>IF(Table1_1[[#This Row],[Type]]="Income", Table1_1[[#This Row],[Amount]], -Table1_1[[#This Row],[Amount]])</f>
        <v>-916.14</v>
      </c>
    </row>
    <row r="275" spans="1:10" x14ac:dyDescent="0.25">
      <c r="A275" s="1">
        <v>44179</v>
      </c>
      <c r="B275" t="s">
        <v>290</v>
      </c>
      <c r="C275" t="s">
        <v>22</v>
      </c>
      <c r="D275" s="2">
        <v>1961.74</v>
      </c>
      <c r="E275" t="s">
        <v>7</v>
      </c>
      <c r="F275" t="s">
        <v>1530</v>
      </c>
      <c r="G275">
        <v>2020</v>
      </c>
      <c r="H275">
        <f>IF(Table1_1[[#This Row],[Type]]="Expense", _xlfn.XLOOKUP(Table1_1[[#This Row],[Category]], Budget_Ref[Category], Budget_Ref[Monthly Budget], 0), 0)</f>
        <v>200</v>
      </c>
      <c r="I275" t="str">
        <f>IF(Table1_1[[#This Row],[Type]]="Expense", IF(Table1_1[[#This Row],[Amount]]&gt;Table1_1[[#This Row],[Monthly Budget]], "Over Budget", "OK"), "-")</f>
        <v>Over Budget</v>
      </c>
      <c r="J275">
        <f>IF(Table1_1[[#This Row],[Type]]="Income", Table1_1[[#This Row],[Amount]], -Table1_1[[#This Row],[Amount]])</f>
        <v>-1961.74</v>
      </c>
    </row>
    <row r="276" spans="1:10" x14ac:dyDescent="0.25">
      <c r="A276" s="1">
        <v>44181</v>
      </c>
      <c r="B276" t="s">
        <v>291</v>
      </c>
      <c r="C276" t="s">
        <v>17</v>
      </c>
      <c r="D276" s="2">
        <v>474.79</v>
      </c>
      <c r="E276" t="s">
        <v>7</v>
      </c>
      <c r="F276" t="s">
        <v>1530</v>
      </c>
      <c r="G276">
        <v>2020</v>
      </c>
      <c r="H276">
        <f>IF(Table1_1[[#This Row],[Type]]="Expense", _xlfn.XLOOKUP(Table1_1[[#This Row],[Category]], Budget_Ref[Category], Budget_Ref[Monthly Budget], 0), 0)</f>
        <v>300</v>
      </c>
      <c r="I276" t="str">
        <f>IF(Table1_1[[#This Row],[Type]]="Expense", IF(Table1_1[[#This Row],[Amount]]&gt;Table1_1[[#This Row],[Monthly Budget]], "Over Budget", "OK"), "-")</f>
        <v>Over Budget</v>
      </c>
      <c r="J276">
        <f>IF(Table1_1[[#This Row],[Type]]="Income", Table1_1[[#This Row],[Amount]], -Table1_1[[#This Row],[Amount]])</f>
        <v>-474.79</v>
      </c>
    </row>
    <row r="277" spans="1:10" x14ac:dyDescent="0.25">
      <c r="A277" s="1">
        <v>44181</v>
      </c>
      <c r="B277" t="s">
        <v>292</v>
      </c>
      <c r="C277" t="s">
        <v>6</v>
      </c>
      <c r="D277" s="2">
        <v>643.16999999999996</v>
      </c>
      <c r="E277" t="s">
        <v>7</v>
      </c>
      <c r="F277" t="s">
        <v>1530</v>
      </c>
      <c r="G277">
        <v>2020</v>
      </c>
      <c r="H277">
        <f>IF(Table1_1[[#This Row],[Type]]="Expense", _xlfn.XLOOKUP(Table1_1[[#This Row],[Category]], Budget_Ref[Category], Budget_Ref[Monthly Budget], 0), 0)</f>
        <v>500</v>
      </c>
      <c r="I277" t="str">
        <f>IF(Table1_1[[#This Row],[Type]]="Expense", IF(Table1_1[[#This Row],[Amount]]&gt;Table1_1[[#This Row],[Monthly Budget]], "Over Budget", "OK"), "-")</f>
        <v>Over Budget</v>
      </c>
      <c r="J277">
        <f>IF(Table1_1[[#This Row],[Type]]="Income", Table1_1[[#This Row],[Amount]], -Table1_1[[#This Row],[Amount]])</f>
        <v>-643.16999999999996</v>
      </c>
    </row>
    <row r="278" spans="1:10" x14ac:dyDescent="0.25">
      <c r="A278" s="1">
        <v>44181</v>
      </c>
      <c r="B278" t="s">
        <v>293</v>
      </c>
      <c r="C278" t="s">
        <v>17</v>
      </c>
      <c r="D278" s="2">
        <v>778.3</v>
      </c>
      <c r="E278" t="s">
        <v>7</v>
      </c>
      <c r="F278" t="s">
        <v>1530</v>
      </c>
      <c r="G278">
        <v>2020</v>
      </c>
      <c r="H278">
        <f>IF(Table1_1[[#This Row],[Type]]="Expense", _xlfn.XLOOKUP(Table1_1[[#This Row],[Category]], Budget_Ref[Category], Budget_Ref[Monthly Budget], 0), 0)</f>
        <v>300</v>
      </c>
      <c r="I278" t="str">
        <f>IF(Table1_1[[#This Row],[Type]]="Expense", IF(Table1_1[[#This Row],[Amount]]&gt;Table1_1[[#This Row],[Monthly Budget]], "Over Budget", "OK"), "-")</f>
        <v>Over Budget</v>
      </c>
      <c r="J278">
        <f>IF(Table1_1[[#This Row],[Type]]="Income", Table1_1[[#This Row],[Amount]], -Table1_1[[#This Row],[Amount]])</f>
        <v>-778.3</v>
      </c>
    </row>
    <row r="279" spans="1:10" x14ac:dyDescent="0.25">
      <c r="A279" s="1">
        <v>44183</v>
      </c>
      <c r="B279" t="s">
        <v>294</v>
      </c>
      <c r="C279" t="s">
        <v>9</v>
      </c>
      <c r="D279" s="2">
        <v>995.7</v>
      </c>
      <c r="E279" t="s">
        <v>7</v>
      </c>
      <c r="F279" t="s">
        <v>1530</v>
      </c>
      <c r="G279">
        <v>2020</v>
      </c>
      <c r="H279">
        <f>IF(Table1_1[[#This Row],[Type]]="Expense", _xlfn.XLOOKUP(Table1_1[[#This Row],[Category]], Budget_Ref[Category], Budget_Ref[Monthly Budget], 0), 0)</f>
        <v>150</v>
      </c>
      <c r="I279" t="str">
        <f>IF(Table1_1[[#This Row],[Type]]="Expense", IF(Table1_1[[#This Row],[Amount]]&gt;Table1_1[[#This Row],[Monthly Budget]], "Over Budget", "OK"), "-")</f>
        <v>Over Budget</v>
      </c>
      <c r="J279">
        <f>IF(Table1_1[[#This Row],[Type]]="Income", Table1_1[[#This Row],[Amount]], -Table1_1[[#This Row],[Amount]])</f>
        <v>-995.7</v>
      </c>
    </row>
    <row r="280" spans="1:10" x14ac:dyDescent="0.25">
      <c r="A280" s="1">
        <v>44183</v>
      </c>
      <c r="B280" t="s">
        <v>295</v>
      </c>
      <c r="C280" t="s">
        <v>20</v>
      </c>
      <c r="D280" s="2">
        <v>1322</v>
      </c>
      <c r="E280" t="s">
        <v>14</v>
      </c>
      <c r="F280" t="s">
        <v>1530</v>
      </c>
      <c r="G280">
        <v>2020</v>
      </c>
      <c r="H280">
        <f>IF(Table1_1[[#This Row],[Type]]="Expense", _xlfn.XLOOKUP(Table1_1[[#This Row],[Category]], Budget_Ref[Category], Budget_Ref[Monthly Budget], 0), 0)</f>
        <v>0</v>
      </c>
      <c r="I280" t="str">
        <f>IF(Table1_1[[#This Row],[Type]]="Expense", IF(Table1_1[[#This Row],[Amount]]&gt;Table1_1[[#This Row],[Monthly Budget]], "Over Budget", "OK"), "-")</f>
        <v>-</v>
      </c>
      <c r="J280">
        <f>IF(Table1_1[[#This Row],[Type]]="Income", Table1_1[[#This Row],[Amount]], -Table1_1[[#This Row],[Amount]])</f>
        <v>1322</v>
      </c>
    </row>
    <row r="281" spans="1:10" x14ac:dyDescent="0.25">
      <c r="A281" s="1">
        <v>44185</v>
      </c>
      <c r="B281" t="s">
        <v>296</v>
      </c>
      <c r="C281" t="s">
        <v>27</v>
      </c>
      <c r="D281" s="2">
        <v>208.43</v>
      </c>
      <c r="E281" t="s">
        <v>14</v>
      </c>
      <c r="F281" t="s">
        <v>1530</v>
      </c>
      <c r="G281">
        <v>2020</v>
      </c>
      <c r="H281">
        <f>IF(Table1_1[[#This Row],[Type]]="Expense", _xlfn.XLOOKUP(Table1_1[[#This Row],[Category]], Budget_Ref[Category], Budget_Ref[Monthly Budget], 0), 0)</f>
        <v>0</v>
      </c>
      <c r="I281" t="str">
        <f>IF(Table1_1[[#This Row],[Type]]="Expense", IF(Table1_1[[#This Row],[Amount]]&gt;Table1_1[[#This Row],[Monthly Budget]], "Over Budget", "OK"), "-")</f>
        <v>-</v>
      </c>
      <c r="J281">
        <f>IF(Table1_1[[#This Row],[Type]]="Income", Table1_1[[#This Row],[Amount]], -Table1_1[[#This Row],[Amount]])</f>
        <v>208.43</v>
      </c>
    </row>
    <row r="282" spans="1:10" x14ac:dyDescent="0.25">
      <c r="A282" s="1">
        <v>44185</v>
      </c>
      <c r="B282" t="s">
        <v>297</v>
      </c>
      <c r="C282" t="s">
        <v>6</v>
      </c>
      <c r="D282" s="2">
        <v>1447.66</v>
      </c>
      <c r="E282" t="s">
        <v>7</v>
      </c>
      <c r="F282" t="s">
        <v>1530</v>
      </c>
      <c r="G282">
        <v>2020</v>
      </c>
      <c r="H282">
        <f>IF(Table1_1[[#This Row],[Type]]="Expense", _xlfn.XLOOKUP(Table1_1[[#This Row],[Category]], Budget_Ref[Category], Budget_Ref[Monthly Budget], 0), 0)</f>
        <v>500</v>
      </c>
      <c r="I282" t="str">
        <f>IF(Table1_1[[#This Row],[Type]]="Expense", IF(Table1_1[[#This Row],[Amount]]&gt;Table1_1[[#This Row],[Monthly Budget]], "Over Budget", "OK"), "-")</f>
        <v>Over Budget</v>
      </c>
      <c r="J282">
        <f>IF(Table1_1[[#This Row],[Type]]="Income", Table1_1[[#This Row],[Amount]], -Table1_1[[#This Row],[Amount]])</f>
        <v>-1447.66</v>
      </c>
    </row>
    <row r="283" spans="1:10" x14ac:dyDescent="0.25">
      <c r="A283" s="1">
        <v>44187</v>
      </c>
      <c r="B283" t="s">
        <v>298</v>
      </c>
      <c r="C283" t="s">
        <v>9</v>
      </c>
      <c r="D283" s="2">
        <v>158.91</v>
      </c>
      <c r="E283" t="s">
        <v>7</v>
      </c>
      <c r="F283" t="s">
        <v>1530</v>
      </c>
      <c r="G283">
        <v>2020</v>
      </c>
      <c r="H283">
        <f>IF(Table1_1[[#This Row],[Type]]="Expense", _xlfn.XLOOKUP(Table1_1[[#This Row],[Category]], Budget_Ref[Category], Budget_Ref[Monthly Budget], 0), 0)</f>
        <v>150</v>
      </c>
      <c r="I283" t="str">
        <f>IF(Table1_1[[#This Row],[Type]]="Expense", IF(Table1_1[[#This Row],[Amount]]&gt;Table1_1[[#This Row],[Monthly Budget]], "Over Budget", "OK"), "-")</f>
        <v>Over Budget</v>
      </c>
      <c r="J283">
        <f>IF(Table1_1[[#This Row],[Type]]="Income", Table1_1[[#This Row],[Amount]], -Table1_1[[#This Row],[Amount]])</f>
        <v>-158.91</v>
      </c>
    </row>
    <row r="284" spans="1:10" x14ac:dyDescent="0.25">
      <c r="A284" s="1">
        <v>44188</v>
      </c>
      <c r="B284" t="s">
        <v>299</v>
      </c>
      <c r="C284" t="s">
        <v>35</v>
      </c>
      <c r="D284" s="2">
        <v>683.74</v>
      </c>
      <c r="E284" t="s">
        <v>7</v>
      </c>
      <c r="F284" t="s">
        <v>1530</v>
      </c>
      <c r="G284">
        <v>2020</v>
      </c>
      <c r="H284">
        <f>IF(Table1_1[[#This Row],[Type]]="Expense", _xlfn.XLOOKUP(Table1_1[[#This Row],[Category]], Budget_Ref[Category], Budget_Ref[Monthly Budget], 0), 0)</f>
        <v>200</v>
      </c>
      <c r="I284" t="str">
        <f>IF(Table1_1[[#This Row],[Type]]="Expense", IF(Table1_1[[#This Row],[Amount]]&gt;Table1_1[[#This Row],[Monthly Budget]], "Over Budget", "OK"), "-")</f>
        <v>Over Budget</v>
      </c>
      <c r="J284">
        <f>IF(Table1_1[[#This Row],[Type]]="Income", Table1_1[[#This Row],[Amount]], -Table1_1[[#This Row],[Amount]])</f>
        <v>-683.74</v>
      </c>
    </row>
    <row r="285" spans="1:10" x14ac:dyDescent="0.25">
      <c r="A285" s="1">
        <v>44188</v>
      </c>
      <c r="B285" t="s">
        <v>300</v>
      </c>
      <c r="C285" t="s">
        <v>11</v>
      </c>
      <c r="D285" s="2">
        <v>1705.01</v>
      </c>
      <c r="E285" t="s">
        <v>7</v>
      </c>
      <c r="F285" t="s">
        <v>1530</v>
      </c>
      <c r="G285">
        <v>2020</v>
      </c>
      <c r="H285">
        <f>IF(Table1_1[[#This Row],[Type]]="Expense", _xlfn.XLOOKUP(Table1_1[[#This Row],[Category]], Budget_Ref[Category], Budget_Ref[Monthly Budget], 0), 0)</f>
        <v>1500</v>
      </c>
      <c r="I285" t="str">
        <f>IF(Table1_1[[#This Row],[Type]]="Expense", IF(Table1_1[[#This Row],[Amount]]&gt;Table1_1[[#This Row],[Monthly Budget]], "Over Budget", "OK"), "-")</f>
        <v>Over Budget</v>
      </c>
      <c r="J285">
        <f>IF(Table1_1[[#This Row],[Type]]="Income", Table1_1[[#This Row],[Amount]], -Table1_1[[#This Row],[Amount]])</f>
        <v>-1705.01</v>
      </c>
    </row>
    <row r="286" spans="1:10" x14ac:dyDescent="0.25">
      <c r="A286" s="1">
        <v>44189</v>
      </c>
      <c r="B286" t="s">
        <v>301</v>
      </c>
      <c r="C286" t="s">
        <v>17</v>
      </c>
      <c r="D286" s="2">
        <v>1908.74</v>
      </c>
      <c r="E286" t="s">
        <v>7</v>
      </c>
      <c r="F286" t="s">
        <v>1530</v>
      </c>
      <c r="G286">
        <v>2020</v>
      </c>
      <c r="H286">
        <f>IF(Table1_1[[#This Row],[Type]]="Expense", _xlfn.XLOOKUP(Table1_1[[#This Row],[Category]], Budget_Ref[Category], Budget_Ref[Monthly Budget], 0), 0)</f>
        <v>300</v>
      </c>
      <c r="I286" t="str">
        <f>IF(Table1_1[[#This Row],[Type]]="Expense", IF(Table1_1[[#This Row],[Amount]]&gt;Table1_1[[#This Row],[Monthly Budget]], "Over Budget", "OK"), "-")</f>
        <v>Over Budget</v>
      </c>
      <c r="J286">
        <f>IF(Table1_1[[#This Row],[Type]]="Income", Table1_1[[#This Row],[Amount]], -Table1_1[[#This Row],[Amount]])</f>
        <v>-1908.74</v>
      </c>
    </row>
    <row r="287" spans="1:10" x14ac:dyDescent="0.25">
      <c r="A287" s="1">
        <v>44190</v>
      </c>
      <c r="B287" t="s">
        <v>302</v>
      </c>
      <c r="C287" t="s">
        <v>27</v>
      </c>
      <c r="D287" s="2">
        <v>1746.04</v>
      </c>
      <c r="E287" t="s">
        <v>14</v>
      </c>
      <c r="F287" t="s">
        <v>1530</v>
      </c>
      <c r="G287">
        <v>2020</v>
      </c>
      <c r="H287">
        <f>IF(Table1_1[[#This Row],[Type]]="Expense", _xlfn.XLOOKUP(Table1_1[[#This Row],[Category]], Budget_Ref[Category], Budget_Ref[Monthly Budget], 0), 0)</f>
        <v>0</v>
      </c>
      <c r="I287" t="str">
        <f>IF(Table1_1[[#This Row],[Type]]="Expense", IF(Table1_1[[#This Row],[Amount]]&gt;Table1_1[[#This Row],[Monthly Budget]], "Over Budget", "OK"), "-")</f>
        <v>-</v>
      </c>
      <c r="J287">
        <f>IF(Table1_1[[#This Row],[Type]]="Income", Table1_1[[#This Row],[Amount]], -Table1_1[[#This Row],[Amount]])</f>
        <v>1746.04</v>
      </c>
    </row>
    <row r="288" spans="1:10" x14ac:dyDescent="0.25">
      <c r="A288" s="1">
        <v>44191</v>
      </c>
      <c r="B288" t="s">
        <v>303</v>
      </c>
      <c r="C288" t="s">
        <v>13</v>
      </c>
      <c r="D288" s="2">
        <v>2423</v>
      </c>
      <c r="E288" t="s">
        <v>14</v>
      </c>
      <c r="F288" t="s">
        <v>1530</v>
      </c>
      <c r="G288">
        <v>2020</v>
      </c>
      <c r="H288">
        <f>IF(Table1_1[[#This Row],[Type]]="Expense", _xlfn.XLOOKUP(Table1_1[[#This Row],[Category]], Budget_Ref[Category], Budget_Ref[Monthly Budget], 0), 0)</f>
        <v>0</v>
      </c>
      <c r="I288" t="str">
        <f>IF(Table1_1[[#This Row],[Type]]="Expense", IF(Table1_1[[#This Row],[Amount]]&gt;Table1_1[[#This Row],[Monthly Budget]], "Over Budget", "OK"), "-")</f>
        <v>-</v>
      </c>
      <c r="J288">
        <f>IF(Table1_1[[#This Row],[Type]]="Income", Table1_1[[#This Row],[Amount]], -Table1_1[[#This Row],[Amount]])</f>
        <v>2423</v>
      </c>
    </row>
    <row r="289" spans="1:10" x14ac:dyDescent="0.25">
      <c r="A289" s="1">
        <v>44193</v>
      </c>
      <c r="B289" t="s">
        <v>304</v>
      </c>
      <c r="C289" t="s">
        <v>35</v>
      </c>
      <c r="D289" s="2">
        <v>1994.88</v>
      </c>
      <c r="E289" t="s">
        <v>7</v>
      </c>
      <c r="F289" t="s">
        <v>1530</v>
      </c>
      <c r="G289">
        <v>2020</v>
      </c>
      <c r="H289">
        <f>IF(Table1_1[[#This Row],[Type]]="Expense", _xlfn.XLOOKUP(Table1_1[[#This Row],[Category]], Budget_Ref[Category], Budget_Ref[Monthly Budget], 0), 0)</f>
        <v>200</v>
      </c>
      <c r="I289" t="str">
        <f>IF(Table1_1[[#This Row],[Type]]="Expense", IF(Table1_1[[#This Row],[Amount]]&gt;Table1_1[[#This Row],[Monthly Budget]], "Over Budget", "OK"), "-")</f>
        <v>Over Budget</v>
      </c>
      <c r="J289">
        <f>IF(Table1_1[[#This Row],[Type]]="Income", Table1_1[[#This Row],[Amount]], -Table1_1[[#This Row],[Amount]])</f>
        <v>-1994.88</v>
      </c>
    </row>
    <row r="290" spans="1:10" x14ac:dyDescent="0.25">
      <c r="A290" s="1">
        <v>44195</v>
      </c>
      <c r="B290" t="s">
        <v>305</v>
      </c>
      <c r="C290" t="s">
        <v>17</v>
      </c>
      <c r="D290" s="2">
        <v>1956.89</v>
      </c>
      <c r="E290" t="s">
        <v>7</v>
      </c>
      <c r="F290" t="s">
        <v>1530</v>
      </c>
      <c r="G290">
        <v>2020</v>
      </c>
      <c r="H290">
        <f>IF(Table1_1[[#This Row],[Type]]="Expense", _xlfn.XLOOKUP(Table1_1[[#This Row],[Category]], Budget_Ref[Category], Budget_Ref[Monthly Budget], 0), 0)</f>
        <v>300</v>
      </c>
      <c r="I290" t="str">
        <f>IF(Table1_1[[#This Row],[Type]]="Expense", IF(Table1_1[[#This Row],[Amount]]&gt;Table1_1[[#This Row],[Monthly Budget]], "Over Budget", "OK"), "-")</f>
        <v>Over Budget</v>
      </c>
      <c r="J290">
        <f>IF(Table1_1[[#This Row],[Type]]="Income", Table1_1[[#This Row],[Amount]], -Table1_1[[#This Row],[Amount]])</f>
        <v>-1956.89</v>
      </c>
    </row>
    <row r="291" spans="1:10" x14ac:dyDescent="0.25">
      <c r="A291" s="1">
        <v>44196</v>
      </c>
      <c r="B291" t="s">
        <v>306</v>
      </c>
      <c r="C291" t="s">
        <v>11</v>
      </c>
      <c r="D291" s="2">
        <v>892.92</v>
      </c>
      <c r="E291" t="s">
        <v>7</v>
      </c>
      <c r="F291" t="s">
        <v>1530</v>
      </c>
      <c r="G291">
        <v>2020</v>
      </c>
      <c r="H291">
        <f>IF(Table1_1[[#This Row],[Type]]="Expense", _xlfn.XLOOKUP(Table1_1[[#This Row],[Category]], Budget_Ref[Category], Budget_Ref[Monthly Budget], 0), 0)</f>
        <v>1500</v>
      </c>
      <c r="I291" t="str">
        <f>IF(Table1_1[[#This Row],[Type]]="Expense", IF(Table1_1[[#This Row],[Amount]]&gt;Table1_1[[#This Row],[Monthly Budget]], "Over Budget", "OK"), "-")</f>
        <v>OK</v>
      </c>
      <c r="J291">
        <f>IF(Table1_1[[#This Row],[Type]]="Income", Table1_1[[#This Row],[Amount]], -Table1_1[[#This Row],[Amount]])</f>
        <v>-892.92</v>
      </c>
    </row>
    <row r="292" spans="1:10" x14ac:dyDescent="0.25">
      <c r="A292" s="1">
        <v>44197</v>
      </c>
      <c r="B292" t="s">
        <v>307</v>
      </c>
      <c r="C292" t="s">
        <v>6</v>
      </c>
      <c r="D292" s="2">
        <v>101.52</v>
      </c>
      <c r="E292" t="s">
        <v>7</v>
      </c>
      <c r="F292" t="s">
        <v>1531</v>
      </c>
      <c r="G292">
        <v>2021</v>
      </c>
      <c r="H292">
        <f>IF(Table1_1[[#This Row],[Type]]="Expense", _xlfn.XLOOKUP(Table1_1[[#This Row],[Category]], Budget_Ref[Category], Budget_Ref[Monthly Budget], 0), 0)</f>
        <v>500</v>
      </c>
      <c r="I292" t="str">
        <f>IF(Table1_1[[#This Row],[Type]]="Expense", IF(Table1_1[[#This Row],[Amount]]&gt;Table1_1[[#This Row],[Monthly Budget]], "Over Budget", "OK"), "-")</f>
        <v>OK</v>
      </c>
      <c r="J292">
        <f>IF(Table1_1[[#This Row],[Type]]="Income", Table1_1[[#This Row],[Amount]], -Table1_1[[#This Row],[Amount]])</f>
        <v>-101.52</v>
      </c>
    </row>
    <row r="293" spans="1:10" x14ac:dyDescent="0.25">
      <c r="A293" s="1">
        <v>44202</v>
      </c>
      <c r="B293" t="s">
        <v>308</v>
      </c>
      <c r="C293" t="s">
        <v>35</v>
      </c>
      <c r="D293" s="2">
        <v>723.34</v>
      </c>
      <c r="E293" t="s">
        <v>7</v>
      </c>
      <c r="F293" t="s">
        <v>1531</v>
      </c>
      <c r="G293">
        <v>2021</v>
      </c>
      <c r="H293">
        <f>IF(Table1_1[[#This Row],[Type]]="Expense", _xlfn.XLOOKUP(Table1_1[[#This Row],[Category]], Budget_Ref[Category], Budget_Ref[Monthly Budget], 0), 0)</f>
        <v>200</v>
      </c>
      <c r="I293" t="str">
        <f>IF(Table1_1[[#This Row],[Type]]="Expense", IF(Table1_1[[#This Row],[Amount]]&gt;Table1_1[[#This Row],[Monthly Budget]], "Over Budget", "OK"), "-")</f>
        <v>Over Budget</v>
      </c>
      <c r="J293">
        <f>IF(Table1_1[[#This Row],[Type]]="Income", Table1_1[[#This Row],[Amount]], -Table1_1[[#This Row],[Amount]])</f>
        <v>-723.34</v>
      </c>
    </row>
    <row r="294" spans="1:10" x14ac:dyDescent="0.25">
      <c r="A294" s="1">
        <v>44202</v>
      </c>
      <c r="B294" t="s">
        <v>309</v>
      </c>
      <c r="C294" t="s">
        <v>22</v>
      </c>
      <c r="D294" s="2">
        <v>1067.02</v>
      </c>
      <c r="E294" t="s">
        <v>7</v>
      </c>
      <c r="F294" t="s">
        <v>1531</v>
      </c>
      <c r="G294">
        <v>2021</v>
      </c>
      <c r="H294">
        <f>IF(Table1_1[[#This Row],[Type]]="Expense", _xlfn.XLOOKUP(Table1_1[[#This Row],[Category]], Budget_Ref[Category], Budget_Ref[Monthly Budget], 0), 0)</f>
        <v>200</v>
      </c>
      <c r="I294" t="str">
        <f>IF(Table1_1[[#This Row],[Type]]="Expense", IF(Table1_1[[#This Row],[Amount]]&gt;Table1_1[[#This Row],[Monthly Budget]], "Over Budget", "OK"), "-")</f>
        <v>Over Budget</v>
      </c>
      <c r="J294">
        <f>IF(Table1_1[[#This Row],[Type]]="Income", Table1_1[[#This Row],[Amount]], -Table1_1[[#This Row],[Amount]])</f>
        <v>-1067.02</v>
      </c>
    </row>
    <row r="295" spans="1:10" x14ac:dyDescent="0.25">
      <c r="A295" s="1">
        <v>44204</v>
      </c>
      <c r="B295" t="s">
        <v>310</v>
      </c>
      <c r="C295" t="s">
        <v>9</v>
      </c>
      <c r="D295" s="2">
        <v>348.27</v>
      </c>
      <c r="E295" t="s">
        <v>7</v>
      </c>
      <c r="F295" t="s">
        <v>1531</v>
      </c>
      <c r="G295">
        <v>2021</v>
      </c>
      <c r="H295">
        <f>IF(Table1_1[[#This Row],[Type]]="Expense", _xlfn.XLOOKUP(Table1_1[[#This Row],[Category]], Budget_Ref[Category], Budget_Ref[Monthly Budget], 0), 0)</f>
        <v>150</v>
      </c>
      <c r="I295" t="str">
        <f>IF(Table1_1[[#This Row],[Type]]="Expense", IF(Table1_1[[#This Row],[Amount]]&gt;Table1_1[[#This Row],[Monthly Budget]], "Over Budget", "OK"), "-")</f>
        <v>Over Budget</v>
      </c>
      <c r="J295">
        <f>IF(Table1_1[[#This Row],[Type]]="Income", Table1_1[[#This Row],[Amount]], -Table1_1[[#This Row],[Amount]])</f>
        <v>-348.27</v>
      </c>
    </row>
    <row r="296" spans="1:10" x14ac:dyDescent="0.25">
      <c r="A296" s="1">
        <v>44206</v>
      </c>
      <c r="B296" t="s">
        <v>311</v>
      </c>
      <c r="C296" t="s">
        <v>20</v>
      </c>
      <c r="D296" s="2">
        <v>2472</v>
      </c>
      <c r="E296" t="s">
        <v>14</v>
      </c>
      <c r="F296" t="s">
        <v>1531</v>
      </c>
      <c r="G296">
        <v>2021</v>
      </c>
      <c r="H296">
        <f>IF(Table1_1[[#This Row],[Type]]="Expense", _xlfn.XLOOKUP(Table1_1[[#This Row],[Category]], Budget_Ref[Category], Budget_Ref[Monthly Budget], 0), 0)</f>
        <v>0</v>
      </c>
      <c r="I296" t="str">
        <f>IF(Table1_1[[#This Row],[Type]]="Expense", IF(Table1_1[[#This Row],[Amount]]&gt;Table1_1[[#This Row],[Monthly Budget]], "Over Budget", "OK"), "-")</f>
        <v>-</v>
      </c>
      <c r="J296">
        <f>IF(Table1_1[[#This Row],[Type]]="Income", Table1_1[[#This Row],[Amount]], -Table1_1[[#This Row],[Amount]])</f>
        <v>2472</v>
      </c>
    </row>
    <row r="297" spans="1:10" x14ac:dyDescent="0.25">
      <c r="A297" s="1">
        <v>44206</v>
      </c>
      <c r="B297" t="s">
        <v>312</v>
      </c>
      <c r="C297" t="s">
        <v>9</v>
      </c>
      <c r="D297" s="2">
        <v>472.06</v>
      </c>
      <c r="E297" t="s">
        <v>7</v>
      </c>
      <c r="F297" t="s">
        <v>1531</v>
      </c>
      <c r="G297">
        <v>2021</v>
      </c>
      <c r="H297">
        <f>IF(Table1_1[[#This Row],[Type]]="Expense", _xlfn.XLOOKUP(Table1_1[[#This Row],[Category]], Budget_Ref[Category], Budget_Ref[Monthly Budget], 0), 0)</f>
        <v>150</v>
      </c>
      <c r="I297" t="str">
        <f>IF(Table1_1[[#This Row],[Type]]="Expense", IF(Table1_1[[#This Row],[Amount]]&gt;Table1_1[[#This Row],[Monthly Budget]], "Over Budget", "OK"), "-")</f>
        <v>Over Budget</v>
      </c>
      <c r="J297">
        <f>IF(Table1_1[[#This Row],[Type]]="Income", Table1_1[[#This Row],[Amount]], -Table1_1[[#This Row],[Amount]])</f>
        <v>-472.06</v>
      </c>
    </row>
    <row r="298" spans="1:10" x14ac:dyDescent="0.25">
      <c r="A298" s="1">
        <v>44207</v>
      </c>
      <c r="B298" t="s">
        <v>313</v>
      </c>
      <c r="C298" t="s">
        <v>27</v>
      </c>
      <c r="D298" s="2">
        <v>518.1</v>
      </c>
      <c r="E298" t="s">
        <v>14</v>
      </c>
      <c r="F298" t="s">
        <v>1531</v>
      </c>
      <c r="G298">
        <v>2021</v>
      </c>
      <c r="H298">
        <f>IF(Table1_1[[#This Row],[Type]]="Expense", _xlfn.XLOOKUP(Table1_1[[#This Row],[Category]], Budget_Ref[Category], Budget_Ref[Monthly Budget], 0), 0)</f>
        <v>0</v>
      </c>
      <c r="I298" t="str">
        <f>IF(Table1_1[[#This Row],[Type]]="Expense", IF(Table1_1[[#This Row],[Amount]]&gt;Table1_1[[#This Row],[Monthly Budget]], "Over Budget", "OK"), "-")</f>
        <v>-</v>
      </c>
      <c r="J298">
        <f>IF(Table1_1[[#This Row],[Type]]="Income", Table1_1[[#This Row],[Amount]], -Table1_1[[#This Row],[Amount]])</f>
        <v>518.1</v>
      </c>
    </row>
    <row r="299" spans="1:10" x14ac:dyDescent="0.25">
      <c r="A299" s="1">
        <v>44208</v>
      </c>
      <c r="B299" t="s">
        <v>314</v>
      </c>
      <c r="C299" t="s">
        <v>20</v>
      </c>
      <c r="D299" s="2">
        <v>2856</v>
      </c>
      <c r="E299" t="s">
        <v>14</v>
      </c>
      <c r="F299" t="s">
        <v>1531</v>
      </c>
      <c r="G299">
        <v>2021</v>
      </c>
      <c r="H299">
        <f>IF(Table1_1[[#This Row],[Type]]="Expense", _xlfn.XLOOKUP(Table1_1[[#This Row],[Category]], Budget_Ref[Category], Budget_Ref[Monthly Budget], 0), 0)</f>
        <v>0</v>
      </c>
      <c r="I299" t="str">
        <f>IF(Table1_1[[#This Row],[Type]]="Expense", IF(Table1_1[[#This Row],[Amount]]&gt;Table1_1[[#This Row],[Monthly Budget]], "Over Budget", "OK"), "-")</f>
        <v>-</v>
      </c>
      <c r="J299">
        <f>IF(Table1_1[[#This Row],[Type]]="Income", Table1_1[[#This Row],[Amount]], -Table1_1[[#This Row],[Amount]])</f>
        <v>2856</v>
      </c>
    </row>
    <row r="300" spans="1:10" x14ac:dyDescent="0.25">
      <c r="A300" s="1">
        <v>44209</v>
      </c>
      <c r="B300" t="s">
        <v>315</v>
      </c>
      <c r="C300" t="s">
        <v>9</v>
      </c>
      <c r="D300" s="2">
        <v>156.99</v>
      </c>
      <c r="E300" t="s">
        <v>7</v>
      </c>
      <c r="F300" t="s">
        <v>1531</v>
      </c>
      <c r="G300">
        <v>2021</v>
      </c>
      <c r="H300">
        <f>IF(Table1_1[[#This Row],[Type]]="Expense", _xlfn.XLOOKUP(Table1_1[[#This Row],[Category]], Budget_Ref[Category], Budget_Ref[Monthly Budget], 0), 0)</f>
        <v>150</v>
      </c>
      <c r="I300" t="str">
        <f>IF(Table1_1[[#This Row],[Type]]="Expense", IF(Table1_1[[#This Row],[Amount]]&gt;Table1_1[[#This Row],[Monthly Budget]], "Over Budget", "OK"), "-")</f>
        <v>Over Budget</v>
      </c>
      <c r="J300">
        <f>IF(Table1_1[[#This Row],[Type]]="Income", Table1_1[[#This Row],[Amount]], -Table1_1[[#This Row],[Amount]])</f>
        <v>-156.99</v>
      </c>
    </row>
    <row r="301" spans="1:10" x14ac:dyDescent="0.25">
      <c r="A301" s="1">
        <v>44209</v>
      </c>
      <c r="B301" t="s">
        <v>316</v>
      </c>
      <c r="C301" t="s">
        <v>35</v>
      </c>
      <c r="D301" s="2">
        <v>1281.49</v>
      </c>
      <c r="E301" t="s">
        <v>7</v>
      </c>
      <c r="F301" t="s">
        <v>1531</v>
      </c>
      <c r="G301">
        <v>2021</v>
      </c>
      <c r="H301">
        <f>IF(Table1_1[[#This Row],[Type]]="Expense", _xlfn.XLOOKUP(Table1_1[[#This Row],[Category]], Budget_Ref[Category], Budget_Ref[Monthly Budget], 0), 0)</f>
        <v>200</v>
      </c>
      <c r="I301" t="str">
        <f>IF(Table1_1[[#This Row],[Type]]="Expense", IF(Table1_1[[#This Row],[Amount]]&gt;Table1_1[[#This Row],[Monthly Budget]], "Over Budget", "OK"), "-")</f>
        <v>Over Budget</v>
      </c>
      <c r="J301">
        <f>IF(Table1_1[[#This Row],[Type]]="Income", Table1_1[[#This Row],[Amount]], -Table1_1[[#This Row],[Amount]])</f>
        <v>-1281.49</v>
      </c>
    </row>
    <row r="302" spans="1:10" x14ac:dyDescent="0.25">
      <c r="A302" s="1">
        <v>44210</v>
      </c>
      <c r="B302" t="s">
        <v>317</v>
      </c>
      <c r="C302" t="s">
        <v>35</v>
      </c>
      <c r="D302" s="2">
        <v>919.1</v>
      </c>
      <c r="E302" t="s">
        <v>7</v>
      </c>
      <c r="F302" t="s">
        <v>1531</v>
      </c>
      <c r="G302">
        <v>2021</v>
      </c>
      <c r="H302">
        <f>IF(Table1_1[[#This Row],[Type]]="Expense", _xlfn.XLOOKUP(Table1_1[[#This Row],[Category]], Budget_Ref[Category], Budget_Ref[Monthly Budget], 0), 0)</f>
        <v>200</v>
      </c>
      <c r="I302" t="str">
        <f>IF(Table1_1[[#This Row],[Type]]="Expense", IF(Table1_1[[#This Row],[Amount]]&gt;Table1_1[[#This Row],[Monthly Budget]], "Over Budget", "OK"), "-")</f>
        <v>Over Budget</v>
      </c>
      <c r="J302">
        <f>IF(Table1_1[[#This Row],[Type]]="Income", Table1_1[[#This Row],[Amount]], -Table1_1[[#This Row],[Amount]])</f>
        <v>-919.1</v>
      </c>
    </row>
    <row r="303" spans="1:10" x14ac:dyDescent="0.25">
      <c r="A303" s="1">
        <v>44210</v>
      </c>
      <c r="B303" t="s">
        <v>318</v>
      </c>
      <c r="C303" t="s">
        <v>17</v>
      </c>
      <c r="D303" s="2">
        <v>1708.14</v>
      </c>
      <c r="E303" t="s">
        <v>7</v>
      </c>
      <c r="F303" t="s">
        <v>1531</v>
      </c>
      <c r="G303">
        <v>2021</v>
      </c>
      <c r="H303">
        <f>IF(Table1_1[[#This Row],[Type]]="Expense", _xlfn.XLOOKUP(Table1_1[[#This Row],[Category]], Budget_Ref[Category], Budget_Ref[Monthly Budget], 0), 0)</f>
        <v>300</v>
      </c>
      <c r="I303" t="str">
        <f>IF(Table1_1[[#This Row],[Type]]="Expense", IF(Table1_1[[#This Row],[Amount]]&gt;Table1_1[[#This Row],[Monthly Budget]], "Over Budget", "OK"), "-")</f>
        <v>Over Budget</v>
      </c>
      <c r="J303">
        <f>IF(Table1_1[[#This Row],[Type]]="Income", Table1_1[[#This Row],[Amount]], -Table1_1[[#This Row],[Amount]])</f>
        <v>-1708.14</v>
      </c>
    </row>
    <row r="304" spans="1:10" x14ac:dyDescent="0.25">
      <c r="A304" s="1">
        <v>44211</v>
      </c>
      <c r="B304" t="s">
        <v>319</v>
      </c>
      <c r="C304" t="s">
        <v>20</v>
      </c>
      <c r="D304" s="2">
        <v>3440</v>
      </c>
      <c r="E304" t="s">
        <v>14</v>
      </c>
      <c r="F304" t="s">
        <v>1531</v>
      </c>
      <c r="G304">
        <v>2021</v>
      </c>
      <c r="H304">
        <f>IF(Table1_1[[#This Row],[Type]]="Expense", _xlfn.XLOOKUP(Table1_1[[#This Row],[Category]], Budget_Ref[Category], Budget_Ref[Monthly Budget], 0), 0)</f>
        <v>0</v>
      </c>
      <c r="I304" t="str">
        <f>IF(Table1_1[[#This Row],[Type]]="Expense", IF(Table1_1[[#This Row],[Amount]]&gt;Table1_1[[#This Row],[Monthly Budget]], "Over Budget", "OK"), "-")</f>
        <v>-</v>
      </c>
      <c r="J304">
        <f>IF(Table1_1[[#This Row],[Type]]="Income", Table1_1[[#This Row],[Amount]], -Table1_1[[#This Row],[Amount]])</f>
        <v>3440</v>
      </c>
    </row>
    <row r="305" spans="1:10" x14ac:dyDescent="0.25">
      <c r="A305" s="1">
        <v>44211</v>
      </c>
      <c r="B305" t="s">
        <v>320</v>
      </c>
      <c r="C305" t="s">
        <v>35</v>
      </c>
      <c r="D305" s="2">
        <v>53.66</v>
      </c>
      <c r="E305" t="s">
        <v>7</v>
      </c>
      <c r="F305" t="s">
        <v>1531</v>
      </c>
      <c r="G305">
        <v>2021</v>
      </c>
      <c r="H305">
        <f>IF(Table1_1[[#This Row],[Type]]="Expense", _xlfn.XLOOKUP(Table1_1[[#This Row],[Category]], Budget_Ref[Category], Budget_Ref[Monthly Budget], 0), 0)</f>
        <v>200</v>
      </c>
      <c r="I305" t="str">
        <f>IF(Table1_1[[#This Row],[Type]]="Expense", IF(Table1_1[[#This Row],[Amount]]&gt;Table1_1[[#This Row],[Monthly Budget]], "Over Budget", "OK"), "-")</f>
        <v>OK</v>
      </c>
      <c r="J305">
        <f>IF(Table1_1[[#This Row],[Type]]="Income", Table1_1[[#This Row],[Amount]], -Table1_1[[#This Row],[Amount]])</f>
        <v>-53.66</v>
      </c>
    </row>
    <row r="306" spans="1:10" x14ac:dyDescent="0.25">
      <c r="A306" s="1">
        <v>44213</v>
      </c>
      <c r="B306" t="s">
        <v>321</v>
      </c>
      <c r="C306" t="s">
        <v>17</v>
      </c>
      <c r="D306" s="2">
        <v>556.22</v>
      </c>
      <c r="E306" t="s">
        <v>7</v>
      </c>
      <c r="F306" t="s">
        <v>1531</v>
      </c>
      <c r="G306">
        <v>2021</v>
      </c>
      <c r="H306">
        <f>IF(Table1_1[[#This Row],[Type]]="Expense", _xlfn.XLOOKUP(Table1_1[[#This Row],[Category]], Budget_Ref[Category], Budget_Ref[Monthly Budget], 0), 0)</f>
        <v>300</v>
      </c>
      <c r="I306" t="str">
        <f>IF(Table1_1[[#This Row],[Type]]="Expense", IF(Table1_1[[#This Row],[Amount]]&gt;Table1_1[[#This Row],[Monthly Budget]], "Over Budget", "OK"), "-")</f>
        <v>Over Budget</v>
      </c>
      <c r="J306">
        <f>IF(Table1_1[[#This Row],[Type]]="Income", Table1_1[[#This Row],[Amount]], -Table1_1[[#This Row],[Amount]])</f>
        <v>-556.22</v>
      </c>
    </row>
    <row r="307" spans="1:10" x14ac:dyDescent="0.25">
      <c r="A307" s="1">
        <v>44213</v>
      </c>
      <c r="B307" t="s">
        <v>322</v>
      </c>
      <c r="C307" t="s">
        <v>6</v>
      </c>
      <c r="D307" s="2">
        <v>1822.13</v>
      </c>
      <c r="E307" t="s">
        <v>7</v>
      </c>
      <c r="F307" t="s">
        <v>1531</v>
      </c>
      <c r="G307">
        <v>2021</v>
      </c>
      <c r="H307">
        <f>IF(Table1_1[[#This Row],[Type]]="Expense", _xlfn.XLOOKUP(Table1_1[[#This Row],[Category]], Budget_Ref[Category], Budget_Ref[Monthly Budget], 0), 0)</f>
        <v>500</v>
      </c>
      <c r="I307" t="str">
        <f>IF(Table1_1[[#This Row],[Type]]="Expense", IF(Table1_1[[#This Row],[Amount]]&gt;Table1_1[[#This Row],[Monthly Budget]], "Over Budget", "OK"), "-")</f>
        <v>Over Budget</v>
      </c>
      <c r="J307">
        <f>IF(Table1_1[[#This Row],[Type]]="Income", Table1_1[[#This Row],[Amount]], -Table1_1[[#This Row],[Amount]])</f>
        <v>-1822.13</v>
      </c>
    </row>
    <row r="308" spans="1:10" x14ac:dyDescent="0.25">
      <c r="A308" s="1">
        <v>44215</v>
      </c>
      <c r="B308" t="s">
        <v>323</v>
      </c>
      <c r="C308" t="s">
        <v>35</v>
      </c>
      <c r="D308" s="2">
        <v>1553.72</v>
      </c>
      <c r="E308" t="s">
        <v>7</v>
      </c>
      <c r="F308" t="s">
        <v>1531</v>
      </c>
      <c r="G308">
        <v>2021</v>
      </c>
      <c r="H308">
        <f>IF(Table1_1[[#This Row],[Type]]="Expense", _xlfn.XLOOKUP(Table1_1[[#This Row],[Category]], Budget_Ref[Category], Budget_Ref[Monthly Budget], 0), 0)</f>
        <v>200</v>
      </c>
      <c r="I308" t="str">
        <f>IF(Table1_1[[#This Row],[Type]]="Expense", IF(Table1_1[[#This Row],[Amount]]&gt;Table1_1[[#This Row],[Monthly Budget]], "Over Budget", "OK"), "-")</f>
        <v>Over Budget</v>
      </c>
      <c r="J308">
        <f>IF(Table1_1[[#This Row],[Type]]="Income", Table1_1[[#This Row],[Amount]], -Table1_1[[#This Row],[Amount]])</f>
        <v>-1553.72</v>
      </c>
    </row>
    <row r="309" spans="1:10" x14ac:dyDescent="0.25">
      <c r="A309" s="1">
        <v>44216</v>
      </c>
      <c r="B309" t="s">
        <v>324</v>
      </c>
      <c r="C309" t="s">
        <v>25</v>
      </c>
      <c r="D309" s="2">
        <v>445.82</v>
      </c>
      <c r="E309" t="s">
        <v>7</v>
      </c>
      <c r="F309" t="s">
        <v>1531</v>
      </c>
      <c r="G309">
        <v>2021</v>
      </c>
      <c r="H309">
        <f>IF(Table1_1[[#This Row],[Type]]="Expense", _xlfn.XLOOKUP(Table1_1[[#This Row],[Category]], Budget_Ref[Category], Budget_Ref[Monthly Budget], 0), 0)</f>
        <v>150</v>
      </c>
      <c r="I309" t="str">
        <f>IF(Table1_1[[#This Row],[Type]]="Expense", IF(Table1_1[[#This Row],[Amount]]&gt;Table1_1[[#This Row],[Monthly Budget]], "Over Budget", "OK"), "-")</f>
        <v>Over Budget</v>
      </c>
      <c r="J309">
        <f>IF(Table1_1[[#This Row],[Type]]="Income", Table1_1[[#This Row],[Amount]], -Table1_1[[#This Row],[Amount]])</f>
        <v>-445.82</v>
      </c>
    </row>
    <row r="310" spans="1:10" x14ac:dyDescent="0.25">
      <c r="A310" s="1">
        <v>44220</v>
      </c>
      <c r="B310" t="s">
        <v>325</v>
      </c>
      <c r="C310" t="s">
        <v>20</v>
      </c>
      <c r="D310" s="2">
        <v>1620</v>
      </c>
      <c r="E310" t="s">
        <v>14</v>
      </c>
      <c r="F310" t="s">
        <v>1531</v>
      </c>
      <c r="G310">
        <v>2021</v>
      </c>
      <c r="H310">
        <f>IF(Table1_1[[#This Row],[Type]]="Expense", _xlfn.XLOOKUP(Table1_1[[#This Row],[Category]], Budget_Ref[Category], Budget_Ref[Monthly Budget], 0), 0)</f>
        <v>0</v>
      </c>
      <c r="I310" t="str">
        <f>IF(Table1_1[[#This Row],[Type]]="Expense", IF(Table1_1[[#This Row],[Amount]]&gt;Table1_1[[#This Row],[Monthly Budget]], "Over Budget", "OK"), "-")</f>
        <v>-</v>
      </c>
      <c r="J310">
        <f>IF(Table1_1[[#This Row],[Type]]="Income", Table1_1[[#This Row],[Amount]], -Table1_1[[#This Row],[Amount]])</f>
        <v>1620</v>
      </c>
    </row>
    <row r="311" spans="1:10" x14ac:dyDescent="0.25">
      <c r="A311" s="1">
        <v>44222</v>
      </c>
      <c r="B311" t="s">
        <v>326</v>
      </c>
      <c r="C311" t="s">
        <v>6</v>
      </c>
      <c r="D311" s="2">
        <v>624.78</v>
      </c>
      <c r="E311" t="s">
        <v>7</v>
      </c>
      <c r="F311" t="s">
        <v>1531</v>
      </c>
      <c r="G311">
        <v>2021</v>
      </c>
      <c r="H311">
        <f>IF(Table1_1[[#This Row],[Type]]="Expense", _xlfn.XLOOKUP(Table1_1[[#This Row],[Category]], Budget_Ref[Category], Budget_Ref[Monthly Budget], 0), 0)</f>
        <v>500</v>
      </c>
      <c r="I311" t="str">
        <f>IF(Table1_1[[#This Row],[Type]]="Expense", IF(Table1_1[[#This Row],[Amount]]&gt;Table1_1[[#This Row],[Monthly Budget]], "Over Budget", "OK"), "-")</f>
        <v>Over Budget</v>
      </c>
      <c r="J311">
        <f>IF(Table1_1[[#This Row],[Type]]="Income", Table1_1[[#This Row],[Amount]], -Table1_1[[#This Row],[Amount]])</f>
        <v>-624.78</v>
      </c>
    </row>
    <row r="312" spans="1:10" x14ac:dyDescent="0.25">
      <c r="A312" s="1">
        <v>44223</v>
      </c>
      <c r="B312" t="s">
        <v>327</v>
      </c>
      <c r="C312" t="s">
        <v>25</v>
      </c>
      <c r="D312" s="2">
        <v>1467.4</v>
      </c>
      <c r="E312" t="s">
        <v>7</v>
      </c>
      <c r="F312" t="s">
        <v>1531</v>
      </c>
      <c r="G312">
        <v>2021</v>
      </c>
      <c r="H312">
        <f>IF(Table1_1[[#This Row],[Type]]="Expense", _xlfn.XLOOKUP(Table1_1[[#This Row],[Category]], Budget_Ref[Category], Budget_Ref[Monthly Budget], 0), 0)</f>
        <v>150</v>
      </c>
      <c r="I312" t="str">
        <f>IF(Table1_1[[#This Row],[Type]]="Expense", IF(Table1_1[[#This Row],[Amount]]&gt;Table1_1[[#This Row],[Monthly Budget]], "Over Budget", "OK"), "-")</f>
        <v>Over Budget</v>
      </c>
      <c r="J312">
        <f>IF(Table1_1[[#This Row],[Type]]="Income", Table1_1[[#This Row],[Amount]], -Table1_1[[#This Row],[Amount]])</f>
        <v>-1467.4</v>
      </c>
    </row>
    <row r="313" spans="1:10" x14ac:dyDescent="0.25">
      <c r="A313" s="1">
        <v>44223</v>
      </c>
      <c r="B313" t="s">
        <v>328</v>
      </c>
      <c r="C313" t="s">
        <v>20</v>
      </c>
      <c r="D313" s="2">
        <v>3176</v>
      </c>
      <c r="E313" t="s">
        <v>14</v>
      </c>
      <c r="F313" t="s">
        <v>1531</v>
      </c>
      <c r="G313">
        <v>2021</v>
      </c>
      <c r="H313">
        <f>IF(Table1_1[[#This Row],[Type]]="Expense", _xlfn.XLOOKUP(Table1_1[[#This Row],[Category]], Budget_Ref[Category], Budget_Ref[Monthly Budget], 0), 0)</f>
        <v>0</v>
      </c>
      <c r="I313" t="str">
        <f>IF(Table1_1[[#This Row],[Type]]="Expense", IF(Table1_1[[#This Row],[Amount]]&gt;Table1_1[[#This Row],[Monthly Budget]], "Over Budget", "OK"), "-")</f>
        <v>-</v>
      </c>
      <c r="J313">
        <f>IF(Table1_1[[#This Row],[Type]]="Income", Table1_1[[#This Row],[Amount]], -Table1_1[[#This Row],[Amount]])</f>
        <v>3176</v>
      </c>
    </row>
    <row r="314" spans="1:10" x14ac:dyDescent="0.25">
      <c r="A314" s="1">
        <v>44223</v>
      </c>
      <c r="B314" t="s">
        <v>329</v>
      </c>
      <c r="C314" t="s">
        <v>9</v>
      </c>
      <c r="D314" s="2">
        <v>409.58</v>
      </c>
      <c r="E314" t="s">
        <v>7</v>
      </c>
      <c r="F314" t="s">
        <v>1531</v>
      </c>
      <c r="G314">
        <v>2021</v>
      </c>
      <c r="H314">
        <f>IF(Table1_1[[#This Row],[Type]]="Expense", _xlfn.XLOOKUP(Table1_1[[#This Row],[Category]], Budget_Ref[Category], Budget_Ref[Monthly Budget], 0), 0)</f>
        <v>150</v>
      </c>
      <c r="I314" t="str">
        <f>IF(Table1_1[[#This Row],[Type]]="Expense", IF(Table1_1[[#This Row],[Amount]]&gt;Table1_1[[#This Row],[Monthly Budget]], "Over Budget", "OK"), "-")</f>
        <v>Over Budget</v>
      </c>
      <c r="J314">
        <f>IF(Table1_1[[#This Row],[Type]]="Income", Table1_1[[#This Row],[Amount]], -Table1_1[[#This Row],[Amount]])</f>
        <v>-409.58</v>
      </c>
    </row>
    <row r="315" spans="1:10" x14ac:dyDescent="0.25">
      <c r="A315" s="1">
        <v>44223</v>
      </c>
      <c r="B315" t="s">
        <v>330</v>
      </c>
      <c r="C315" t="s">
        <v>25</v>
      </c>
      <c r="D315" s="2">
        <v>1066.4000000000001</v>
      </c>
      <c r="E315" t="s">
        <v>7</v>
      </c>
      <c r="F315" t="s">
        <v>1531</v>
      </c>
      <c r="G315">
        <v>2021</v>
      </c>
      <c r="H315">
        <f>IF(Table1_1[[#This Row],[Type]]="Expense", _xlfn.XLOOKUP(Table1_1[[#This Row],[Category]], Budget_Ref[Category], Budget_Ref[Monthly Budget], 0), 0)</f>
        <v>150</v>
      </c>
      <c r="I315" t="str">
        <f>IF(Table1_1[[#This Row],[Type]]="Expense", IF(Table1_1[[#This Row],[Amount]]&gt;Table1_1[[#This Row],[Monthly Budget]], "Over Budget", "OK"), "-")</f>
        <v>Over Budget</v>
      </c>
      <c r="J315">
        <f>IF(Table1_1[[#This Row],[Type]]="Income", Table1_1[[#This Row],[Amount]], -Table1_1[[#This Row],[Amount]])</f>
        <v>-1066.4000000000001</v>
      </c>
    </row>
    <row r="316" spans="1:10" x14ac:dyDescent="0.25">
      <c r="A316" s="1">
        <v>44225</v>
      </c>
      <c r="B316" t="s">
        <v>331</v>
      </c>
      <c r="C316" t="s">
        <v>9</v>
      </c>
      <c r="D316" s="2">
        <v>521.37</v>
      </c>
      <c r="E316" t="s">
        <v>7</v>
      </c>
      <c r="F316" t="s">
        <v>1531</v>
      </c>
      <c r="G316">
        <v>2021</v>
      </c>
      <c r="H316">
        <f>IF(Table1_1[[#This Row],[Type]]="Expense", _xlfn.XLOOKUP(Table1_1[[#This Row],[Category]], Budget_Ref[Category], Budget_Ref[Monthly Budget], 0), 0)</f>
        <v>150</v>
      </c>
      <c r="I316" t="str">
        <f>IF(Table1_1[[#This Row],[Type]]="Expense", IF(Table1_1[[#This Row],[Amount]]&gt;Table1_1[[#This Row],[Monthly Budget]], "Over Budget", "OK"), "-")</f>
        <v>Over Budget</v>
      </c>
      <c r="J316">
        <f>IF(Table1_1[[#This Row],[Type]]="Income", Table1_1[[#This Row],[Amount]], -Table1_1[[#This Row],[Amount]])</f>
        <v>-521.37</v>
      </c>
    </row>
    <row r="317" spans="1:10" x14ac:dyDescent="0.25">
      <c r="A317" s="1">
        <v>44229</v>
      </c>
      <c r="B317" t="s">
        <v>332</v>
      </c>
      <c r="C317" t="s">
        <v>27</v>
      </c>
      <c r="D317" s="2">
        <v>1935.09</v>
      </c>
      <c r="E317" t="s">
        <v>14</v>
      </c>
      <c r="F317" t="s">
        <v>1532</v>
      </c>
      <c r="G317">
        <v>2021</v>
      </c>
      <c r="H317">
        <f>IF(Table1_1[[#This Row],[Type]]="Expense", _xlfn.XLOOKUP(Table1_1[[#This Row],[Category]], Budget_Ref[Category], Budget_Ref[Monthly Budget], 0), 0)</f>
        <v>0</v>
      </c>
      <c r="I317" t="str">
        <f>IF(Table1_1[[#This Row],[Type]]="Expense", IF(Table1_1[[#This Row],[Amount]]&gt;Table1_1[[#This Row],[Monthly Budget]], "Over Budget", "OK"), "-")</f>
        <v>-</v>
      </c>
      <c r="J317">
        <f>IF(Table1_1[[#This Row],[Type]]="Income", Table1_1[[#This Row],[Amount]], -Table1_1[[#This Row],[Amount]])</f>
        <v>1935.09</v>
      </c>
    </row>
    <row r="318" spans="1:10" x14ac:dyDescent="0.25">
      <c r="A318" s="1">
        <v>44232</v>
      </c>
      <c r="B318" t="s">
        <v>333</v>
      </c>
      <c r="C318" t="s">
        <v>25</v>
      </c>
      <c r="D318" s="2">
        <v>1610.42</v>
      </c>
      <c r="E318" t="s">
        <v>7</v>
      </c>
      <c r="F318" t="s">
        <v>1532</v>
      </c>
      <c r="G318">
        <v>2021</v>
      </c>
      <c r="H318">
        <f>IF(Table1_1[[#This Row],[Type]]="Expense", _xlfn.XLOOKUP(Table1_1[[#This Row],[Category]], Budget_Ref[Category], Budget_Ref[Monthly Budget], 0), 0)</f>
        <v>150</v>
      </c>
      <c r="I318" t="str">
        <f>IF(Table1_1[[#This Row],[Type]]="Expense", IF(Table1_1[[#This Row],[Amount]]&gt;Table1_1[[#This Row],[Monthly Budget]], "Over Budget", "OK"), "-")</f>
        <v>Over Budget</v>
      </c>
      <c r="J318">
        <f>IF(Table1_1[[#This Row],[Type]]="Income", Table1_1[[#This Row],[Amount]], -Table1_1[[#This Row],[Amount]])</f>
        <v>-1610.42</v>
      </c>
    </row>
    <row r="319" spans="1:10" x14ac:dyDescent="0.25">
      <c r="A319" s="1">
        <v>44232</v>
      </c>
      <c r="B319" t="s">
        <v>334</v>
      </c>
      <c r="C319" t="s">
        <v>11</v>
      </c>
      <c r="D319" s="2">
        <v>290.11</v>
      </c>
      <c r="E319" t="s">
        <v>7</v>
      </c>
      <c r="F319" t="s">
        <v>1532</v>
      </c>
      <c r="G319">
        <v>2021</v>
      </c>
      <c r="H319">
        <f>IF(Table1_1[[#This Row],[Type]]="Expense", _xlfn.XLOOKUP(Table1_1[[#This Row],[Category]], Budget_Ref[Category], Budget_Ref[Monthly Budget], 0), 0)</f>
        <v>1500</v>
      </c>
      <c r="I319" t="str">
        <f>IF(Table1_1[[#This Row],[Type]]="Expense", IF(Table1_1[[#This Row],[Amount]]&gt;Table1_1[[#This Row],[Monthly Budget]], "Over Budget", "OK"), "-")</f>
        <v>OK</v>
      </c>
      <c r="J319">
        <f>IF(Table1_1[[#This Row],[Type]]="Income", Table1_1[[#This Row],[Amount]], -Table1_1[[#This Row],[Amount]])</f>
        <v>-290.11</v>
      </c>
    </row>
    <row r="320" spans="1:10" x14ac:dyDescent="0.25">
      <c r="A320" s="1">
        <v>44235</v>
      </c>
      <c r="B320" t="s">
        <v>335</v>
      </c>
      <c r="C320" t="s">
        <v>17</v>
      </c>
      <c r="D320" s="2">
        <v>1934.87</v>
      </c>
      <c r="E320" t="s">
        <v>7</v>
      </c>
      <c r="F320" t="s">
        <v>1532</v>
      </c>
      <c r="G320">
        <v>2021</v>
      </c>
      <c r="H320">
        <f>IF(Table1_1[[#This Row],[Type]]="Expense", _xlfn.XLOOKUP(Table1_1[[#This Row],[Category]], Budget_Ref[Category], Budget_Ref[Monthly Budget], 0), 0)</f>
        <v>300</v>
      </c>
      <c r="I320" t="str">
        <f>IF(Table1_1[[#This Row],[Type]]="Expense", IF(Table1_1[[#This Row],[Amount]]&gt;Table1_1[[#This Row],[Monthly Budget]], "Over Budget", "OK"), "-")</f>
        <v>Over Budget</v>
      </c>
      <c r="J320">
        <f>IF(Table1_1[[#This Row],[Type]]="Income", Table1_1[[#This Row],[Amount]], -Table1_1[[#This Row],[Amount]])</f>
        <v>-1934.87</v>
      </c>
    </row>
    <row r="321" spans="1:10" x14ac:dyDescent="0.25">
      <c r="A321" s="1">
        <v>44235</v>
      </c>
      <c r="B321" t="s">
        <v>336</v>
      </c>
      <c r="C321" t="s">
        <v>25</v>
      </c>
      <c r="D321" s="2">
        <v>189.7</v>
      </c>
      <c r="E321" t="s">
        <v>7</v>
      </c>
      <c r="F321" t="s">
        <v>1532</v>
      </c>
      <c r="G321">
        <v>2021</v>
      </c>
      <c r="H321">
        <f>IF(Table1_1[[#This Row],[Type]]="Expense", _xlfn.XLOOKUP(Table1_1[[#This Row],[Category]], Budget_Ref[Category], Budget_Ref[Monthly Budget], 0), 0)</f>
        <v>150</v>
      </c>
      <c r="I321" t="str">
        <f>IF(Table1_1[[#This Row],[Type]]="Expense", IF(Table1_1[[#This Row],[Amount]]&gt;Table1_1[[#This Row],[Monthly Budget]], "Over Budget", "OK"), "-")</f>
        <v>Over Budget</v>
      </c>
      <c r="J321">
        <f>IF(Table1_1[[#This Row],[Type]]="Income", Table1_1[[#This Row],[Amount]], -Table1_1[[#This Row],[Amount]])</f>
        <v>-189.7</v>
      </c>
    </row>
    <row r="322" spans="1:10" x14ac:dyDescent="0.25">
      <c r="A322" s="1">
        <v>44236</v>
      </c>
      <c r="B322" t="s">
        <v>337</v>
      </c>
      <c r="C322" t="s">
        <v>35</v>
      </c>
      <c r="D322" s="2">
        <v>1077.78</v>
      </c>
      <c r="E322" t="s">
        <v>7</v>
      </c>
      <c r="F322" t="s">
        <v>1532</v>
      </c>
      <c r="G322">
        <v>2021</v>
      </c>
      <c r="H322">
        <f>IF(Table1_1[[#This Row],[Type]]="Expense", _xlfn.XLOOKUP(Table1_1[[#This Row],[Category]], Budget_Ref[Category], Budget_Ref[Monthly Budget], 0), 0)</f>
        <v>200</v>
      </c>
      <c r="I322" t="str">
        <f>IF(Table1_1[[#This Row],[Type]]="Expense", IF(Table1_1[[#This Row],[Amount]]&gt;Table1_1[[#This Row],[Monthly Budget]], "Over Budget", "OK"), "-")</f>
        <v>Over Budget</v>
      </c>
      <c r="J322">
        <f>IF(Table1_1[[#This Row],[Type]]="Income", Table1_1[[#This Row],[Amount]], -Table1_1[[#This Row],[Amount]])</f>
        <v>-1077.78</v>
      </c>
    </row>
    <row r="323" spans="1:10" x14ac:dyDescent="0.25">
      <c r="A323" s="1">
        <v>44236</v>
      </c>
      <c r="B323" t="s">
        <v>338</v>
      </c>
      <c r="C323" t="s">
        <v>35</v>
      </c>
      <c r="D323" s="2">
        <v>1173.27</v>
      </c>
      <c r="E323" t="s">
        <v>7</v>
      </c>
      <c r="F323" t="s">
        <v>1532</v>
      </c>
      <c r="G323">
        <v>2021</v>
      </c>
      <c r="H323">
        <f>IF(Table1_1[[#This Row],[Type]]="Expense", _xlfn.XLOOKUP(Table1_1[[#This Row],[Category]], Budget_Ref[Category], Budget_Ref[Monthly Budget], 0), 0)</f>
        <v>200</v>
      </c>
      <c r="I323" t="str">
        <f>IF(Table1_1[[#This Row],[Type]]="Expense", IF(Table1_1[[#This Row],[Amount]]&gt;Table1_1[[#This Row],[Monthly Budget]], "Over Budget", "OK"), "-")</f>
        <v>Over Budget</v>
      </c>
      <c r="J323">
        <f>IF(Table1_1[[#This Row],[Type]]="Income", Table1_1[[#This Row],[Amount]], -Table1_1[[#This Row],[Amount]])</f>
        <v>-1173.27</v>
      </c>
    </row>
    <row r="324" spans="1:10" x14ac:dyDescent="0.25">
      <c r="A324" s="1">
        <v>44238</v>
      </c>
      <c r="B324" t="s">
        <v>339</v>
      </c>
      <c r="C324" t="s">
        <v>25</v>
      </c>
      <c r="D324" s="2">
        <v>225.61</v>
      </c>
      <c r="E324" t="s">
        <v>7</v>
      </c>
      <c r="F324" t="s">
        <v>1532</v>
      </c>
      <c r="G324">
        <v>2021</v>
      </c>
      <c r="H324">
        <f>IF(Table1_1[[#This Row],[Type]]="Expense", _xlfn.XLOOKUP(Table1_1[[#This Row],[Category]], Budget_Ref[Category], Budget_Ref[Monthly Budget], 0), 0)</f>
        <v>150</v>
      </c>
      <c r="I324" t="str">
        <f>IF(Table1_1[[#This Row],[Type]]="Expense", IF(Table1_1[[#This Row],[Amount]]&gt;Table1_1[[#This Row],[Monthly Budget]], "Over Budget", "OK"), "-")</f>
        <v>Over Budget</v>
      </c>
      <c r="J324">
        <f>IF(Table1_1[[#This Row],[Type]]="Income", Table1_1[[#This Row],[Amount]], -Table1_1[[#This Row],[Amount]])</f>
        <v>-225.61</v>
      </c>
    </row>
    <row r="325" spans="1:10" x14ac:dyDescent="0.25">
      <c r="A325" s="1">
        <v>44238</v>
      </c>
      <c r="B325" t="s">
        <v>340</v>
      </c>
      <c r="C325" t="s">
        <v>6</v>
      </c>
      <c r="D325" s="2">
        <v>1242.9000000000001</v>
      </c>
      <c r="E325" t="s">
        <v>7</v>
      </c>
      <c r="F325" t="s">
        <v>1532</v>
      </c>
      <c r="G325">
        <v>2021</v>
      </c>
      <c r="H325">
        <f>IF(Table1_1[[#This Row],[Type]]="Expense", _xlfn.XLOOKUP(Table1_1[[#This Row],[Category]], Budget_Ref[Category], Budget_Ref[Monthly Budget], 0), 0)</f>
        <v>500</v>
      </c>
      <c r="I325" t="str">
        <f>IF(Table1_1[[#This Row],[Type]]="Expense", IF(Table1_1[[#This Row],[Amount]]&gt;Table1_1[[#This Row],[Monthly Budget]], "Over Budget", "OK"), "-")</f>
        <v>Over Budget</v>
      </c>
      <c r="J325">
        <f>IF(Table1_1[[#This Row],[Type]]="Income", Table1_1[[#This Row],[Amount]], -Table1_1[[#This Row],[Amount]])</f>
        <v>-1242.9000000000001</v>
      </c>
    </row>
    <row r="326" spans="1:10" x14ac:dyDescent="0.25">
      <c r="A326" s="1">
        <v>44240</v>
      </c>
      <c r="B326" t="s">
        <v>341</v>
      </c>
      <c r="C326" t="s">
        <v>25</v>
      </c>
      <c r="D326" s="2">
        <v>1831.36</v>
      </c>
      <c r="E326" t="s">
        <v>7</v>
      </c>
      <c r="F326" t="s">
        <v>1532</v>
      </c>
      <c r="G326">
        <v>2021</v>
      </c>
      <c r="H326">
        <f>IF(Table1_1[[#This Row],[Type]]="Expense", _xlfn.XLOOKUP(Table1_1[[#This Row],[Category]], Budget_Ref[Category], Budget_Ref[Monthly Budget], 0), 0)</f>
        <v>150</v>
      </c>
      <c r="I326" t="str">
        <f>IF(Table1_1[[#This Row],[Type]]="Expense", IF(Table1_1[[#This Row],[Amount]]&gt;Table1_1[[#This Row],[Monthly Budget]], "Over Budget", "OK"), "-")</f>
        <v>Over Budget</v>
      </c>
      <c r="J326">
        <f>IF(Table1_1[[#This Row],[Type]]="Income", Table1_1[[#This Row],[Amount]], -Table1_1[[#This Row],[Amount]])</f>
        <v>-1831.36</v>
      </c>
    </row>
    <row r="327" spans="1:10" x14ac:dyDescent="0.25">
      <c r="A327" s="1">
        <v>44243</v>
      </c>
      <c r="B327" t="s">
        <v>342</v>
      </c>
      <c r="C327" t="s">
        <v>11</v>
      </c>
      <c r="D327" s="2">
        <v>1274.45</v>
      </c>
      <c r="E327" t="s">
        <v>7</v>
      </c>
      <c r="F327" t="s">
        <v>1532</v>
      </c>
      <c r="G327">
        <v>2021</v>
      </c>
      <c r="H327">
        <f>IF(Table1_1[[#This Row],[Type]]="Expense", _xlfn.XLOOKUP(Table1_1[[#This Row],[Category]], Budget_Ref[Category], Budget_Ref[Monthly Budget], 0), 0)</f>
        <v>1500</v>
      </c>
      <c r="I327" t="str">
        <f>IF(Table1_1[[#This Row],[Type]]="Expense", IF(Table1_1[[#This Row],[Amount]]&gt;Table1_1[[#This Row],[Monthly Budget]], "Over Budget", "OK"), "-")</f>
        <v>OK</v>
      </c>
      <c r="J327">
        <f>IF(Table1_1[[#This Row],[Type]]="Income", Table1_1[[#This Row],[Amount]], -Table1_1[[#This Row],[Amount]])</f>
        <v>-1274.45</v>
      </c>
    </row>
    <row r="328" spans="1:10" x14ac:dyDescent="0.25">
      <c r="A328" s="1">
        <v>44245</v>
      </c>
      <c r="B328" t="s">
        <v>343</v>
      </c>
      <c r="C328" t="s">
        <v>35</v>
      </c>
      <c r="D328" s="2">
        <v>1301.99</v>
      </c>
      <c r="E328" t="s">
        <v>7</v>
      </c>
      <c r="F328" t="s">
        <v>1532</v>
      </c>
      <c r="G328">
        <v>2021</v>
      </c>
      <c r="H328">
        <f>IF(Table1_1[[#This Row],[Type]]="Expense", _xlfn.XLOOKUP(Table1_1[[#This Row],[Category]], Budget_Ref[Category], Budget_Ref[Monthly Budget], 0), 0)</f>
        <v>200</v>
      </c>
      <c r="I328" t="str">
        <f>IF(Table1_1[[#This Row],[Type]]="Expense", IF(Table1_1[[#This Row],[Amount]]&gt;Table1_1[[#This Row],[Monthly Budget]], "Over Budget", "OK"), "-")</f>
        <v>Over Budget</v>
      </c>
      <c r="J328">
        <f>IF(Table1_1[[#This Row],[Type]]="Income", Table1_1[[#This Row],[Amount]], -Table1_1[[#This Row],[Amount]])</f>
        <v>-1301.99</v>
      </c>
    </row>
    <row r="329" spans="1:10" x14ac:dyDescent="0.25">
      <c r="A329" s="1">
        <v>44246</v>
      </c>
      <c r="B329" t="s">
        <v>344</v>
      </c>
      <c r="C329" t="s">
        <v>13</v>
      </c>
      <c r="D329" s="2">
        <v>804</v>
      </c>
      <c r="E329" t="s">
        <v>14</v>
      </c>
      <c r="F329" t="s">
        <v>1532</v>
      </c>
      <c r="G329">
        <v>2021</v>
      </c>
      <c r="H329">
        <f>IF(Table1_1[[#This Row],[Type]]="Expense", _xlfn.XLOOKUP(Table1_1[[#This Row],[Category]], Budget_Ref[Category], Budget_Ref[Monthly Budget], 0), 0)</f>
        <v>0</v>
      </c>
      <c r="I329" t="str">
        <f>IF(Table1_1[[#This Row],[Type]]="Expense", IF(Table1_1[[#This Row],[Amount]]&gt;Table1_1[[#This Row],[Monthly Budget]], "Over Budget", "OK"), "-")</f>
        <v>-</v>
      </c>
      <c r="J329">
        <f>IF(Table1_1[[#This Row],[Type]]="Income", Table1_1[[#This Row],[Amount]], -Table1_1[[#This Row],[Amount]])</f>
        <v>804</v>
      </c>
    </row>
    <row r="330" spans="1:10" x14ac:dyDescent="0.25">
      <c r="A330" s="1">
        <v>44247</v>
      </c>
      <c r="B330" t="s">
        <v>345</v>
      </c>
      <c r="C330" t="s">
        <v>27</v>
      </c>
      <c r="D330" s="2">
        <v>241.08</v>
      </c>
      <c r="E330" t="s">
        <v>14</v>
      </c>
      <c r="F330" t="s">
        <v>1532</v>
      </c>
      <c r="G330">
        <v>2021</v>
      </c>
      <c r="H330">
        <f>IF(Table1_1[[#This Row],[Type]]="Expense", _xlfn.XLOOKUP(Table1_1[[#This Row],[Category]], Budget_Ref[Category], Budget_Ref[Monthly Budget], 0), 0)</f>
        <v>0</v>
      </c>
      <c r="I330" t="str">
        <f>IF(Table1_1[[#This Row],[Type]]="Expense", IF(Table1_1[[#This Row],[Amount]]&gt;Table1_1[[#This Row],[Monthly Budget]], "Over Budget", "OK"), "-")</f>
        <v>-</v>
      </c>
      <c r="J330">
        <f>IF(Table1_1[[#This Row],[Type]]="Income", Table1_1[[#This Row],[Amount]], -Table1_1[[#This Row],[Amount]])</f>
        <v>241.08</v>
      </c>
    </row>
    <row r="331" spans="1:10" x14ac:dyDescent="0.25">
      <c r="A331" s="1">
        <v>44248</v>
      </c>
      <c r="B331" t="s">
        <v>346</v>
      </c>
      <c r="C331" t="s">
        <v>9</v>
      </c>
      <c r="D331" s="2">
        <v>783.41</v>
      </c>
      <c r="E331" t="s">
        <v>7</v>
      </c>
      <c r="F331" t="s">
        <v>1532</v>
      </c>
      <c r="G331">
        <v>2021</v>
      </c>
      <c r="H331">
        <f>IF(Table1_1[[#This Row],[Type]]="Expense", _xlfn.XLOOKUP(Table1_1[[#This Row],[Category]], Budget_Ref[Category], Budget_Ref[Monthly Budget], 0), 0)</f>
        <v>150</v>
      </c>
      <c r="I331" t="str">
        <f>IF(Table1_1[[#This Row],[Type]]="Expense", IF(Table1_1[[#This Row],[Amount]]&gt;Table1_1[[#This Row],[Monthly Budget]], "Over Budget", "OK"), "-")</f>
        <v>Over Budget</v>
      </c>
      <c r="J331">
        <f>IF(Table1_1[[#This Row],[Type]]="Income", Table1_1[[#This Row],[Amount]], -Table1_1[[#This Row],[Amount]])</f>
        <v>-783.41</v>
      </c>
    </row>
    <row r="332" spans="1:10" x14ac:dyDescent="0.25">
      <c r="A332" s="1">
        <v>44250</v>
      </c>
      <c r="B332" t="s">
        <v>347</v>
      </c>
      <c r="C332" t="s">
        <v>17</v>
      </c>
      <c r="D332" s="2">
        <v>1178.81</v>
      </c>
      <c r="E332" t="s">
        <v>7</v>
      </c>
      <c r="F332" t="s">
        <v>1532</v>
      </c>
      <c r="G332">
        <v>2021</v>
      </c>
      <c r="H332">
        <f>IF(Table1_1[[#This Row],[Type]]="Expense", _xlfn.XLOOKUP(Table1_1[[#This Row],[Category]], Budget_Ref[Category], Budget_Ref[Monthly Budget], 0), 0)</f>
        <v>300</v>
      </c>
      <c r="I332" t="str">
        <f>IF(Table1_1[[#This Row],[Type]]="Expense", IF(Table1_1[[#This Row],[Amount]]&gt;Table1_1[[#This Row],[Monthly Budget]], "Over Budget", "OK"), "-")</f>
        <v>Over Budget</v>
      </c>
      <c r="J332">
        <f>IF(Table1_1[[#This Row],[Type]]="Income", Table1_1[[#This Row],[Amount]], -Table1_1[[#This Row],[Amount]])</f>
        <v>-1178.81</v>
      </c>
    </row>
    <row r="333" spans="1:10" x14ac:dyDescent="0.25">
      <c r="A333" s="1">
        <v>44251</v>
      </c>
      <c r="B333" t="s">
        <v>348</v>
      </c>
      <c r="C333" t="s">
        <v>17</v>
      </c>
      <c r="D333" s="2">
        <v>1313.29</v>
      </c>
      <c r="E333" t="s">
        <v>7</v>
      </c>
      <c r="F333" t="s">
        <v>1532</v>
      </c>
      <c r="G333">
        <v>2021</v>
      </c>
      <c r="H333">
        <f>IF(Table1_1[[#This Row],[Type]]="Expense", _xlfn.XLOOKUP(Table1_1[[#This Row],[Category]], Budget_Ref[Category], Budget_Ref[Monthly Budget], 0), 0)</f>
        <v>300</v>
      </c>
      <c r="I333" t="str">
        <f>IF(Table1_1[[#This Row],[Type]]="Expense", IF(Table1_1[[#This Row],[Amount]]&gt;Table1_1[[#This Row],[Monthly Budget]], "Over Budget", "OK"), "-")</f>
        <v>Over Budget</v>
      </c>
      <c r="J333">
        <f>IF(Table1_1[[#This Row],[Type]]="Income", Table1_1[[#This Row],[Amount]], -Table1_1[[#This Row],[Amount]])</f>
        <v>-1313.29</v>
      </c>
    </row>
    <row r="334" spans="1:10" x14ac:dyDescent="0.25">
      <c r="A334" s="1">
        <v>44254</v>
      </c>
      <c r="B334" t="s">
        <v>349</v>
      </c>
      <c r="C334" t="s">
        <v>17</v>
      </c>
      <c r="D334" s="2">
        <v>1878.72</v>
      </c>
      <c r="E334" t="s">
        <v>7</v>
      </c>
      <c r="F334" t="s">
        <v>1532</v>
      </c>
      <c r="G334">
        <v>2021</v>
      </c>
      <c r="H334">
        <f>IF(Table1_1[[#This Row],[Type]]="Expense", _xlfn.XLOOKUP(Table1_1[[#This Row],[Category]], Budget_Ref[Category], Budget_Ref[Monthly Budget], 0), 0)</f>
        <v>300</v>
      </c>
      <c r="I334" t="str">
        <f>IF(Table1_1[[#This Row],[Type]]="Expense", IF(Table1_1[[#This Row],[Amount]]&gt;Table1_1[[#This Row],[Monthly Budget]], "Over Budget", "OK"), "-")</f>
        <v>Over Budget</v>
      </c>
      <c r="J334">
        <f>IF(Table1_1[[#This Row],[Type]]="Income", Table1_1[[#This Row],[Amount]], -Table1_1[[#This Row],[Amount]])</f>
        <v>-1878.72</v>
      </c>
    </row>
    <row r="335" spans="1:10" x14ac:dyDescent="0.25">
      <c r="A335" s="1">
        <v>44255</v>
      </c>
      <c r="B335" t="s">
        <v>350</v>
      </c>
      <c r="C335" t="s">
        <v>25</v>
      </c>
      <c r="D335" s="2">
        <v>442.37</v>
      </c>
      <c r="E335" t="s">
        <v>7</v>
      </c>
      <c r="F335" t="s">
        <v>1532</v>
      </c>
      <c r="G335">
        <v>2021</v>
      </c>
      <c r="H335">
        <f>IF(Table1_1[[#This Row],[Type]]="Expense", _xlfn.XLOOKUP(Table1_1[[#This Row],[Category]], Budget_Ref[Category], Budget_Ref[Monthly Budget], 0), 0)</f>
        <v>150</v>
      </c>
      <c r="I335" t="str">
        <f>IF(Table1_1[[#This Row],[Type]]="Expense", IF(Table1_1[[#This Row],[Amount]]&gt;Table1_1[[#This Row],[Monthly Budget]], "Over Budget", "OK"), "-")</f>
        <v>Over Budget</v>
      </c>
      <c r="J335">
        <f>IF(Table1_1[[#This Row],[Type]]="Income", Table1_1[[#This Row],[Amount]], -Table1_1[[#This Row],[Amount]])</f>
        <v>-442.37</v>
      </c>
    </row>
    <row r="336" spans="1:10" x14ac:dyDescent="0.25">
      <c r="A336" s="1">
        <v>44257</v>
      </c>
      <c r="B336" t="s">
        <v>351</v>
      </c>
      <c r="C336" t="s">
        <v>22</v>
      </c>
      <c r="D336" s="2">
        <v>1712.35</v>
      </c>
      <c r="E336" t="s">
        <v>7</v>
      </c>
      <c r="F336" t="s">
        <v>1533</v>
      </c>
      <c r="G336">
        <v>2021</v>
      </c>
      <c r="H336">
        <f>IF(Table1_1[[#This Row],[Type]]="Expense", _xlfn.XLOOKUP(Table1_1[[#This Row],[Category]], Budget_Ref[Category], Budget_Ref[Monthly Budget], 0), 0)</f>
        <v>200</v>
      </c>
      <c r="I336" t="str">
        <f>IF(Table1_1[[#This Row],[Type]]="Expense", IF(Table1_1[[#This Row],[Amount]]&gt;Table1_1[[#This Row],[Monthly Budget]], "Over Budget", "OK"), "-")</f>
        <v>Over Budget</v>
      </c>
      <c r="J336">
        <f>IF(Table1_1[[#This Row],[Type]]="Income", Table1_1[[#This Row],[Amount]], -Table1_1[[#This Row],[Amount]])</f>
        <v>-1712.35</v>
      </c>
    </row>
    <row r="337" spans="1:10" x14ac:dyDescent="0.25">
      <c r="A337" s="1">
        <v>44257</v>
      </c>
      <c r="B337" t="s">
        <v>352</v>
      </c>
      <c r="C337" t="s">
        <v>20</v>
      </c>
      <c r="D337" s="2">
        <v>4960</v>
      </c>
      <c r="E337" t="s">
        <v>14</v>
      </c>
      <c r="F337" t="s">
        <v>1533</v>
      </c>
      <c r="G337">
        <v>2021</v>
      </c>
      <c r="H337">
        <f>IF(Table1_1[[#This Row],[Type]]="Expense", _xlfn.XLOOKUP(Table1_1[[#This Row],[Category]], Budget_Ref[Category], Budget_Ref[Monthly Budget], 0), 0)</f>
        <v>0</v>
      </c>
      <c r="I337" t="str">
        <f>IF(Table1_1[[#This Row],[Type]]="Expense", IF(Table1_1[[#This Row],[Amount]]&gt;Table1_1[[#This Row],[Monthly Budget]], "Over Budget", "OK"), "-")</f>
        <v>-</v>
      </c>
      <c r="J337">
        <f>IF(Table1_1[[#This Row],[Type]]="Income", Table1_1[[#This Row],[Amount]], -Table1_1[[#This Row],[Amount]])</f>
        <v>4960</v>
      </c>
    </row>
    <row r="338" spans="1:10" x14ac:dyDescent="0.25">
      <c r="A338" s="1">
        <v>44257</v>
      </c>
      <c r="B338" t="s">
        <v>353</v>
      </c>
      <c r="C338" t="s">
        <v>25</v>
      </c>
      <c r="D338" s="2">
        <v>130.49</v>
      </c>
      <c r="E338" t="s">
        <v>7</v>
      </c>
      <c r="F338" t="s">
        <v>1533</v>
      </c>
      <c r="G338">
        <v>2021</v>
      </c>
      <c r="H338">
        <f>IF(Table1_1[[#This Row],[Type]]="Expense", _xlfn.XLOOKUP(Table1_1[[#This Row],[Category]], Budget_Ref[Category], Budget_Ref[Monthly Budget], 0), 0)</f>
        <v>150</v>
      </c>
      <c r="I338" t="str">
        <f>IF(Table1_1[[#This Row],[Type]]="Expense", IF(Table1_1[[#This Row],[Amount]]&gt;Table1_1[[#This Row],[Monthly Budget]], "Over Budget", "OK"), "-")</f>
        <v>OK</v>
      </c>
      <c r="J338">
        <f>IF(Table1_1[[#This Row],[Type]]="Income", Table1_1[[#This Row],[Amount]], -Table1_1[[#This Row],[Amount]])</f>
        <v>-130.49</v>
      </c>
    </row>
    <row r="339" spans="1:10" x14ac:dyDescent="0.25">
      <c r="A339" s="1">
        <v>44259</v>
      </c>
      <c r="B339" t="s">
        <v>354</v>
      </c>
      <c r="C339" t="s">
        <v>11</v>
      </c>
      <c r="D339" s="2">
        <v>1898.53</v>
      </c>
      <c r="E339" t="s">
        <v>7</v>
      </c>
      <c r="F339" t="s">
        <v>1533</v>
      </c>
      <c r="G339">
        <v>2021</v>
      </c>
      <c r="H339">
        <f>IF(Table1_1[[#This Row],[Type]]="Expense", _xlfn.XLOOKUP(Table1_1[[#This Row],[Category]], Budget_Ref[Category], Budget_Ref[Monthly Budget], 0), 0)</f>
        <v>1500</v>
      </c>
      <c r="I339" t="str">
        <f>IF(Table1_1[[#This Row],[Type]]="Expense", IF(Table1_1[[#This Row],[Amount]]&gt;Table1_1[[#This Row],[Monthly Budget]], "Over Budget", "OK"), "-")</f>
        <v>Over Budget</v>
      </c>
      <c r="J339">
        <f>IF(Table1_1[[#This Row],[Type]]="Income", Table1_1[[#This Row],[Amount]], -Table1_1[[#This Row],[Amount]])</f>
        <v>-1898.53</v>
      </c>
    </row>
    <row r="340" spans="1:10" x14ac:dyDescent="0.25">
      <c r="A340" s="1">
        <v>44260</v>
      </c>
      <c r="B340" t="s">
        <v>355</v>
      </c>
      <c r="C340" t="s">
        <v>11</v>
      </c>
      <c r="D340" s="2">
        <v>1328.91</v>
      </c>
      <c r="E340" t="s">
        <v>7</v>
      </c>
      <c r="F340" t="s">
        <v>1533</v>
      </c>
      <c r="G340">
        <v>2021</v>
      </c>
      <c r="H340">
        <f>IF(Table1_1[[#This Row],[Type]]="Expense", _xlfn.XLOOKUP(Table1_1[[#This Row],[Category]], Budget_Ref[Category], Budget_Ref[Monthly Budget], 0), 0)</f>
        <v>1500</v>
      </c>
      <c r="I340" t="str">
        <f>IF(Table1_1[[#This Row],[Type]]="Expense", IF(Table1_1[[#This Row],[Amount]]&gt;Table1_1[[#This Row],[Monthly Budget]], "Over Budget", "OK"), "-")</f>
        <v>OK</v>
      </c>
      <c r="J340">
        <f>IF(Table1_1[[#This Row],[Type]]="Income", Table1_1[[#This Row],[Amount]], -Table1_1[[#This Row],[Amount]])</f>
        <v>-1328.91</v>
      </c>
    </row>
    <row r="341" spans="1:10" x14ac:dyDescent="0.25">
      <c r="A341" s="1">
        <v>44260</v>
      </c>
      <c r="B341" t="s">
        <v>356</v>
      </c>
      <c r="C341" t="s">
        <v>6</v>
      </c>
      <c r="D341" s="2">
        <v>110.65</v>
      </c>
      <c r="E341" t="s">
        <v>7</v>
      </c>
      <c r="F341" t="s">
        <v>1533</v>
      </c>
      <c r="G341">
        <v>2021</v>
      </c>
      <c r="H341">
        <f>IF(Table1_1[[#This Row],[Type]]="Expense", _xlfn.XLOOKUP(Table1_1[[#This Row],[Category]], Budget_Ref[Category], Budget_Ref[Monthly Budget], 0), 0)</f>
        <v>500</v>
      </c>
      <c r="I341" t="str">
        <f>IF(Table1_1[[#This Row],[Type]]="Expense", IF(Table1_1[[#This Row],[Amount]]&gt;Table1_1[[#This Row],[Monthly Budget]], "Over Budget", "OK"), "-")</f>
        <v>OK</v>
      </c>
      <c r="J341">
        <f>IF(Table1_1[[#This Row],[Type]]="Income", Table1_1[[#This Row],[Amount]], -Table1_1[[#This Row],[Amount]])</f>
        <v>-110.65</v>
      </c>
    </row>
    <row r="342" spans="1:10" x14ac:dyDescent="0.25">
      <c r="A342" s="1">
        <v>44262</v>
      </c>
      <c r="B342" t="s">
        <v>357</v>
      </c>
      <c r="C342" t="s">
        <v>9</v>
      </c>
      <c r="D342" s="2">
        <v>1576.09</v>
      </c>
      <c r="E342" t="s">
        <v>7</v>
      </c>
      <c r="F342" t="s">
        <v>1533</v>
      </c>
      <c r="G342">
        <v>2021</v>
      </c>
      <c r="H342">
        <f>IF(Table1_1[[#This Row],[Type]]="Expense", _xlfn.XLOOKUP(Table1_1[[#This Row],[Category]], Budget_Ref[Category], Budget_Ref[Monthly Budget], 0), 0)</f>
        <v>150</v>
      </c>
      <c r="I342" t="str">
        <f>IF(Table1_1[[#This Row],[Type]]="Expense", IF(Table1_1[[#This Row],[Amount]]&gt;Table1_1[[#This Row],[Monthly Budget]], "Over Budget", "OK"), "-")</f>
        <v>Over Budget</v>
      </c>
      <c r="J342">
        <f>IF(Table1_1[[#This Row],[Type]]="Income", Table1_1[[#This Row],[Amount]], -Table1_1[[#This Row],[Amount]])</f>
        <v>-1576.09</v>
      </c>
    </row>
    <row r="343" spans="1:10" x14ac:dyDescent="0.25">
      <c r="A343" s="1">
        <v>44262</v>
      </c>
      <c r="B343" t="s">
        <v>358</v>
      </c>
      <c r="C343" t="s">
        <v>22</v>
      </c>
      <c r="D343" s="2">
        <v>1176.9000000000001</v>
      </c>
      <c r="E343" t="s">
        <v>7</v>
      </c>
      <c r="F343" t="s">
        <v>1533</v>
      </c>
      <c r="G343">
        <v>2021</v>
      </c>
      <c r="H343">
        <f>IF(Table1_1[[#This Row],[Type]]="Expense", _xlfn.XLOOKUP(Table1_1[[#This Row],[Category]], Budget_Ref[Category], Budget_Ref[Monthly Budget], 0), 0)</f>
        <v>200</v>
      </c>
      <c r="I343" t="str">
        <f>IF(Table1_1[[#This Row],[Type]]="Expense", IF(Table1_1[[#This Row],[Amount]]&gt;Table1_1[[#This Row],[Monthly Budget]], "Over Budget", "OK"), "-")</f>
        <v>Over Budget</v>
      </c>
      <c r="J343">
        <f>IF(Table1_1[[#This Row],[Type]]="Income", Table1_1[[#This Row],[Amount]], -Table1_1[[#This Row],[Amount]])</f>
        <v>-1176.9000000000001</v>
      </c>
    </row>
    <row r="344" spans="1:10" x14ac:dyDescent="0.25">
      <c r="A344" s="1">
        <v>44263</v>
      </c>
      <c r="B344" t="s">
        <v>359</v>
      </c>
      <c r="C344" t="s">
        <v>22</v>
      </c>
      <c r="D344" s="2">
        <v>663.83</v>
      </c>
      <c r="E344" t="s">
        <v>7</v>
      </c>
      <c r="F344" t="s">
        <v>1533</v>
      </c>
      <c r="G344">
        <v>2021</v>
      </c>
      <c r="H344">
        <f>IF(Table1_1[[#This Row],[Type]]="Expense", _xlfn.XLOOKUP(Table1_1[[#This Row],[Category]], Budget_Ref[Category], Budget_Ref[Monthly Budget], 0), 0)</f>
        <v>200</v>
      </c>
      <c r="I344" t="str">
        <f>IF(Table1_1[[#This Row],[Type]]="Expense", IF(Table1_1[[#This Row],[Amount]]&gt;Table1_1[[#This Row],[Monthly Budget]], "Over Budget", "OK"), "-")</f>
        <v>Over Budget</v>
      </c>
      <c r="J344">
        <f>IF(Table1_1[[#This Row],[Type]]="Income", Table1_1[[#This Row],[Amount]], -Table1_1[[#This Row],[Amount]])</f>
        <v>-663.83</v>
      </c>
    </row>
    <row r="345" spans="1:10" x14ac:dyDescent="0.25">
      <c r="A345" s="1">
        <v>44264</v>
      </c>
      <c r="B345" t="s">
        <v>360</v>
      </c>
      <c r="C345" t="s">
        <v>13</v>
      </c>
      <c r="D345" s="2">
        <v>2771</v>
      </c>
      <c r="E345" t="s">
        <v>14</v>
      </c>
      <c r="F345" t="s">
        <v>1533</v>
      </c>
      <c r="G345">
        <v>2021</v>
      </c>
      <c r="H345">
        <f>IF(Table1_1[[#This Row],[Type]]="Expense", _xlfn.XLOOKUP(Table1_1[[#This Row],[Category]], Budget_Ref[Category], Budget_Ref[Monthly Budget], 0), 0)</f>
        <v>0</v>
      </c>
      <c r="I345" t="str">
        <f>IF(Table1_1[[#This Row],[Type]]="Expense", IF(Table1_1[[#This Row],[Amount]]&gt;Table1_1[[#This Row],[Monthly Budget]], "Over Budget", "OK"), "-")</f>
        <v>-</v>
      </c>
      <c r="J345">
        <f>IF(Table1_1[[#This Row],[Type]]="Income", Table1_1[[#This Row],[Amount]], -Table1_1[[#This Row],[Amount]])</f>
        <v>2771</v>
      </c>
    </row>
    <row r="346" spans="1:10" x14ac:dyDescent="0.25">
      <c r="A346" s="1">
        <v>44264</v>
      </c>
      <c r="B346" t="s">
        <v>361</v>
      </c>
      <c r="C346" t="s">
        <v>9</v>
      </c>
      <c r="D346" s="2">
        <v>1975.18</v>
      </c>
      <c r="E346" t="s">
        <v>7</v>
      </c>
      <c r="F346" t="s">
        <v>1533</v>
      </c>
      <c r="G346">
        <v>2021</v>
      </c>
      <c r="H346">
        <f>IF(Table1_1[[#This Row],[Type]]="Expense", _xlfn.XLOOKUP(Table1_1[[#This Row],[Category]], Budget_Ref[Category], Budget_Ref[Monthly Budget], 0), 0)</f>
        <v>150</v>
      </c>
      <c r="I346" t="str">
        <f>IF(Table1_1[[#This Row],[Type]]="Expense", IF(Table1_1[[#This Row],[Amount]]&gt;Table1_1[[#This Row],[Monthly Budget]], "Over Budget", "OK"), "-")</f>
        <v>Over Budget</v>
      </c>
      <c r="J346">
        <f>IF(Table1_1[[#This Row],[Type]]="Income", Table1_1[[#This Row],[Amount]], -Table1_1[[#This Row],[Amount]])</f>
        <v>-1975.18</v>
      </c>
    </row>
    <row r="347" spans="1:10" x14ac:dyDescent="0.25">
      <c r="A347" s="1">
        <v>44265</v>
      </c>
      <c r="B347" t="s">
        <v>362</v>
      </c>
      <c r="C347" t="s">
        <v>9</v>
      </c>
      <c r="D347" s="2">
        <v>228.75</v>
      </c>
      <c r="E347" t="s">
        <v>7</v>
      </c>
      <c r="F347" t="s">
        <v>1533</v>
      </c>
      <c r="G347">
        <v>2021</v>
      </c>
      <c r="H347">
        <f>IF(Table1_1[[#This Row],[Type]]="Expense", _xlfn.XLOOKUP(Table1_1[[#This Row],[Category]], Budget_Ref[Category], Budget_Ref[Monthly Budget], 0), 0)</f>
        <v>150</v>
      </c>
      <c r="I347" t="str">
        <f>IF(Table1_1[[#This Row],[Type]]="Expense", IF(Table1_1[[#This Row],[Amount]]&gt;Table1_1[[#This Row],[Monthly Budget]], "Over Budget", "OK"), "-")</f>
        <v>Over Budget</v>
      </c>
      <c r="J347">
        <f>IF(Table1_1[[#This Row],[Type]]="Income", Table1_1[[#This Row],[Amount]], -Table1_1[[#This Row],[Amount]])</f>
        <v>-228.75</v>
      </c>
    </row>
    <row r="348" spans="1:10" x14ac:dyDescent="0.25">
      <c r="A348" s="1">
        <v>44267</v>
      </c>
      <c r="B348" t="s">
        <v>363</v>
      </c>
      <c r="C348" t="s">
        <v>9</v>
      </c>
      <c r="D348" s="2">
        <v>39.57</v>
      </c>
      <c r="E348" t="s">
        <v>7</v>
      </c>
      <c r="F348" t="s">
        <v>1533</v>
      </c>
      <c r="G348">
        <v>2021</v>
      </c>
      <c r="H348">
        <f>IF(Table1_1[[#This Row],[Type]]="Expense", _xlfn.XLOOKUP(Table1_1[[#This Row],[Category]], Budget_Ref[Category], Budget_Ref[Monthly Budget], 0), 0)</f>
        <v>150</v>
      </c>
      <c r="I348" t="str">
        <f>IF(Table1_1[[#This Row],[Type]]="Expense", IF(Table1_1[[#This Row],[Amount]]&gt;Table1_1[[#This Row],[Monthly Budget]], "Over Budget", "OK"), "-")</f>
        <v>OK</v>
      </c>
      <c r="J348">
        <f>IF(Table1_1[[#This Row],[Type]]="Income", Table1_1[[#This Row],[Amount]], -Table1_1[[#This Row],[Amount]])</f>
        <v>-39.57</v>
      </c>
    </row>
    <row r="349" spans="1:10" x14ac:dyDescent="0.25">
      <c r="A349" s="1">
        <v>44270</v>
      </c>
      <c r="B349" t="s">
        <v>364</v>
      </c>
      <c r="C349" t="s">
        <v>22</v>
      </c>
      <c r="D349" s="2">
        <v>1181.82</v>
      </c>
      <c r="E349" t="s">
        <v>7</v>
      </c>
      <c r="F349" t="s">
        <v>1533</v>
      </c>
      <c r="G349">
        <v>2021</v>
      </c>
      <c r="H349">
        <f>IF(Table1_1[[#This Row],[Type]]="Expense", _xlfn.XLOOKUP(Table1_1[[#This Row],[Category]], Budget_Ref[Category], Budget_Ref[Monthly Budget], 0), 0)</f>
        <v>200</v>
      </c>
      <c r="I349" t="str">
        <f>IF(Table1_1[[#This Row],[Type]]="Expense", IF(Table1_1[[#This Row],[Amount]]&gt;Table1_1[[#This Row],[Monthly Budget]], "Over Budget", "OK"), "-")</f>
        <v>Over Budget</v>
      </c>
      <c r="J349">
        <f>IF(Table1_1[[#This Row],[Type]]="Income", Table1_1[[#This Row],[Amount]], -Table1_1[[#This Row],[Amount]])</f>
        <v>-1181.82</v>
      </c>
    </row>
    <row r="350" spans="1:10" x14ac:dyDescent="0.25">
      <c r="A350" s="1">
        <v>44270</v>
      </c>
      <c r="B350" t="s">
        <v>365</v>
      </c>
      <c r="C350" t="s">
        <v>20</v>
      </c>
      <c r="D350" s="2">
        <v>929</v>
      </c>
      <c r="E350" t="s">
        <v>14</v>
      </c>
      <c r="F350" t="s">
        <v>1533</v>
      </c>
      <c r="G350">
        <v>2021</v>
      </c>
      <c r="H350">
        <f>IF(Table1_1[[#This Row],[Type]]="Expense", _xlfn.XLOOKUP(Table1_1[[#This Row],[Category]], Budget_Ref[Category], Budget_Ref[Monthly Budget], 0), 0)</f>
        <v>0</v>
      </c>
      <c r="I350" t="str">
        <f>IF(Table1_1[[#This Row],[Type]]="Expense", IF(Table1_1[[#This Row],[Amount]]&gt;Table1_1[[#This Row],[Monthly Budget]], "Over Budget", "OK"), "-")</f>
        <v>-</v>
      </c>
      <c r="J350">
        <f>IF(Table1_1[[#This Row],[Type]]="Income", Table1_1[[#This Row],[Amount]], -Table1_1[[#This Row],[Amount]])</f>
        <v>929</v>
      </c>
    </row>
    <row r="351" spans="1:10" x14ac:dyDescent="0.25">
      <c r="A351" s="1">
        <v>44271</v>
      </c>
      <c r="B351" t="s">
        <v>366</v>
      </c>
      <c r="C351" t="s">
        <v>20</v>
      </c>
      <c r="D351" s="2">
        <v>4809</v>
      </c>
      <c r="E351" t="s">
        <v>14</v>
      </c>
      <c r="F351" t="s">
        <v>1533</v>
      </c>
      <c r="G351">
        <v>2021</v>
      </c>
      <c r="H351">
        <f>IF(Table1_1[[#This Row],[Type]]="Expense", _xlfn.XLOOKUP(Table1_1[[#This Row],[Category]], Budget_Ref[Category], Budget_Ref[Monthly Budget], 0), 0)</f>
        <v>0</v>
      </c>
      <c r="I351" t="str">
        <f>IF(Table1_1[[#This Row],[Type]]="Expense", IF(Table1_1[[#This Row],[Amount]]&gt;Table1_1[[#This Row],[Monthly Budget]], "Over Budget", "OK"), "-")</f>
        <v>-</v>
      </c>
      <c r="J351">
        <f>IF(Table1_1[[#This Row],[Type]]="Income", Table1_1[[#This Row],[Amount]], -Table1_1[[#This Row],[Amount]])</f>
        <v>4809</v>
      </c>
    </row>
    <row r="352" spans="1:10" x14ac:dyDescent="0.25">
      <c r="A352" s="1">
        <v>44271</v>
      </c>
      <c r="B352" t="s">
        <v>367</v>
      </c>
      <c r="C352" t="s">
        <v>13</v>
      </c>
      <c r="D352" s="2">
        <v>4401</v>
      </c>
      <c r="E352" t="s">
        <v>14</v>
      </c>
      <c r="F352" t="s">
        <v>1533</v>
      </c>
      <c r="G352">
        <v>2021</v>
      </c>
      <c r="H352">
        <f>IF(Table1_1[[#This Row],[Type]]="Expense", _xlfn.XLOOKUP(Table1_1[[#This Row],[Category]], Budget_Ref[Category], Budget_Ref[Monthly Budget], 0), 0)</f>
        <v>0</v>
      </c>
      <c r="I352" t="str">
        <f>IF(Table1_1[[#This Row],[Type]]="Expense", IF(Table1_1[[#This Row],[Amount]]&gt;Table1_1[[#This Row],[Monthly Budget]], "Over Budget", "OK"), "-")</f>
        <v>-</v>
      </c>
      <c r="J352">
        <f>IF(Table1_1[[#This Row],[Type]]="Income", Table1_1[[#This Row],[Amount]], -Table1_1[[#This Row],[Amount]])</f>
        <v>4401</v>
      </c>
    </row>
    <row r="353" spans="1:10" x14ac:dyDescent="0.25">
      <c r="A353" s="1">
        <v>44272</v>
      </c>
      <c r="B353" t="s">
        <v>368</v>
      </c>
      <c r="C353" t="s">
        <v>25</v>
      </c>
      <c r="D353" s="2">
        <v>1031.3399999999999</v>
      </c>
      <c r="E353" t="s">
        <v>7</v>
      </c>
      <c r="F353" t="s">
        <v>1533</v>
      </c>
      <c r="G353">
        <v>2021</v>
      </c>
      <c r="H353">
        <f>IF(Table1_1[[#This Row],[Type]]="Expense", _xlfn.XLOOKUP(Table1_1[[#This Row],[Category]], Budget_Ref[Category], Budget_Ref[Monthly Budget], 0), 0)</f>
        <v>150</v>
      </c>
      <c r="I353" t="str">
        <f>IF(Table1_1[[#This Row],[Type]]="Expense", IF(Table1_1[[#This Row],[Amount]]&gt;Table1_1[[#This Row],[Monthly Budget]], "Over Budget", "OK"), "-")</f>
        <v>Over Budget</v>
      </c>
      <c r="J353">
        <f>IF(Table1_1[[#This Row],[Type]]="Income", Table1_1[[#This Row],[Amount]], -Table1_1[[#This Row],[Amount]])</f>
        <v>-1031.3399999999999</v>
      </c>
    </row>
    <row r="354" spans="1:10" x14ac:dyDescent="0.25">
      <c r="A354" s="1">
        <v>44272</v>
      </c>
      <c r="B354" t="s">
        <v>369</v>
      </c>
      <c r="C354" t="s">
        <v>13</v>
      </c>
      <c r="D354" s="2">
        <v>855</v>
      </c>
      <c r="E354" t="s">
        <v>14</v>
      </c>
      <c r="F354" t="s">
        <v>1533</v>
      </c>
      <c r="G354">
        <v>2021</v>
      </c>
      <c r="H354">
        <f>IF(Table1_1[[#This Row],[Type]]="Expense", _xlfn.XLOOKUP(Table1_1[[#This Row],[Category]], Budget_Ref[Category], Budget_Ref[Monthly Budget], 0), 0)</f>
        <v>0</v>
      </c>
      <c r="I354" t="str">
        <f>IF(Table1_1[[#This Row],[Type]]="Expense", IF(Table1_1[[#This Row],[Amount]]&gt;Table1_1[[#This Row],[Monthly Budget]], "Over Budget", "OK"), "-")</f>
        <v>-</v>
      </c>
      <c r="J354">
        <f>IF(Table1_1[[#This Row],[Type]]="Income", Table1_1[[#This Row],[Amount]], -Table1_1[[#This Row],[Amount]])</f>
        <v>855</v>
      </c>
    </row>
    <row r="355" spans="1:10" x14ac:dyDescent="0.25">
      <c r="A355" s="1">
        <v>44273</v>
      </c>
      <c r="B355" t="s">
        <v>370</v>
      </c>
      <c r="C355" t="s">
        <v>35</v>
      </c>
      <c r="D355" s="2">
        <v>921.5</v>
      </c>
      <c r="E355" t="s">
        <v>7</v>
      </c>
      <c r="F355" t="s">
        <v>1533</v>
      </c>
      <c r="G355">
        <v>2021</v>
      </c>
      <c r="H355">
        <f>IF(Table1_1[[#This Row],[Type]]="Expense", _xlfn.XLOOKUP(Table1_1[[#This Row],[Category]], Budget_Ref[Category], Budget_Ref[Monthly Budget], 0), 0)</f>
        <v>200</v>
      </c>
      <c r="I355" t="str">
        <f>IF(Table1_1[[#This Row],[Type]]="Expense", IF(Table1_1[[#This Row],[Amount]]&gt;Table1_1[[#This Row],[Monthly Budget]], "Over Budget", "OK"), "-")</f>
        <v>Over Budget</v>
      </c>
      <c r="J355">
        <f>IF(Table1_1[[#This Row],[Type]]="Income", Table1_1[[#This Row],[Amount]], -Table1_1[[#This Row],[Amount]])</f>
        <v>-921.5</v>
      </c>
    </row>
    <row r="356" spans="1:10" x14ac:dyDescent="0.25">
      <c r="A356" s="1">
        <v>44274</v>
      </c>
      <c r="B356" t="s">
        <v>371</v>
      </c>
      <c r="C356" t="s">
        <v>6</v>
      </c>
      <c r="D356" s="2">
        <v>1997.19</v>
      </c>
      <c r="E356" t="s">
        <v>7</v>
      </c>
      <c r="F356" t="s">
        <v>1533</v>
      </c>
      <c r="G356">
        <v>2021</v>
      </c>
      <c r="H356">
        <f>IF(Table1_1[[#This Row],[Type]]="Expense", _xlfn.XLOOKUP(Table1_1[[#This Row],[Category]], Budget_Ref[Category], Budget_Ref[Monthly Budget], 0), 0)</f>
        <v>500</v>
      </c>
      <c r="I356" t="str">
        <f>IF(Table1_1[[#This Row],[Type]]="Expense", IF(Table1_1[[#This Row],[Amount]]&gt;Table1_1[[#This Row],[Monthly Budget]], "Over Budget", "OK"), "-")</f>
        <v>Over Budget</v>
      </c>
      <c r="J356">
        <f>IF(Table1_1[[#This Row],[Type]]="Income", Table1_1[[#This Row],[Amount]], -Table1_1[[#This Row],[Amount]])</f>
        <v>-1997.19</v>
      </c>
    </row>
    <row r="357" spans="1:10" x14ac:dyDescent="0.25">
      <c r="A357" s="1">
        <v>44275</v>
      </c>
      <c r="B357" t="s">
        <v>372</v>
      </c>
      <c r="C357" t="s">
        <v>17</v>
      </c>
      <c r="D357" s="2">
        <v>1375.33</v>
      </c>
      <c r="E357" t="s">
        <v>7</v>
      </c>
      <c r="F357" t="s">
        <v>1533</v>
      </c>
      <c r="G357">
        <v>2021</v>
      </c>
      <c r="H357">
        <f>IF(Table1_1[[#This Row],[Type]]="Expense", _xlfn.XLOOKUP(Table1_1[[#This Row],[Category]], Budget_Ref[Category], Budget_Ref[Monthly Budget], 0), 0)</f>
        <v>300</v>
      </c>
      <c r="I357" t="str">
        <f>IF(Table1_1[[#This Row],[Type]]="Expense", IF(Table1_1[[#This Row],[Amount]]&gt;Table1_1[[#This Row],[Monthly Budget]], "Over Budget", "OK"), "-")</f>
        <v>Over Budget</v>
      </c>
      <c r="J357">
        <f>IF(Table1_1[[#This Row],[Type]]="Income", Table1_1[[#This Row],[Amount]], -Table1_1[[#This Row],[Amount]])</f>
        <v>-1375.33</v>
      </c>
    </row>
    <row r="358" spans="1:10" x14ac:dyDescent="0.25">
      <c r="A358" s="1">
        <v>44276</v>
      </c>
      <c r="B358" t="s">
        <v>373</v>
      </c>
      <c r="C358" t="s">
        <v>27</v>
      </c>
      <c r="D358" s="2">
        <v>156.25</v>
      </c>
      <c r="E358" t="s">
        <v>14</v>
      </c>
      <c r="F358" t="s">
        <v>1533</v>
      </c>
      <c r="G358">
        <v>2021</v>
      </c>
      <c r="H358">
        <f>IF(Table1_1[[#This Row],[Type]]="Expense", _xlfn.XLOOKUP(Table1_1[[#This Row],[Category]], Budget_Ref[Category], Budget_Ref[Monthly Budget], 0), 0)</f>
        <v>0</v>
      </c>
      <c r="I358" t="str">
        <f>IF(Table1_1[[#This Row],[Type]]="Expense", IF(Table1_1[[#This Row],[Amount]]&gt;Table1_1[[#This Row],[Monthly Budget]], "Over Budget", "OK"), "-")</f>
        <v>-</v>
      </c>
      <c r="J358">
        <f>IF(Table1_1[[#This Row],[Type]]="Income", Table1_1[[#This Row],[Amount]], -Table1_1[[#This Row],[Amount]])</f>
        <v>156.25</v>
      </c>
    </row>
    <row r="359" spans="1:10" x14ac:dyDescent="0.25">
      <c r="A359" s="1">
        <v>44277</v>
      </c>
      <c r="B359" t="s">
        <v>374</v>
      </c>
      <c r="C359" t="s">
        <v>13</v>
      </c>
      <c r="D359" s="2">
        <v>1038</v>
      </c>
      <c r="E359" t="s">
        <v>14</v>
      </c>
      <c r="F359" t="s">
        <v>1533</v>
      </c>
      <c r="G359">
        <v>2021</v>
      </c>
      <c r="H359">
        <f>IF(Table1_1[[#This Row],[Type]]="Expense", _xlfn.XLOOKUP(Table1_1[[#This Row],[Category]], Budget_Ref[Category], Budget_Ref[Monthly Budget], 0), 0)</f>
        <v>0</v>
      </c>
      <c r="I359" t="str">
        <f>IF(Table1_1[[#This Row],[Type]]="Expense", IF(Table1_1[[#This Row],[Amount]]&gt;Table1_1[[#This Row],[Monthly Budget]], "Over Budget", "OK"), "-")</f>
        <v>-</v>
      </c>
      <c r="J359">
        <f>IF(Table1_1[[#This Row],[Type]]="Income", Table1_1[[#This Row],[Amount]], -Table1_1[[#This Row],[Amount]])</f>
        <v>1038</v>
      </c>
    </row>
    <row r="360" spans="1:10" x14ac:dyDescent="0.25">
      <c r="A360" s="1">
        <v>44277</v>
      </c>
      <c r="B360" t="s">
        <v>375</v>
      </c>
      <c r="C360" t="s">
        <v>20</v>
      </c>
      <c r="D360" s="2">
        <v>3620</v>
      </c>
      <c r="E360" t="s">
        <v>14</v>
      </c>
      <c r="F360" t="s">
        <v>1533</v>
      </c>
      <c r="G360">
        <v>2021</v>
      </c>
      <c r="H360">
        <f>IF(Table1_1[[#This Row],[Type]]="Expense", _xlfn.XLOOKUP(Table1_1[[#This Row],[Category]], Budget_Ref[Category], Budget_Ref[Monthly Budget], 0), 0)</f>
        <v>0</v>
      </c>
      <c r="I360" t="str">
        <f>IF(Table1_1[[#This Row],[Type]]="Expense", IF(Table1_1[[#This Row],[Amount]]&gt;Table1_1[[#This Row],[Monthly Budget]], "Over Budget", "OK"), "-")</f>
        <v>-</v>
      </c>
      <c r="J360">
        <f>IF(Table1_1[[#This Row],[Type]]="Income", Table1_1[[#This Row],[Amount]], -Table1_1[[#This Row],[Amount]])</f>
        <v>3620</v>
      </c>
    </row>
    <row r="361" spans="1:10" x14ac:dyDescent="0.25">
      <c r="A361" s="1">
        <v>44277</v>
      </c>
      <c r="B361" t="s">
        <v>376</v>
      </c>
      <c r="C361" t="s">
        <v>35</v>
      </c>
      <c r="D361" s="2">
        <v>912.89</v>
      </c>
      <c r="E361" t="s">
        <v>7</v>
      </c>
      <c r="F361" t="s">
        <v>1533</v>
      </c>
      <c r="G361">
        <v>2021</v>
      </c>
      <c r="H361">
        <f>IF(Table1_1[[#This Row],[Type]]="Expense", _xlfn.XLOOKUP(Table1_1[[#This Row],[Category]], Budget_Ref[Category], Budget_Ref[Monthly Budget], 0), 0)</f>
        <v>200</v>
      </c>
      <c r="I361" t="str">
        <f>IF(Table1_1[[#This Row],[Type]]="Expense", IF(Table1_1[[#This Row],[Amount]]&gt;Table1_1[[#This Row],[Monthly Budget]], "Over Budget", "OK"), "-")</f>
        <v>Over Budget</v>
      </c>
      <c r="J361">
        <f>IF(Table1_1[[#This Row],[Type]]="Income", Table1_1[[#This Row],[Amount]], -Table1_1[[#This Row],[Amount]])</f>
        <v>-912.89</v>
      </c>
    </row>
    <row r="362" spans="1:10" x14ac:dyDescent="0.25">
      <c r="A362" s="1">
        <v>44278</v>
      </c>
      <c r="B362" t="s">
        <v>377</v>
      </c>
      <c r="C362" t="s">
        <v>11</v>
      </c>
      <c r="D362" s="2">
        <v>1588.26</v>
      </c>
      <c r="E362" t="s">
        <v>7</v>
      </c>
      <c r="F362" t="s">
        <v>1533</v>
      </c>
      <c r="G362">
        <v>2021</v>
      </c>
      <c r="H362">
        <f>IF(Table1_1[[#This Row],[Type]]="Expense", _xlfn.XLOOKUP(Table1_1[[#This Row],[Category]], Budget_Ref[Category], Budget_Ref[Monthly Budget], 0), 0)</f>
        <v>1500</v>
      </c>
      <c r="I362" t="str">
        <f>IF(Table1_1[[#This Row],[Type]]="Expense", IF(Table1_1[[#This Row],[Amount]]&gt;Table1_1[[#This Row],[Monthly Budget]], "Over Budget", "OK"), "-")</f>
        <v>Over Budget</v>
      </c>
      <c r="J362">
        <f>IF(Table1_1[[#This Row],[Type]]="Income", Table1_1[[#This Row],[Amount]], -Table1_1[[#This Row],[Amount]])</f>
        <v>-1588.26</v>
      </c>
    </row>
    <row r="363" spans="1:10" x14ac:dyDescent="0.25">
      <c r="A363" s="1">
        <v>44278</v>
      </c>
      <c r="B363" t="s">
        <v>378</v>
      </c>
      <c r="C363" t="s">
        <v>13</v>
      </c>
      <c r="D363" s="2">
        <v>4023</v>
      </c>
      <c r="E363" t="s">
        <v>14</v>
      </c>
      <c r="F363" t="s">
        <v>1533</v>
      </c>
      <c r="G363">
        <v>2021</v>
      </c>
      <c r="H363">
        <f>IF(Table1_1[[#This Row],[Type]]="Expense", _xlfn.XLOOKUP(Table1_1[[#This Row],[Category]], Budget_Ref[Category], Budget_Ref[Monthly Budget], 0), 0)</f>
        <v>0</v>
      </c>
      <c r="I363" t="str">
        <f>IF(Table1_1[[#This Row],[Type]]="Expense", IF(Table1_1[[#This Row],[Amount]]&gt;Table1_1[[#This Row],[Monthly Budget]], "Over Budget", "OK"), "-")</f>
        <v>-</v>
      </c>
      <c r="J363">
        <f>IF(Table1_1[[#This Row],[Type]]="Income", Table1_1[[#This Row],[Amount]], -Table1_1[[#This Row],[Amount]])</f>
        <v>4023</v>
      </c>
    </row>
    <row r="364" spans="1:10" x14ac:dyDescent="0.25">
      <c r="A364" s="1">
        <v>44279</v>
      </c>
      <c r="B364" t="s">
        <v>379</v>
      </c>
      <c r="C364" t="s">
        <v>22</v>
      </c>
      <c r="D364" s="2">
        <v>833.49</v>
      </c>
      <c r="E364" t="s">
        <v>7</v>
      </c>
      <c r="F364" t="s">
        <v>1533</v>
      </c>
      <c r="G364">
        <v>2021</v>
      </c>
      <c r="H364">
        <f>IF(Table1_1[[#This Row],[Type]]="Expense", _xlfn.XLOOKUP(Table1_1[[#This Row],[Category]], Budget_Ref[Category], Budget_Ref[Monthly Budget], 0), 0)</f>
        <v>200</v>
      </c>
      <c r="I364" t="str">
        <f>IF(Table1_1[[#This Row],[Type]]="Expense", IF(Table1_1[[#This Row],[Amount]]&gt;Table1_1[[#This Row],[Monthly Budget]], "Over Budget", "OK"), "-")</f>
        <v>Over Budget</v>
      </c>
      <c r="J364">
        <f>IF(Table1_1[[#This Row],[Type]]="Income", Table1_1[[#This Row],[Amount]], -Table1_1[[#This Row],[Amount]])</f>
        <v>-833.49</v>
      </c>
    </row>
    <row r="365" spans="1:10" x14ac:dyDescent="0.25">
      <c r="A365" s="1">
        <v>44280</v>
      </c>
      <c r="B365" t="s">
        <v>380</v>
      </c>
      <c r="C365" t="s">
        <v>17</v>
      </c>
      <c r="D365" s="2">
        <v>837.82</v>
      </c>
      <c r="E365" t="s">
        <v>7</v>
      </c>
      <c r="F365" t="s">
        <v>1533</v>
      </c>
      <c r="G365">
        <v>2021</v>
      </c>
      <c r="H365">
        <f>IF(Table1_1[[#This Row],[Type]]="Expense", _xlfn.XLOOKUP(Table1_1[[#This Row],[Category]], Budget_Ref[Category], Budget_Ref[Monthly Budget], 0), 0)</f>
        <v>300</v>
      </c>
      <c r="I365" t="str">
        <f>IF(Table1_1[[#This Row],[Type]]="Expense", IF(Table1_1[[#This Row],[Amount]]&gt;Table1_1[[#This Row],[Monthly Budget]], "Over Budget", "OK"), "-")</f>
        <v>Over Budget</v>
      </c>
      <c r="J365">
        <f>IF(Table1_1[[#This Row],[Type]]="Income", Table1_1[[#This Row],[Amount]], -Table1_1[[#This Row],[Amount]])</f>
        <v>-837.82</v>
      </c>
    </row>
    <row r="366" spans="1:10" x14ac:dyDescent="0.25">
      <c r="A366" s="1">
        <v>44281</v>
      </c>
      <c r="B366" t="s">
        <v>381</v>
      </c>
      <c r="C366" t="s">
        <v>20</v>
      </c>
      <c r="D366" s="2">
        <v>3060</v>
      </c>
      <c r="E366" t="s">
        <v>14</v>
      </c>
      <c r="F366" t="s">
        <v>1533</v>
      </c>
      <c r="G366">
        <v>2021</v>
      </c>
      <c r="H366">
        <f>IF(Table1_1[[#This Row],[Type]]="Expense", _xlfn.XLOOKUP(Table1_1[[#This Row],[Category]], Budget_Ref[Category], Budget_Ref[Monthly Budget], 0), 0)</f>
        <v>0</v>
      </c>
      <c r="I366" t="str">
        <f>IF(Table1_1[[#This Row],[Type]]="Expense", IF(Table1_1[[#This Row],[Amount]]&gt;Table1_1[[#This Row],[Monthly Budget]], "Over Budget", "OK"), "-")</f>
        <v>-</v>
      </c>
      <c r="J366">
        <f>IF(Table1_1[[#This Row],[Type]]="Income", Table1_1[[#This Row],[Amount]], -Table1_1[[#This Row],[Amount]])</f>
        <v>3060</v>
      </c>
    </row>
    <row r="367" spans="1:10" x14ac:dyDescent="0.25">
      <c r="A367" s="1">
        <v>44282</v>
      </c>
      <c r="B367" t="s">
        <v>382</v>
      </c>
      <c r="C367" t="s">
        <v>25</v>
      </c>
      <c r="D367" s="2">
        <v>1907.65</v>
      </c>
      <c r="E367" t="s">
        <v>7</v>
      </c>
      <c r="F367" t="s">
        <v>1533</v>
      </c>
      <c r="G367">
        <v>2021</v>
      </c>
      <c r="H367">
        <f>IF(Table1_1[[#This Row],[Type]]="Expense", _xlfn.XLOOKUP(Table1_1[[#This Row],[Category]], Budget_Ref[Category], Budget_Ref[Monthly Budget], 0), 0)</f>
        <v>150</v>
      </c>
      <c r="I367" t="str">
        <f>IF(Table1_1[[#This Row],[Type]]="Expense", IF(Table1_1[[#This Row],[Amount]]&gt;Table1_1[[#This Row],[Monthly Budget]], "Over Budget", "OK"), "-")</f>
        <v>Over Budget</v>
      </c>
      <c r="J367">
        <f>IF(Table1_1[[#This Row],[Type]]="Income", Table1_1[[#This Row],[Amount]], -Table1_1[[#This Row],[Amount]])</f>
        <v>-1907.65</v>
      </c>
    </row>
    <row r="368" spans="1:10" x14ac:dyDescent="0.25">
      <c r="A368" s="1">
        <v>44283</v>
      </c>
      <c r="B368" t="s">
        <v>383</v>
      </c>
      <c r="C368" t="s">
        <v>27</v>
      </c>
      <c r="D368" s="2">
        <v>143.6</v>
      </c>
      <c r="E368" t="s">
        <v>14</v>
      </c>
      <c r="F368" t="s">
        <v>1533</v>
      </c>
      <c r="G368">
        <v>2021</v>
      </c>
      <c r="H368">
        <f>IF(Table1_1[[#This Row],[Type]]="Expense", _xlfn.XLOOKUP(Table1_1[[#This Row],[Category]], Budget_Ref[Category], Budget_Ref[Monthly Budget], 0), 0)</f>
        <v>0</v>
      </c>
      <c r="I368" t="str">
        <f>IF(Table1_1[[#This Row],[Type]]="Expense", IF(Table1_1[[#This Row],[Amount]]&gt;Table1_1[[#This Row],[Monthly Budget]], "Over Budget", "OK"), "-")</f>
        <v>-</v>
      </c>
      <c r="J368">
        <f>IF(Table1_1[[#This Row],[Type]]="Income", Table1_1[[#This Row],[Amount]], -Table1_1[[#This Row],[Amount]])</f>
        <v>143.6</v>
      </c>
    </row>
    <row r="369" spans="1:10" x14ac:dyDescent="0.25">
      <c r="A369" s="1">
        <v>44284</v>
      </c>
      <c r="B369" t="s">
        <v>384</v>
      </c>
      <c r="C369" t="s">
        <v>11</v>
      </c>
      <c r="D369" s="2">
        <v>869.43</v>
      </c>
      <c r="E369" t="s">
        <v>7</v>
      </c>
      <c r="F369" t="s">
        <v>1533</v>
      </c>
      <c r="G369">
        <v>2021</v>
      </c>
      <c r="H369">
        <f>IF(Table1_1[[#This Row],[Type]]="Expense", _xlfn.XLOOKUP(Table1_1[[#This Row],[Category]], Budget_Ref[Category], Budget_Ref[Monthly Budget], 0), 0)</f>
        <v>1500</v>
      </c>
      <c r="I369" t="str">
        <f>IF(Table1_1[[#This Row],[Type]]="Expense", IF(Table1_1[[#This Row],[Amount]]&gt;Table1_1[[#This Row],[Monthly Budget]], "Over Budget", "OK"), "-")</f>
        <v>OK</v>
      </c>
      <c r="J369">
        <f>IF(Table1_1[[#This Row],[Type]]="Income", Table1_1[[#This Row],[Amount]], -Table1_1[[#This Row],[Amount]])</f>
        <v>-869.43</v>
      </c>
    </row>
    <row r="370" spans="1:10" x14ac:dyDescent="0.25">
      <c r="A370" s="1">
        <v>44285</v>
      </c>
      <c r="B370" t="s">
        <v>385</v>
      </c>
      <c r="C370" t="s">
        <v>25</v>
      </c>
      <c r="D370" s="2">
        <v>1625.42</v>
      </c>
      <c r="E370" t="s">
        <v>7</v>
      </c>
      <c r="F370" t="s">
        <v>1533</v>
      </c>
      <c r="G370">
        <v>2021</v>
      </c>
      <c r="H370">
        <f>IF(Table1_1[[#This Row],[Type]]="Expense", _xlfn.XLOOKUP(Table1_1[[#This Row],[Category]], Budget_Ref[Category], Budget_Ref[Monthly Budget], 0), 0)</f>
        <v>150</v>
      </c>
      <c r="I370" t="str">
        <f>IF(Table1_1[[#This Row],[Type]]="Expense", IF(Table1_1[[#This Row],[Amount]]&gt;Table1_1[[#This Row],[Monthly Budget]], "Over Budget", "OK"), "-")</f>
        <v>Over Budget</v>
      </c>
      <c r="J370">
        <f>IF(Table1_1[[#This Row],[Type]]="Income", Table1_1[[#This Row],[Amount]], -Table1_1[[#This Row],[Amount]])</f>
        <v>-1625.42</v>
      </c>
    </row>
    <row r="371" spans="1:10" x14ac:dyDescent="0.25">
      <c r="A371" s="1">
        <v>44287</v>
      </c>
      <c r="B371" t="s">
        <v>386</v>
      </c>
      <c r="C371" t="s">
        <v>25</v>
      </c>
      <c r="D371" s="2">
        <v>1343.33</v>
      </c>
      <c r="E371" t="s">
        <v>7</v>
      </c>
      <c r="F371" t="s">
        <v>1534</v>
      </c>
      <c r="G371">
        <v>2021</v>
      </c>
      <c r="H371">
        <f>IF(Table1_1[[#This Row],[Type]]="Expense", _xlfn.XLOOKUP(Table1_1[[#This Row],[Category]], Budget_Ref[Category], Budget_Ref[Monthly Budget], 0), 0)</f>
        <v>150</v>
      </c>
      <c r="I371" t="str">
        <f>IF(Table1_1[[#This Row],[Type]]="Expense", IF(Table1_1[[#This Row],[Amount]]&gt;Table1_1[[#This Row],[Monthly Budget]], "Over Budget", "OK"), "-")</f>
        <v>Over Budget</v>
      </c>
      <c r="J371">
        <f>IF(Table1_1[[#This Row],[Type]]="Income", Table1_1[[#This Row],[Amount]], -Table1_1[[#This Row],[Amount]])</f>
        <v>-1343.33</v>
      </c>
    </row>
    <row r="372" spans="1:10" x14ac:dyDescent="0.25">
      <c r="A372" s="1">
        <v>44288</v>
      </c>
      <c r="B372" t="s">
        <v>387</v>
      </c>
      <c r="C372" t="s">
        <v>17</v>
      </c>
      <c r="D372" s="2">
        <v>1737.5</v>
      </c>
      <c r="E372" t="s">
        <v>7</v>
      </c>
      <c r="F372" t="s">
        <v>1534</v>
      </c>
      <c r="G372">
        <v>2021</v>
      </c>
      <c r="H372">
        <f>IF(Table1_1[[#This Row],[Type]]="Expense", _xlfn.XLOOKUP(Table1_1[[#This Row],[Category]], Budget_Ref[Category], Budget_Ref[Monthly Budget], 0), 0)</f>
        <v>300</v>
      </c>
      <c r="I372" t="str">
        <f>IF(Table1_1[[#This Row],[Type]]="Expense", IF(Table1_1[[#This Row],[Amount]]&gt;Table1_1[[#This Row],[Monthly Budget]], "Over Budget", "OK"), "-")</f>
        <v>Over Budget</v>
      </c>
      <c r="J372">
        <f>IF(Table1_1[[#This Row],[Type]]="Income", Table1_1[[#This Row],[Amount]], -Table1_1[[#This Row],[Amount]])</f>
        <v>-1737.5</v>
      </c>
    </row>
    <row r="373" spans="1:10" x14ac:dyDescent="0.25">
      <c r="A373" s="1">
        <v>44289</v>
      </c>
      <c r="B373" t="s">
        <v>388</v>
      </c>
      <c r="C373" t="s">
        <v>35</v>
      </c>
      <c r="D373" s="2">
        <v>1204.82</v>
      </c>
      <c r="E373" t="s">
        <v>7</v>
      </c>
      <c r="F373" t="s">
        <v>1534</v>
      </c>
      <c r="G373">
        <v>2021</v>
      </c>
      <c r="H373">
        <f>IF(Table1_1[[#This Row],[Type]]="Expense", _xlfn.XLOOKUP(Table1_1[[#This Row],[Category]], Budget_Ref[Category], Budget_Ref[Monthly Budget], 0), 0)</f>
        <v>200</v>
      </c>
      <c r="I373" t="str">
        <f>IF(Table1_1[[#This Row],[Type]]="Expense", IF(Table1_1[[#This Row],[Amount]]&gt;Table1_1[[#This Row],[Monthly Budget]], "Over Budget", "OK"), "-")</f>
        <v>Over Budget</v>
      </c>
      <c r="J373">
        <f>IF(Table1_1[[#This Row],[Type]]="Income", Table1_1[[#This Row],[Amount]], -Table1_1[[#This Row],[Amount]])</f>
        <v>-1204.82</v>
      </c>
    </row>
    <row r="374" spans="1:10" x14ac:dyDescent="0.25">
      <c r="A374" s="1">
        <v>44289</v>
      </c>
      <c r="B374" t="s">
        <v>389</v>
      </c>
      <c r="C374" t="s">
        <v>22</v>
      </c>
      <c r="D374" s="2">
        <v>317.91000000000003</v>
      </c>
      <c r="E374" t="s">
        <v>7</v>
      </c>
      <c r="F374" t="s">
        <v>1534</v>
      </c>
      <c r="G374">
        <v>2021</v>
      </c>
      <c r="H374">
        <f>IF(Table1_1[[#This Row],[Type]]="Expense", _xlfn.XLOOKUP(Table1_1[[#This Row],[Category]], Budget_Ref[Category], Budget_Ref[Monthly Budget], 0), 0)</f>
        <v>200</v>
      </c>
      <c r="I374" t="str">
        <f>IF(Table1_1[[#This Row],[Type]]="Expense", IF(Table1_1[[#This Row],[Amount]]&gt;Table1_1[[#This Row],[Monthly Budget]], "Over Budget", "OK"), "-")</f>
        <v>Over Budget</v>
      </c>
      <c r="J374">
        <f>IF(Table1_1[[#This Row],[Type]]="Income", Table1_1[[#This Row],[Amount]], -Table1_1[[#This Row],[Amount]])</f>
        <v>-317.91000000000003</v>
      </c>
    </row>
    <row r="375" spans="1:10" x14ac:dyDescent="0.25">
      <c r="A375" s="1">
        <v>44289</v>
      </c>
      <c r="B375" t="s">
        <v>390</v>
      </c>
      <c r="C375" t="s">
        <v>11</v>
      </c>
      <c r="D375" s="2">
        <v>706.73</v>
      </c>
      <c r="E375" t="s">
        <v>7</v>
      </c>
      <c r="F375" t="s">
        <v>1534</v>
      </c>
      <c r="G375">
        <v>2021</v>
      </c>
      <c r="H375">
        <f>IF(Table1_1[[#This Row],[Type]]="Expense", _xlfn.XLOOKUP(Table1_1[[#This Row],[Category]], Budget_Ref[Category], Budget_Ref[Monthly Budget], 0), 0)</f>
        <v>1500</v>
      </c>
      <c r="I375" t="str">
        <f>IF(Table1_1[[#This Row],[Type]]="Expense", IF(Table1_1[[#This Row],[Amount]]&gt;Table1_1[[#This Row],[Monthly Budget]], "Over Budget", "OK"), "-")</f>
        <v>OK</v>
      </c>
      <c r="J375">
        <f>IF(Table1_1[[#This Row],[Type]]="Income", Table1_1[[#This Row],[Amount]], -Table1_1[[#This Row],[Amount]])</f>
        <v>-706.73</v>
      </c>
    </row>
    <row r="376" spans="1:10" x14ac:dyDescent="0.25">
      <c r="A376" s="1">
        <v>44294</v>
      </c>
      <c r="B376" t="s">
        <v>391</v>
      </c>
      <c r="C376" t="s">
        <v>11</v>
      </c>
      <c r="D376" s="2">
        <v>1527.59</v>
      </c>
      <c r="E376" t="s">
        <v>7</v>
      </c>
      <c r="F376" t="s">
        <v>1534</v>
      </c>
      <c r="G376">
        <v>2021</v>
      </c>
      <c r="H376">
        <f>IF(Table1_1[[#This Row],[Type]]="Expense", _xlfn.XLOOKUP(Table1_1[[#This Row],[Category]], Budget_Ref[Category], Budget_Ref[Monthly Budget], 0), 0)</f>
        <v>1500</v>
      </c>
      <c r="I376" t="str">
        <f>IF(Table1_1[[#This Row],[Type]]="Expense", IF(Table1_1[[#This Row],[Amount]]&gt;Table1_1[[#This Row],[Monthly Budget]], "Over Budget", "OK"), "-")</f>
        <v>Over Budget</v>
      </c>
      <c r="J376">
        <f>IF(Table1_1[[#This Row],[Type]]="Income", Table1_1[[#This Row],[Amount]], -Table1_1[[#This Row],[Amount]])</f>
        <v>-1527.59</v>
      </c>
    </row>
    <row r="377" spans="1:10" x14ac:dyDescent="0.25">
      <c r="A377" s="1">
        <v>44294</v>
      </c>
      <c r="B377" t="s">
        <v>392</v>
      </c>
      <c r="C377" t="s">
        <v>17</v>
      </c>
      <c r="D377" s="2">
        <v>1691.86</v>
      </c>
      <c r="E377" t="s">
        <v>7</v>
      </c>
      <c r="F377" t="s">
        <v>1534</v>
      </c>
      <c r="G377">
        <v>2021</v>
      </c>
      <c r="H377">
        <f>IF(Table1_1[[#This Row],[Type]]="Expense", _xlfn.XLOOKUP(Table1_1[[#This Row],[Category]], Budget_Ref[Category], Budget_Ref[Monthly Budget], 0), 0)</f>
        <v>300</v>
      </c>
      <c r="I377" t="str">
        <f>IF(Table1_1[[#This Row],[Type]]="Expense", IF(Table1_1[[#This Row],[Amount]]&gt;Table1_1[[#This Row],[Monthly Budget]], "Over Budget", "OK"), "-")</f>
        <v>Over Budget</v>
      </c>
      <c r="J377">
        <f>IF(Table1_1[[#This Row],[Type]]="Income", Table1_1[[#This Row],[Amount]], -Table1_1[[#This Row],[Amount]])</f>
        <v>-1691.86</v>
      </c>
    </row>
    <row r="378" spans="1:10" x14ac:dyDescent="0.25">
      <c r="A378" s="1">
        <v>44295</v>
      </c>
      <c r="B378" t="s">
        <v>393</v>
      </c>
      <c r="C378" t="s">
        <v>6</v>
      </c>
      <c r="D378" s="2">
        <v>1221.9000000000001</v>
      </c>
      <c r="E378" t="s">
        <v>7</v>
      </c>
      <c r="F378" t="s">
        <v>1534</v>
      </c>
      <c r="G378">
        <v>2021</v>
      </c>
      <c r="H378">
        <f>IF(Table1_1[[#This Row],[Type]]="Expense", _xlfn.XLOOKUP(Table1_1[[#This Row],[Category]], Budget_Ref[Category], Budget_Ref[Monthly Budget], 0), 0)</f>
        <v>500</v>
      </c>
      <c r="I378" t="str">
        <f>IF(Table1_1[[#This Row],[Type]]="Expense", IF(Table1_1[[#This Row],[Amount]]&gt;Table1_1[[#This Row],[Monthly Budget]], "Over Budget", "OK"), "-")</f>
        <v>Over Budget</v>
      </c>
      <c r="J378">
        <f>IF(Table1_1[[#This Row],[Type]]="Income", Table1_1[[#This Row],[Amount]], -Table1_1[[#This Row],[Amount]])</f>
        <v>-1221.9000000000001</v>
      </c>
    </row>
    <row r="379" spans="1:10" x14ac:dyDescent="0.25">
      <c r="A379" s="1">
        <v>44297</v>
      </c>
      <c r="B379" t="s">
        <v>394</v>
      </c>
      <c r="C379" t="s">
        <v>35</v>
      </c>
      <c r="D379" s="2">
        <v>67.62</v>
      </c>
      <c r="E379" t="s">
        <v>7</v>
      </c>
      <c r="F379" t="s">
        <v>1534</v>
      </c>
      <c r="G379">
        <v>2021</v>
      </c>
      <c r="H379">
        <f>IF(Table1_1[[#This Row],[Type]]="Expense", _xlfn.XLOOKUP(Table1_1[[#This Row],[Category]], Budget_Ref[Category], Budget_Ref[Monthly Budget], 0), 0)</f>
        <v>200</v>
      </c>
      <c r="I379" t="str">
        <f>IF(Table1_1[[#This Row],[Type]]="Expense", IF(Table1_1[[#This Row],[Amount]]&gt;Table1_1[[#This Row],[Monthly Budget]], "Over Budget", "OK"), "-")</f>
        <v>OK</v>
      </c>
      <c r="J379">
        <f>IF(Table1_1[[#This Row],[Type]]="Income", Table1_1[[#This Row],[Amount]], -Table1_1[[#This Row],[Amount]])</f>
        <v>-67.62</v>
      </c>
    </row>
    <row r="380" spans="1:10" x14ac:dyDescent="0.25">
      <c r="A380" s="1">
        <v>44297</v>
      </c>
      <c r="B380" t="s">
        <v>395</v>
      </c>
      <c r="C380" t="s">
        <v>35</v>
      </c>
      <c r="D380" s="2">
        <v>1843.86</v>
      </c>
      <c r="E380" t="s">
        <v>7</v>
      </c>
      <c r="F380" t="s">
        <v>1534</v>
      </c>
      <c r="G380">
        <v>2021</v>
      </c>
      <c r="H380">
        <f>IF(Table1_1[[#This Row],[Type]]="Expense", _xlfn.XLOOKUP(Table1_1[[#This Row],[Category]], Budget_Ref[Category], Budget_Ref[Monthly Budget], 0), 0)</f>
        <v>200</v>
      </c>
      <c r="I380" t="str">
        <f>IF(Table1_1[[#This Row],[Type]]="Expense", IF(Table1_1[[#This Row],[Amount]]&gt;Table1_1[[#This Row],[Monthly Budget]], "Over Budget", "OK"), "-")</f>
        <v>Over Budget</v>
      </c>
      <c r="J380">
        <f>IF(Table1_1[[#This Row],[Type]]="Income", Table1_1[[#This Row],[Amount]], -Table1_1[[#This Row],[Amount]])</f>
        <v>-1843.86</v>
      </c>
    </row>
    <row r="381" spans="1:10" x14ac:dyDescent="0.25">
      <c r="A381" s="1">
        <v>44298</v>
      </c>
      <c r="B381" t="s">
        <v>396</v>
      </c>
      <c r="C381" t="s">
        <v>9</v>
      </c>
      <c r="D381" s="2">
        <v>1741.03</v>
      </c>
      <c r="E381" t="s">
        <v>7</v>
      </c>
      <c r="F381" t="s">
        <v>1534</v>
      </c>
      <c r="G381">
        <v>2021</v>
      </c>
      <c r="H381">
        <f>IF(Table1_1[[#This Row],[Type]]="Expense", _xlfn.XLOOKUP(Table1_1[[#This Row],[Category]], Budget_Ref[Category], Budget_Ref[Monthly Budget], 0), 0)</f>
        <v>150</v>
      </c>
      <c r="I381" t="str">
        <f>IF(Table1_1[[#This Row],[Type]]="Expense", IF(Table1_1[[#This Row],[Amount]]&gt;Table1_1[[#This Row],[Monthly Budget]], "Over Budget", "OK"), "-")</f>
        <v>Over Budget</v>
      </c>
      <c r="J381">
        <f>IF(Table1_1[[#This Row],[Type]]="Income", Table1_1[[#This Row],[Amount]], -Table1_1[[#This Row],[Amount]])</f>
        <v>-1741.03</v>
      </c>
    </row>
    <row r="382" spans="1:10" x14ac:dyDescent="0.25">
      <c r="A382" s="1">
        <v>44299</v>
      </c>
      <c r="B382" t="s">
        <v>397</v>
      </c>
      <c r="C382" t="s">
        <v>17</v>
      </c>
      <c r="D382" s="2">
        <v>148.47</v>
      </c>
      <c r="E382" t="s">
        <v>7</v>
      </c>
      <c r="F382" t="s">
        <v>1534</v>
      </c>
      <c r="G382">
        <v>2021</v>
      </c>
      <c r="H382">
        <f>IF(Table1_1[[#This Row],[Type]]="Expense", _xlfn.XLOOKUP(Table1_1[[#This Row],[Category]], Budget_Ref[Category], Budget_Ref[Monthly Budget], 0), 0)</f>
        <v>300</v>
      </c>
      <c r="I382" t="str">
        <f>IF(Table1_1[[#This Row],[Type]]="Expense", IF(Table1_1[[#This Row],[Amount]]&gt;Table1_1[[#This Row],[Monthly Budget]], "Over Budget", "OK"), "-")</f>
        <v>OK</v>
      </c>
      <c r="J382">
        <f>IF(Table1_1[[#This Row],[Type]]="Income", Table1_1[[#This Row],[Amount]], -Table1_1[[#This Row],[Amount]])</f>
        <v>-148.47</v>
      </c>
    </row>
    <row r="383" spans="1:10" x14ac:dyDescent="0.25">
      <c r="A383" s="1">
        <v>44304</v>
      </c>
      <c r="B383" t="s">
        <v>398</v>
      </c>
      <c r="C383" t="s">
        <v>6</v>
      </c>
      <c r="D383" s="2">
        <v>192.6</v>
      </c>
      <c r="E383" t="s">
        <v>7</v>
      </c>
      <c r="F383" t="s">
        <v>1534</v>
      </c>
      <c r="G383">
        <v>2021</v>
      </c>
      <c r="H383">
        <f>IF(Table1_1[[#This Row],[Type]]="Expense", _xlfn.XLOOKUP(Table1_1[[#This Row],[Category]], Budget_Ref[Category], Budget_Ref[Monthly Budget], 0), 0)</f>
        <v>500</v>
      </c>
      <c r="I383" t="str">
        <f>IF(Table1_1[[#This Row],[Type]]="Expense", IF(Table1_1[[#This Row],[Amount]]&gt;Table1_1[[#This Row],[Monthly Budget]], "Over Budget", "OK"), "-")</f>
        <v>OK</v>
      </c>
      <c r="J383">
        <f>IF(Table1_1[[#This Row],[Type]]="Income", Table1_1[[#This Row],[Amount]], -Table1_1[[#This Row],[Amount]])</f>
        <v>-192.6</v>
      </c>
    </row>
    <row r="384" spans="1:10" x14ac:dyDescent="0.25">
      <c r="A384" s="1">
        <v>44305</v>
      </c>
      <c r="B384" t="s">
        <v>399</v>
      </c>
      <c r="C384" t="s">
        <v>17</v>
      </c>
      <c r="D384" s="2">
        <v>845.47</v>
      </c>
      <c r="E384" t="s">
        <v>7</v>
      </c>
      <c r="F384" t="s">
        <v>1534</v>
      </c>
      <c r="G384">
        <v>2021</v>
      </c>
      <c r="H384">
        <f>IF(Table1_1[[#This Row],[Type]]="Expense", _xlfn.XLOOKUP(Table1_1[[#This Row],[Category]], Budget_Ref[Category], Budget_Ref[Monthly Budget], 0), 0)</f>
        <v>300</v>
      </c>
      <c r="I384" t="str">
        <f>IF(Table1_1[[#This Row],[Type]]="Expense", IF(Table1_1[[#This Row],[Amount]]&gt;Table1_1[[#This Row],[Monthly Budget]], "Over Budget", "OK"), "-")</f>
        <v>Over Budget</v>
      </c>
      <c r="J384">
        <f>IF(Table1_1[[#This Row],[Type]]="Income", Table1_1[[#This Row],[Amount]], -Table1_1[[#This Row],[Amount]])</f>
        <v>-845.47</v>
      </c>
    </row>
    <row r="385" spans="1:10" x14ac:dyDescent="0.25">
      <c r="A385" s="1">
        <v>44305</v>
      </c>
      <c r="B385" t="s">
        <v>400</v>
      </c>
      <c r="C385" t="s">
        <v>25</v>
      </c>
      <c r="D385" s="2">
        <v>630.16</v>
      </c>
      <c r="E385" t="s">
        <v>7</v>
      </c>
      <c r="F385" t="s">
        <v>1534</v>
      </c>
      <c r="G385">
        <v>2021</v>
      </c>
      <c r="H385">
        <f>IF(Table1_1[[#This Row],[Type]]="Expense", _xlfn.XLOOKUP(Table1_1[[#This Row],[Category]], Budget_Ref[Category], Budget_Ref[Monthly Budget], 0), 0)</f>
        <v>150</v>
      </c>
      <c r="I385" t="str">
        <f>IF(Table1_1[[#This Row],[Type]]="Expense", IF(Table1_1[[#This Row],[Amount]]&gt;Table1_1[[#This Row],[Monthly Budget]], "Over Budget", "OK"), "-")</f>
        <v>Over Budget</v>
      </c>
      <c r="J385">
        <f>IF(Table1_1[[#This Row],[Type]]="Income", Table1_1[[#This Row],[Amount]], -Table1_1[[#This Row],[Amount]])</f>
        <v>-630.16</v>
      </c>
    </row>
    <row r="386" spans="1:10" x14ac:dyDescent="0.25">
      <c r="A386" s="1">
        <v>44305</v>
      </c>
      <c r="B386" t="s">
        <v>401</v>
      </c>
      <c r="C386" t="s">
        <v>11</v>
      </c>
      <c r="D386" s="2">
        <v>1767.85</v>
      </c>
      <c r="E386" t="s">
        <v>7</v>
      </c>
      <c r="F386" t="s">
        <v>1534</v>
      </c>
      <c r="G386">
        <v>2021</v>
      </c>
      <c r="H386">
        <f>IF(Table1_1[[#This Row],[Type]]="Expense", _xlfn.XLOOKUP(Table1_1[[#This Row],[Category]], Budget_Ref[Category], Budget_Ref[Monthly Budget], 0), 0)</f>
        <v>1500</v>
      </c>
      <c r="I386" t="str">
        <f>IF(Table1_1[[#This Row],[Type]]="Expense", IF(Table1_1[[#This Row],[Amount]]&gt;Table1_1[[#This Row],[Monthly Budget]], "Over Budget", "OK"), "-")</f>
        <v>Over Budget</v>
      </c>
      <c r="J386">
        <f>IF(Table1_1[[#This Row],[Type]]="Income", Table1_1[[#This Row],[Amount]], -Table1_1[[#This Row],[Amount]])</f>
        <v>-1767.85</v>
      </c>
    </row>
    <row r="387" spans="1:10" x14ac:dyDescent="0.25">
      <c r="A387" s="1">
        <v>44305</v>
      </c>
      <c r="B387" t="s">
        <v>402</v>
      </c>
      <c r="C387" t="s">
        <v>13</v>
      </c>
      <c r="D387" s="2">
        <v>1168</v>
      </c>
      <c r="E387" t="s">
        <v>14</v>
      </c>
      <c r="F387" t="s">
        <v>1534</v>
      </c>
      <c r="G387">
        <v>2021</v>
      </c>
      <c r="H387">
        <f>IF(Table1_1[[#This Row],[Type]]="Expense", _xlfn.XLOOKUP(Table1_1[[#This Row],[Category]], Budget_Ref[Category], Budget_Ref[Monthly Budget], 0), 0)</f>
        <v>0</v>
      </c>
      <c r="I387" t="str">
        <f>IF(Table1_1[[#This Row],[Type]]="Expense", IF(Table1_1[[#This Row],[Amount]]&gt;Table1_1[[#This Row],[Monthly Budget]], "Over Budget", "OK"), "-")</f>
        <v>-</v>
      </c>
      <c r="J387">
        <f>IF(Table1_1[[#This Row],[Type]]="Income", Table1_1[[#This Row],[Amount]], -Table1_1[[#This Row],[Amount]])</f>
        <v>1168</v>
      </c>
    </row>
    <row r="388" spans="1:10" x14ac:dyDescent="0.25">
      <c r="A388" s="1">
        <v>44307</v>
      </c>
      <c r="B388" t="s">
        <v>403</v>
      </c>
      <c r="C388" t="s">
        <v>17</v>
      </c>
      <c r="D388" s="2">
        <v>976.47</v>
      </c>
      <c r="E388" t="s">
        <v>7</v>
      </c>
      <c r="F388" t="s">
        <v>1534</v>
      </c>
      <c r="G388">
        <v>2021</v>
      </c>
      <c r="H388">
        <f>IF(Table1_1[[#This Row],[Type]]="Expense", _xlfn.XLOOKUP(Table1_1[[#This Row],[Category]], Budget_Ref[Category], Budget_Ref[Monthly Budget], 0), 0)</f>
        <v>300</v>
      </c>
      <c r="I388" t="str">
        <f>IF(Table1_1[[#This Row],[Type]]="Expense", IF(Table1_1[[#This Row],[Amount]]&gt;Table1_1[[#This Row],[Monthly Budget]], "Over Budget", "OK"), "-")</f>
        <v>Over Budget</v>
      </c>
      <c r="J388">
        <f>IF(Table1_1[[#This Row],[Type]]="Income", Table1_1[[#This Row],[Amount]], -Table1_1[[#This Row],[Amount]])</f>
        <v>-976.47</v>
      </c>
    </row>
    <row r="389" spans="1:10" x14ac:dyDescent="0.25">
      <c r="A389" s="1">
        <v>44309</v>
      </c>
      <c r="B389" t="s">
        <v>404</v>
      </c>
      <c r="C389" t="s">
        <v>35</v>
      </c>
      <c r="D389" s="2">
        <v>438.98</v>
      </c>
      <c r="E389" t="s">
        <v>7</v>
      </c>
      <c r="F389" t="s">
        <v>1534</v>
      </c>
      <c r="G389">
        <v>2021</v>
      </c>
      <c r="H389">
        <f>IF(Table1_1[[#This Row],[Type]]="Expense", _xlfn.XLOOKUP(Table1_1[[#This Row],[Category]], Budget_Ref[Category], Budget_Ref[Monthly Budget], 0), 0)</f>
        <v>200</v>
      </c>
      <c r="I389" t="str">
        <f>IF(Table1_1[[#This Row],[Type]]="Expense", IF(Table1_1[[#This Row],[Amount]]&gt;Table1_1[[#This Row],[Monthly Budget]], "Over Budget", "OK"), "-")</f>
        <v>Over Budget</v>
      </c>
      <c r="J389">
        <f>IF(Table1_1[[#This Row],[Type]]="Income", Table1_1[[#This Row],[Amount]], -Table1_1[[#This Row],[Amount]])</f>
        <v>-438.98</v>
      </c>
    </row>
    <row r="390" spans="1:10" x14ac:dyDescent="0.25">
      <c r="A390" s="1">
        <v>44309</v>
      </c>
      <c r="B390" t="s">
        <v>405</v>
      </c>
      <c r="C390" t="s">
        <v>25</v>
      </c>
      <c r="D390" s="2">
        <v>865.53</v>
      </c>
      <c r="E390" t="s">
        <v>7</v>
      </c>
      <c r="F390" t="s">
        <v>1534</v>
      </c>
      <c r="G390">
        <v>2021</v>
      </c>
      <c r="H390">
        <f>IF(Table1_1[[#This Row],[Type]]="Expense", _xlfn.XLOOKUP(Table1_1[[#This Row],[Category]], Budget_Ref[Category], Budget_Ref[Monthly Budget], 0), 0)</f>
        <v>150</v>
      </c>
      <c r="I390" t="str">
        <f>IF(Table1_1[[#This Row],[Type]]="Expense", IF(Table1_1[[#This Row],[Amount]]&gt;Table1_1[[#This Row],[Monthly Budget]], "Over Budget", "OK"), "-")</f>
        <v>Over Budget</v>
      </c>
      <c r="J390">
        <f>IF(Table1_1[[#This Row],[Type]]="Income", Table1_1[[#This Row],[Amount]], -Table1_1[[#This Row],[Amount]])</f>
        <v>-865.53</v>
      </c>
    </row>
    <row r="391" spans="1:10" x14ac:dyDescent="0.25">
      <c r="A391" s="1">
        <v>44310</v>
      </c>
      <c r="B391" t="s">
        <v>406</v>
      </c>
      <c r="C391" t="s">
        <v>27</v>
      </c>
      <c r="D391" s="2">
        <v>1058.5999999999999</v>
      </c>
      <c r="E391" t="s">
        <v>14</v>
      </c>
      <c r="F391" t="s">
        <v>1534</v>
      </c>
      <c r="G391">
        <v>2021</v>
      </c>
      <c r="H391">
        <f>IF(Table1_1[[#This Row],[Type]]="Expense", _xlfn.XLOOKUP(Table1_1[[#This Row],[Category]], Budget_Ref[Category], Budget_Ref[Monthly Budget], 0), 0)</f>
        <v>0</v>
      </c>
      <c r="I391" t="str">
        <f>IF(Table1_1[[#This Row],[Type]]="Expense", IF(Table1_1[[#This Row],[Amount]]&gt;Table1_1[[#This Row],[Monthly Budget]], "Over Budget", "OK"), "-")</f>
        <v>-</v>
      </c>
      <c r="J391">
        <f>IF(Table1_1[[#This Row],[Type]]="Income", Table1_1[[#This Row],[Amount]], -Table1_1[[#This Row],[Amount]])</f>
        <v>1058.5999999999999</v>
      </c>
    </row>
    <row r="392" spans="1:10" x14ac:dyDescent="0.25">
      <c r="A392" s="1">
        <v>44313</v>
      </c>
      <c r="B392" t="s">
        <v>407</v>
      </c>
      <c r="C392" t="s">
        <v>22</v>
      </c>
      <c r="D392" s="2">
        <v>796.57</v>
      </c>
      <c r="E392" t="s">
        <v>7</v>
      </c>
      <c r="F392" t="s">
        <v>1534</v>
      </c>
      <c r="G392">
        <v>2021</v>
      </c>
      <c r="H392">
        <f>IF(Table1_1[[#This Row],[Type]]="Expense", _xlfn.XLOOKUP(Table1_1[[#This Row],[Category]], Budget_Ref[Category], Budget_Ref[Monthly Budget], 0), 0)</f>
        <v>200</v>
      </c>
      <c r="I392" t="str">
        <f>IF(Table1_1[[#This Row],[Type]]="Expense", IF(Table1_1[[#This Row],[Amount]]&gt;Table1_1[[#This Row],[Monthly Budget]], "Over Budget", "OK"), "-")</f>
        <v>Over Budget</v>
      </c>
      <c r="J392">
        <f>IF(Table1_1[[#This Row],[Type]]="Income", Table1_1[[#This Row],[Amount]], -Table1_1[[#This Row],[Amount]])</f>
        <v>-796.57</v>
      </c>
    </row>
    <row r="393" spans="1:10" x14ac:dyDescent="0.25">
      <c r="A393" s="1">
        <v>44313</v>
      </c>
      <c r="B393" t="s">
        <v>408</v>
      </c>
      <c r="C393" t="s">
        <v>6</v>
      </c>
      <c r="D393" s="2">
        <v>416.8</v>
      </c>
      <c r="E393" t="s">
        <v>7</v>
      </c>
      <c r="F393" t="s">
        <v>1534</v>
      </c>
      <c r="G393">
        <v>2021</v>
      </c>
      <c r="H393">
        <f>IF(Table1_1[[#This Row],[Type]]="Expense", _xlfn.XLOOKUP(Table1_1[[#This Row],[Category]], Budget_Ref[Category], Budget_Ref[Monthly Budget], 0), 0)</f>
        <v>500</v>
      </c>
      <c r="I393" t="str">
        <f>IF(Table1_1[[#This Row],[Type]]="Expense", IF(Table1_1[[#This Row],[Amount]]&gt;Table1_1[[#This Row],[Monthly Budget]], "Over Budget", "OK"), "-")</f>
        <v>OK</v>
      </c>
      <c r="J393">
        <f>IF(Table1_1[[#This Row],[Type]]="Income", Table1_1[[#This Row],[Amount]], -Table1_1[[#This Row],[Amount]])</f>
        <v>-416.8</v>
      </c>
    </row>
    <row r="394" spans="1:10" x14ac:dyDescent="0.25">
      <c r="A394" s="1">
        <v>44313</v>
      </c>
      <c r="B394" t="s">
        <v>409</v>
      </c>
      <c r="C394" t="s">
        <v>9</v>
      </c>
      <c r="D394" s="2">
        <v>1530.68</v>
      </c>
      <c r="E394" t="s">
        <v>7</v>
      </c>
      <c r="F394" t="s">
        <v>1534</v>
      </c>
      <c r="G394">
        <v>2021</v>
      </c>
      <c r="H394">
        <f>IF(Table1_1[[#This Row],[Type]]="Expense", _xlfn.XLOOKUP(Table1_1[[#This Row],[Category]], Budget_Ref[Category], Budget_Ref[Monthly Budget], 0), 0)</f>
        <v>150</v>
      </c>
      <c r="I394" t="str">
        <f>IF(Table1_1[[#This Row],[Type]]="Expense", IF(Table1_1[[#This Row],[Amount]]&gt;Table1_1[[#This Row],[Monthly Budget]], "Over Budget", "OK"), "-")</f>
        <v>Over Budget</v>
      </c>
      <c r="J394">
        <f>IF(Table1_1[[#This Row],[Type]]="Income", Table1_1[[#This Row],[Amount]], -Table1_1[[#This Row],[Amount]])</f>
        <v>-1530.68</v>
      </c>
    </row>
    <row r="395" spans="1:10" x14ac:dyDescent="0.25">
      <c r="A395" s="1">
        <v>44316</v>
      </c>
      <c r="B395" t="s">
        <v>410</v>
      </c>
      <c r="C395" t="s">
        <v>11</v>
      </c>
      <c r="D395" s="2">
        <v>25.38</v>
      </c>
      <c r="E395" t="s">
        <v>7</v>
      </c>
      <c r="F395" t="s">
        <v>1534</v>
      </c>
      <c r="G395">
        <v>2021</v>
      </c>
      <c r="H395">
        <f>IF(Table1_1[[#This Row],[Type]]="Expense", _xlfn.XLOOKUP(Table1_1[[#This Row],[Category]], Budget_Ref[Category], Budget_Ref[Monthly Budget], 0), 0)</f>
        <v>1500</v>
      </c>
      <c r="I395" t="str">
        <f>IF(Table1_1[[#This Row],[Type]]="Expense", IF(Table1_1[[#This Row],[Amount]]&gt;Table1_1[[#This Row],[Monthly Budget]], "Over Budget", "OK"), "-")</f>
        <v>OK</v>
      </c>
      <c r="J395">
        <f>IF(Table1_1[[#This Row],[Type]]="Income", Table1_1[[#This Row],[Amount]], -Table1_1[[#This Row],[Amount]])</f>
        <v>-25.38</v>
      </c>
    </row>
    <row r="396" spans="1:10" x14ac:dyDescent="0.25">
      <c r="A396" s="1">
        <v>44318</v>
      </c>
      <c r="B396" t="s">
        <v>411</v>
      </c>
      <c r="C396" t="s">
        <v>9</v>
      </c>
      <c r="D396" s="2">
        <v>267.08</v>
      </c>
      <c r="E396" t="s">
        <v>7</v>
      </c>
      <c r="F396" t="s">
        <v>1535</v>
      </c>
      <c r="G396">
        <v>2021</v>
      </c>
      <c r="H396">
        <f>IF(Table1_1[[#This Row],[Type]]="Expense", _xlfn.XLOOKUP(Table1_1[[#This Row],[Category]], Budget_Ref[Category], Budget_Ref[Monthly Budget], 0), 0)</f>
        <v>150</v>
      </c>
      <c r="I396" t="str">
        <f>IF(Table1_1[[#This Row],[Type]]="Expense", IF(Table1_1[[#This Row],[Amount]]&gt;Table1_1[[#This Row],[Monthly Budget]], "Over Budget", "OK"), "-")</f>
        <v>Over Budget</v>
      </c>
      <c r="J396">
        <f>IF(Table1_1[[#This Row],[Type]]="Income", Table1_1[[#This Row],[Amount]], -Table1_1[[#This Row],[Amount]])</f>
        <v>-267.08</v>
      </c>
    </row>
    <row r="397" spans="1:10" x14ac:dyDescent="0.25">
      <c r="A397" s="1">
        <v>44320</v>
      </c>
      <c r="B397" t="s">
        <v>412</v>
      </c>
      <c r="C397" t="s">
        <v>22</v>
      </c>
      <c r="D397" s="2">
        <v>1005.52</v>
      </c>
      <c r="E397" t="s">
        <v>7</v>
      </c>
      <c r="F397" t="s">
        <v>1535</v>
      </c>
      <c r="G397">
        <v>2021</v>
      </c>
      <c r="H397">
        <f>IF(Table1_1[[#This Row],[Type]]="Expense", _xlfn.XLOOKUP(Table1_1[[#This Row],[Category]], Budget_Ref[Category], Budget_Ref[Monthly Budget], 0), 0)</f>
        <v>200</v>
      </c>
      <c r="I397" t="str">
        <f>IF(Table1_1[[#This Row],[Type]]="Expense", IF(Table1_1[[#This Row],[Amount]]&gt;Table1_1[[#This Row],[Monthly Budget]], "Over Budget", "OK"), "-")</f>
        <v>Over Budget</v>
      </c>
      <c r="J397">
        <f>IF(Table1_1[[#This Row],[Type]]="Income", Table1_1[[#This Row],[Amount]], -Table1_1[[#This Row],[Amount]])</f>
        <v>-1005.52</v>
      </c>
    </row>
    <row r="398" spans="1:10" x14ac:dyDescent="0.25">
      <c r="A398" s="1">
        <v>44320</v>
      </c>
      <c r="B398" t="s">
        <v>413</v>
      </c>
      <c r="C398" t="s">
        <v>25</v>
      </c>
      <c r="D398" s="2">
        <v>153.43</v>
      </c>
      <c r="E398" t="s">
        <v>7</v>
      </c>
      <c r="F398" t="s">
        <v>1535</v>
      </c>
      <c r="G398">
        <v>2021</v>
      </c>
      <c r="H398">
        <f>IF(Table1_1[[#This Row],[Type]]="Expense", _xlfn.XLOOKUP(Table1_1[[#This Row],[Category]], Budget_Ref[Category], Budget_Ref[Monthly Budget], 0), 0)</f>
        <v>150</v>
      </c>
      <c r="I398" t="str">
        <f>IF(Table1_1[[#This Row],[Type]]="Expense", IF(Table1_1[[#This Row],[Amount]]&gt;Table1_1[[#This Row],[Monthly Budget]], "Over Budget", "OK"), "-")</f>
        <v>Over Budget</v>
      </c>
      <c r="J398">
        <f>IF(Table1_1[[#This Row],[Type]]="Income", Table1_1[[#This Row],[Amount]], -Table1_1[[#This Row],[Amount]])</f>
        <v>-153.43</v>
      </c>
    </row>
    <row r="399" spans="1:10" x14ac:dyDescent="0.25">
      <c r="A399" s="1">
        <v>44322</v>
      </c>
      <c r="B399" t="s">
        <v>414</v>
      </c>
      <c r="C399" t="s">
        <v>6</v>
      </c>
      <c r="D399" s="2">
        <v>878.08</v>
      </c>
      <c r="E399" t="s">
        <v>7</v>
      </c>
      <c r="F399" t="s">
        <v>1535</v>
      </c>
      <c r="G399">
        <v>2021</v>
      </c>
      <c r="H399">
        <f>IF(Table1_1[[#This Row],[Type]]="Expense", _xlfn.XLOOKUP(Table1_1[[#This Row],[Category]], Budget_Ref[Category], Budget_Ref[Monthly Budget], 0), 0)</f>
        <v>500</v>
      </c>
      <c r="I399" t="str">
        <f>IF(Table1_1[[#This Row],[Type]]="Expense", IF(Table1_1[[#This Row],[Amount]]&gt;Table1_1[[#This Row],[Monthly Budget]], "Over Budget", "OK"), "-")</f>
        <v>Over Budget</v>
      </c>
      <c r="J399">
        <f>IF(Table1_1[[#This Row],[Type]]="Income", Table1_1[[#This Row],[Amount]], -Table1_1[[#This Row],[Amount]])</f>
        <v>-878.08</v>
      </c>
    </row>
    <row r="400" spans="1:10" x14ac:dyDescent="0.25">
      <c r="A400" s="1">
        <v>44323</v>
      </c>
      <c r="B400" t="s">
        <v>415</v>
      </c>
      <c r="C400" t="s">
        <v>11</v>
      </c>
      <c r="D400" s="2">
        <v>1725.6</v>
      </c>
      <c r="E400" t="s">
        <v>7</v>
      </c>
      <c r="F400" t="s">
        <v>1535</v>
      </c>
      <c r="G400">
        <v>2021</v>
      </c>
      <c r="H400">
        <f>IF(Table1_1[[#This Row],[Type]]="Expense", _xlfn.XLOOKUP(Table1_1[[#This Row],[Category]], Budget_Ref[Category], Budget_Ref[Monthly Budget], 0), 0)</f>
        <v>1500</v>
      </c>
      <c r="I400" t="str">
        <f>IF(Table1_1[[#This Row],[Type]]="Expense", IF(Table1_1[[#This Row],[Amount]]&gt;Table1_1[[#This Row],[Monthly Budget]], "Over Budget", "OK"), "-")</f>
        <v>Over Budget</v>
      </c>
      <c r="J400">
        <f>IF(Table1_1[[#This Row],[Type]]="Income", Table1_1[[#This Row],[Amount]], -Table1_1[[#This Row],[Amount]])</f>
        <v>-1725.6</v>
      </c>
    </row>
    <row r="401" spans="1:10" x14ac:dyDescent="0.25">
      <c r="A401" s="1">
        <v>44323</v>
      </c>
      <c r="B401" t="s">
        <v>416</v>
      </c>
      <c r="C401" t="s">
        <v>17</v>
      </c>
      <c r="D401" s="2">
        <v>1421.9</v>
      </c>
      <c r="E401" t="s">
        <v>7</v>
      </c>
      <c r="F401" t="s">
        <v>1535</v>
      </c>
      <c r="G401">
        <v>2021</v>
      </c>
      <c r="H401">
        <f>IF(Table1_1[[#This Row],[Type]]="Expense", _xlfn.XLOOKUP(Table1_1[[#This Row],[Category]], Budget_Ref[Category], Budget_Ref[Monthly Budget], 0), 0)</f>
        <v>300</v>
      </c>
      <c r="I401" t="str">
        <f>IF(Table1_1[[#This Row],[Type]]="Expense", IF(Table1_1[[#This Row],[Amount]]&gt;Table1_1[[#This Row],[Monthly Budget]], "Over Budget", "OK"), "-")</f>
        <v>Over Budget</v>
      </c>
      <c r="J401">
        <f>IF(Table1_1[[#This Row],[Type]]="Income", Table1_1[[#This Row],[Amount]], -Table1_1[[#This Row],[Amount]])</f>
        <v>-1421.9</v>
      </c>
    </row>
    <row r="402" spans="1:10" x14ac:dyDescent="0.25">
      <c r="A402" s="1">
        <v>44323</v>
      </c>
      <c r="B402" t="s">
        <v>417</v>
      </c>
      <c r="C402" t="s">
        <v>11</v>
      </c>
      <c r="D402" s="2">
        <v>816.01</v>
      </c>
      <c r="E402" t="s">
        <v>7</v>
      </c>
      <c r="F402" t="s">
        <v>1535</v>
      </c>
      <c r="G402">
        <v>2021</v>
      </c>
      <c r="H402">
        <f>IF(Table1_1[[#This Row],[Type]]="Expense", _xlfn.XLOOKUP(Table1_1[[#This Row],[Category]], Budget_Ref[Category], Budget_Ref[Monthly Budget], 0), 0)</f>
        <v>1500</v>
      </c>
      <c r="I402" t="str">
        <f>IF(Table1_1[[#This Row],[Type]]="Expense", IF(Table1_1[[#This Row],[Amount]]&gt;Table1_1[[#This Row],[Monthly Budget]], "Over Budget", "OK"), "-")</f>
        <v>OK</v>
      </c>
      <c r="J402">
        <f>IF(Table1_1[[#This Row],[Type]]="Income", Table1_1[[#This Row],[Amount]], -Table1_1[[#This Row],[Amount]])</f>
        <v>-816.01</v>
      </c>
    </row>
    <row r="403" spans="1:10" x14ac:dyDescent="0.25">
      <c r="A403" s="1">
        <v>44326</v>
      </c>
      <c r="B403" t="s">
        <v>418</v>
      </c>
      <c r="C403" t="s">
        <v>9</v>
      </c>
      <c r="D403" s="2">
        <v>1604.63</v>
      </c>
      <c r="E403" t="s">
        <v>7</v>
      </c>
      <c r="F403" t="s">
        <v>1535</v>
      </c>
      <c r="G403">
        <v>2021</v>
      </c>
      <c r="H403">
        <f>IF(Table1_1[[#This Row],[Type]]="Expense", _xlfn.XLOOKUP(Table1_1[[#This Row],[Category]], Budget_Ref[Category], Budget_Ref[Monthly Budget], 0), 0)</f>
        <v>150</v>
      </c>
      <c r="I403" t="str">
        <f>IF(Table1_1[[#This Row],[Type]]="Expense", IF(Table1_1[[#This Row],[Amount]]&gt;Table1_1[[#This Row],[Monthly Budget]], "Over Budget", "OK"), "-")</f>
        <v>Over Budget</v>
      </c>
      <c r="J403">
        <f>IF(Table1_1[[#This Row],[Type]]="Income", Table1_1[[#This Row],[Amount]], -Table1_1[[#This Row],[Amount]])</f>
        <v>-1604.63</v>
      </c>
    </row>
    <row r="404" spans="1:10" x14ac:dyDescent="0.25">
      <c r="A404" s="1">
        <v>44327</v>
      </c>
      <c r="B404" t="s">
        <v>419</v>
      </c>
      <c r="C404" t="s">
        <v>25</v>
      </c>
      <c r="D404" s="2">
        <v>185.38</v>
      </c>
      <c r="E404" t="s">
        <v>7</v>
      </c>
      <c r="F404" t="s">
        <v>1535</v>
      </c>
      <c r="G404">
        <v>2021</v>
      </c>
      <c r="H404">
        <f>IF(Table1_1[[#This Row],[Type]]="Expense", _xlfn.XLOOKUP(Table1_1[[#This Row],[Category]], Budget_Ref[Category], Budget_Ref[Monthly Budget], 0), 0)</f>
        <v>150</v>
      </c>
      <c r="I404" t="str">
        <f>IF(Table1_1[[#This Row],[Type]]="Expense", IF(Table1_1[[#This Row],[Amount]]&gt;Table1_1[[#This Row],[Monthly Budget]], "Over Budget", "OK"), "-")</f>
        <v>Over Budget</v>
      </c>
      <c r="J404">
        <f>IF(Table1_1[[#This Row],[Type]]="Income", Table1_1[[#This Row],[Amount]], -Table1_1[[#This Row],[Amount]])</f>
        <v>-185.38</v>
      </c>
    </row>
    <row r="405" spans="1:10" x14ac:dyDescent="0.25">
      <c r="A405" s="1">
        <v>44327</v>
      </c>
      <c r="B405" t="s">
        <v>420</v>
      </c>
      <c r="C405" t="s">
        <v>22</v>
      </c>
      <c r="D405" s="2">
        <v>877</v>
      </c>
      <c r="E405" t="s">
        <v>7</v>
      </c>
      <c r="F405" t="s">
        <v>1535</v>
      </c>
      <c r="G405">
        <v>2021</v>
      </c>
      <c r="H405">
        <f>IF(Table1_1[[#This Row],[Type]]="Expense", _xlfn.XLOOKUP(Table1_1[[#This Row],[Category]], Budget_Ref[Category], Budget_Ref[Monthly Budget], 0), 0)</f>
        <v>200</v>
      </c>
      <c r="I405" t="str">
        <f>IF(Table1_1[[#This Row],[Type]]="Expense", IF(Table1_1[[#This Row],[Amount]]&gt;Table1_1[[#This Row],[Monthly Budget]], "Over Budget", "OK"), "-")</f>
        <v>Over Budget</v>
      </c>
      <c r="J405">
        <f>IF(Table1_1[[#This Row],[Type]]="Income", Table1_1[[#This Row],[Amount]], -Table1_1[[#This Row],[Amount]])</f>
        <v>-877</v>
      </c>
    </row>
    <row r="406" spans="1:10" x14ac:dyDescent="0.25">
      <c r="A406" s="1">
        <v>44328</v>
      </c>
      <c r="B406" t="s">
        <v>421</v>
      </c>
      <c r="C406" t="s">
        <v>11</v>
      </c>
      <c r="D406" s="2">
        <v>797.58</v>
      </c>
      <c r="E406" t="s">
        <v>7</v>
      </c>
      <c r="F406" t="s">
        <v>1535</v>
      </c>
      <c r="G406">
        <v>2021</v>
      </c>
      <c r="H406">
        <f>IF(Table1_1[[#This Row],[Type]]="Expense", _xlfn.XLOOKUP(Table1_1[[#This Row],[Category]], Budget_Ref[Category], Budget_Ref[Monthly Budget], 0), 0)</f>
        <v>1500</v>
      </c>
      <c r="I406" t="str">
        <f>IF(Table1_1[[#This Row],[Type]]="Expense", IF(Table1_1[[#This Row],[Amount]]&gt;Table1_1[[#This Row],[Monthly Budget]], "Over Budget", "OK"), "-")</f>
        <v>OK</v>
      </c>
      <c r="J406">
        <f>IF(Table1_1[[#This Row],[Type]]="Income", Table1_1[[#This Row],[Amount]], -Table1_1[[#This Row],[Amount]])</f>
        <v>-797.58</v>
      </c>
    </row>
    <row r="407" spans="1:10" x14ac:dyDescent="0.25">
      <c r="A407" s="1">
        <v>44330</v>
      </c>
      <c r="B407" t="s">
        <v>422</v>
      </c>
      <c r="C407" t="s">
        <v>25</v>
      </c>
      <c r="D407" s="2">
        <v>450.93</v>
      </c>
      <c r="E407" t="s">
        <v>7</v>
      </c>
      <c r="F407" t="s">
        <v>1535</v>
      </c>
      <c r="G407">
        <v>2021</v>
      </c>
      <c r="H407">
        <f>IF(Table1_1[[#This Row],[Type]]="Expense", _xlfn.XLOOKUP(Table1_1[[#This Row],[Category]], Budget_Ref[Category], Budget_Ref[Monthly Budget], 0), 0)</f>
        <v>150</v>
      </c>
      <c r="I407" t="str">
        <f>IF(Table1_1[[#This Row],[Type]]="Expense", IF(Table1_1[[#This Row],[Amount]]&gt;Table1_1[[#This Row],[Monthly Budget]], "Over Budget", "OK"), "-")</f>
        <v>Over Budget</v>
      </c>
      <c r="J407">
        <f>IF(Table1_1[[#This Row],[Type]]="Income", Table1_1[[#This Row],[Amount]], -Table1_1[[#This Row],[Amount]])</f>
        <v>-450.93</v>
      </c>
    </row>
    <row r="408" spans="1:10" x14ac:dyDescent="0.25">
      <c r="A408" s="1">
        <v>44330</v>
      </c>
      <c r="B408" t="s">
        <v>423</v>
      </c>
      <c r="C408" t="s">
        <v>11</v>
      </c>
      <c r="D408" s="2">
        <v>1025.8599999999999</v>
      </c>
      <c r="E408" t="s">
        <v>7</v>
      </c>
      <c r="F408" t="s">
        <v>1535</v>
      </c>
      <c r="G408">
        <v>2021</v>
      </c>
      <c r="H408">
        <f>IF(Table1_1[[#This Row],[Type]]="Expense", _xlfn.XLOOKUP(Table1_1[[#This Row],[Category]], Budget_Ref[Category], Budget_Ref[Monthly Budget], 0), 0)</f>
        <v>1500</v>
      </c>
      <c r="I408" t="str">
        <f>IF(Table1_1[[#This Row],[Type]]="Expense", IF(Table1_1[[#This Row],[Amount]]&gt;Table1_1[[#This Row],[Monthly Budget]], "Over Budget", "OK"), "-")</f>
        <v>OK</v>
      </c>
      <c r="J408">
        <f>IF(Table1_1[[#This Row],[Type]]="Income", Table1_1[[#This Row],[Amount]], -Table1_1[[#This Row],[Amount]])</f>
        <v>-1025.8599999999999</v>
      </c>
    </row>
    <row r="409" spans="1:10" x14ac:dyDescent="0.25">
      <c r="A409" s="1">
        <v>44331</v>
      </c>
      <c r="B409" t="s">
        <v>424</v>
      </c>
      <c r="C409" t="s">
        <v>13</v>
      </c>
      <c r="D409" s="2">
        <v>3362</v>
      </c>
      <c r="E409" t="s">
        <v>14</v>
      </c>
      <c r="F409" t="s">
        <v>1535</v>
      </c>
      <c r="G409">
        <v>2021</v>
      </c>
      <c r="H409">
        <f>IF(Table1_1[[#This Row],[Type]]="Expense", _xlfn.XLOOKUP(Table1_1[[#This Row],[Category]], Budget_Ref[Category], Budget_Ref[Monthly Budget], 0), 0)</f>
        <v>0</v>
      </c>
      <c r="I409" t="str">
        <f>IF(Table1_1[[#This Row],[Type]]="Expense", IF(Table1_1[[#This Row],[Amount]]&gt;Table1_1[[#This Row],[Monthly Budget]], "Over Budget", "OK"), "-")</f>
        <v>-</v>
      </c>
      <c r="J409">
        <f>IF(Table1_1[[#This Row],[Type]]="Income", Table1_1[[#This Row],[Amount]], -Table1_1[[#This Row],[Amount]])</f>
        <v>3362</v>
      </c>
    </row>
    <row r="410" spans="1:10" x14ac:dyDescent="0.25">
      <c r="A410" s="1">
        <v>44333</v>
      </c>
      <c r="B410" t="s">
        <v>425</v>
      </c>
      <c r="C410" t="s">
        <v>9</v>
      </c>
      <c r="D410" s="2">
        <v>480.18</v>
      </c>
      <c r="E410" t="s">
        <v>7</v>
      </c>
      <c r="F410" t="s">
        <v>1535</v>
      </c>
      <c r="G410">
        <v>2021</v>
      </c>
      <c r="H410">
        <f>IF(Table1_1[[#This Row],[Type]]="Expense", _xlfn.XLOOKUP(Table1_1[[#This Row],[Category]], Budget_Ref[Category], Budget_Ref[Monthly Budget], 0), 0)</f>
        <v>150</v>
      </c>
      <c r="I410" t="str">
        <f>IF(Table1_1[[#This Row],[Type]]="Expense", IF(Table1_1[[#This Row],[Amount]]&gt;Table1_1[[#This Row],[Monthly Budget]], "Over Budget", "OK"), "-")</f>
        <v>Over Budget</v>
      </c>
      <c r="J410">
        <f>IF(Table1_1[[#This Row],[Type]]="Income", Table1_1[[#This Row],[Amount]], -Table1_1[[#This Row],[Amount]])</f>
        <v>-480.18</v>
      </c>
    </row>
    <row r="411" spans="1:10" x14ac:dyDescent="0.25">
      <c r="A411" s="1">
        <v>44335</v>
      </c>
      <c r="B411" t="s">
        <v>426</v>
      </c>
      <c r="C411" t="s">
        <v>13</v>
      </c>
      <c r="D411" s="2">
        <v>1921</v>
      </c>
      <c r="E411" t="s">
        <v>14</v>
      </c>
      <c r="F411" t="s">
        <v>1535</v>
      </c>
      <c r="G411">
        <v>2021</v>
      </c>
      <c r="H411">
        <f>IF(Table1_1[[#This Row],[Type]]="Expense", _xlfn.XLOOKUP(Table1_1[[#This Row],[Category]], Budget_Ref[Category], Budget_Ref[Monthly Budget], 0), 0)</f>
        <v>0</v>
      </c>
      <c r="I411" t="str">
        <f>IF(Table1_1[[#This Row],[Type]]="Expense", IF(Table1_1[[#This Row],[Amount]]&gt;Table1_1[[#This Row],[Monthly Budget]], "Over Budget", "OK"), "-")</f>
        <v>-</v>
      </c>
      <c r="J411">
        <f>IF(Table1_1[[#This Row],[Type]]="Income", Table1_1[[#This Row],[Amount]], -Table1_1[[#This Row],[Amount]])</f>
        <v>1921</v>
      </c>
    </row>
    <row r="412" spans="1:10" x14ac:dyDescent="0.25">
      <c r="A412" s="1">
        <v>44338</v>
      </c>
      <c r="B412" t="s">
        <v>427</v>
      </c>
      <c r="C412" t="s">
        <v>11</v>
      </c>
      <c r="D412" s="2">
        <v>362.52</v>
      </c>
      <c r="E412" t="s">
        <v>7</v>
      </c>
      <c r="F412" t="s">
        <v>1535</v>
      </c>
      <c r="G412">
        <v>2021</v>
      </c>
      <c r="H412">
        <f>IF(Table1_1[[#This Row],[Type]]="Expense", _xlfn.XLOOKUP(Table1_1[[#This Row],[Category]], Budget_Ref[Category], Budget_Ref[Monthly Budget], 0), 0)</f>
        <v>1500</v>
      </c>
      <c r="I412" t="str">
        <f>IF(Table1_1[[#This Row],[Type]]="Expense", IF(Table1_1[[#This Row],[Amount]]&gt;Table1_1[[#This Row],[Monthly Budget]], "Over Budget", "OK"), "-")</f>
        <v>OK</v>
      </c>
      <c r="J412">
        <f>IF(Table1_1[[#This Row],[Type]]="Income", Table1_1[[#This Row],[Amount]], -Table1_1[[#This Row],[Amount]])</f>
        <v>-362.52</v>
      </c>
    </row>
    <row r="413" spans="1:10" x14ac:dyDescent="0.25">
      <c r="A413" s="1">
        <v>44339</v>
      </c>
      <c r="B413" t="s">
        <v>428</v>
      </c>
      <c r="C413" t="s">
        <v>27</v>
      </c>
      <c r="D413" s="2">
        <v>933.27</v>
      </c>
      <c r="E413" t="s">
        <v>14</v>
      </c>
      <c r="F413" t="s">
        <v>1535</v>
      </c>
      <c r="G413">
        <v>2021</v>
      </c>
      <c r="H413">
        <f>IF(Table1_1[[#This Row],[Type]]="Expense", _xlfn.XLOOKUP(Table1_1[[#This Row],[Category]], Budget_Ref[Category], Budget_Ref[Monthly Budget], 0), 0)</f>
        <v>0</v>
      </c>
      <c r="I413" t="str">
        <f>IF(Table1_1[[#This Row],[Type]]="Expense", IF(Table1_1[[#This Row],[Amount]]&gt;Table1_1[[#This Row],[Monthly Budget]], "Over Budget", "OK"), "-")</f>
        <v>-</v>
      </c>
      <c r="J413">
        <f>IF(Table1_1[[#This Row],[Type]]="Income", Table1_1[[#This Row],[Amount]], -Table1_1[[#This Row],[Amount]])</f>
        <v>933.27</v>
      </c>
    </row>
    <row r="414" spans="1:10" x14ac:dyDescent="0.25">
      <c r="A414" s="1">
        <v>44340</v>
      </c>
      <c r="B414" t="s">
        <v>429</v>
      </c>
      <c r="C414" t="s">
        <v>27</v>
      </c>
      <c r="D414" s="2">
        <v>1365.46</v>
      </c>
      <c r="E414" t="s">
        <v>14</v>
      </c>
      <c r="F414" t="s">
        <v>1535</v>
      </c>
      <c r="G414">
        <v>2021</v>
      </c>
      <c r="H414">
        <f>IF(Table1_1[[#This Row],[Type]]="Expense", _xlfn.XLOOKUP(Table1_1[[#This Row],[Category]], Budget_Ref[Category], Budget_Ref[Monthly Budget], 0), 0)</f>
        <v>0</v>
      </c>
      <c r="I414" t="str">
        <f>IF(Table1_1[[#This Row],[Type]]="Expense", IF(Table1_1[[#This Row],[Amount]]&gt;Table1_1[[#This Row],[Monthly Budget]], "Over Budget", "OK"), "-")</f>
        <v>-</v>
      </c>
      <c r="J414">
        <f>IF(Table1_1[[#This Row],[Type]]="Income", Table1_1[[#This Row],[Amount]], -Table1_1[[#This Row],[Amount]])</f>
        <v>1365.46</v>
      </c>
    </row>
    <row r="415" spans="1:10" x14ac:dyDescent="0.25">
      <c r="A415" s="1">
        <v>44340</v>
      </c>
      <c r="B415" t="s">
        <v>430</v>
      </c>
      <c r="C415" t="s">
        <v>25</v>
      </c>
      <c r="D415" s="2">
        <v>1729.85</v>
      </c>
      <c r="E415" t="s">
        <v>7</v>
      </c>
      <c r="F415" t="s">
        <v>1535</v>
      </c>
      <c r="G415">
        <v>2021</v>
      </c>
      <c r="H415">
        <f>IF(Table1_1[[#This Row],[Type]]="Expense", _xlfn.XLOOKUP(Table1_1[[#This Row],[Category]], Budget_Ref[Category], Budget_Ref[Monthly Budget], 0), 0)</f>
        <v>150</v>
      </c>
      <c r="I415" t="str">
        <f>IF(Table1_1[[#This Row],[Type]]="Expense", IF(Table1_1[[#This Row],[Amount]]&gt;Table1_1[[#This Row],[Monthly Budget]], "Over Budget", "OK"), "-")</f>
        <v>Over Budget</v>
      </c>
      <c r="J415">
        <f>IF(Table1_1[[#This Row],[Type]]="Income", Table1_1[[#This Row],[Amount]], -Table1_1[[#This Row],[Amount]])</f>
        <v>-1729.85</v>
      </c>
    </row>
    <row r="416" spans="1:10" x14ac:dyDescent="0.25">
      <c r="A416" s="1">
        <v>44340</v>
      </c>
      <c r="B416" t="s">
        <v>431</v>
      </c>
      <c r="C416" t="s">
        <v>9</v>
      </c>
      <c r="D416" s="2">
        <v>885.13</v>
      </c>
      <c r="E416" t="s">
        <v>7</v>
      </c>
      <c r="F416" t="s">
        <v>1535</v>
      </c>
      <c r="G416">
        <v>2021</v>
      </c>
      <c r="H416">
        <f>IF(Table1_1[[#This Row],[Type]]="Expense", _xlfn.XLOOKUP(Table1_1[[#This Row],[Category]], Budget_Ref[Category], Budget_Ref[Monthly Budget], 0), 0)</f>
        <v>150</v>
      </c>
      <c r="I416" t="str">
        <f>IF(Table1_1[[#This Row],[Type]]="Expense", IF(Table1_1[[#This Row],[Amount]]&gt;Table1_1[[#This Row],[Monthly Budget]], "Over Budget", "OK"), "-")</f>
        <v>Over Budget</v>
      </c>
      <c r="J416">
        <f>IF(Table1_1[[#This Row],[Type]]="Income", Table1_1[[#This Row],[Amount]], -Table1_1[[#This Row],[Amount]])</f>
        <v>-885.13</v>
      </c>
    </row>
    <row r="417" spans="1:10" x14ac:dyDescent="0.25">
      <c r="A417" s="1">
        <v>44341</v>
      </c>
      <c r="B417" t="s">
        <v>432</v>
      </c>
      <c r="C417" t="s">
        <v>35</v>
      </c>
      <c r="D417" s="2">
        <v>1594.7</v>
      </c>
      <c r="E417" t="s">
        <v>7</v>
      </c>
      <c r="F417" t="s">
        <v>1535</v>
      </c>
      <c r="G417">
        <v>2021</v>
      </c>
      <c r="H417">
        <f>IF(Table1_1[[#This Row],[Type]]="Expense", _xlfn.XLOOKUP(Table1_1[[#This Row],[Category]], Budget_Ref[Category], Budget_Ref[Monthly Budget], 0), 0)</f>
        <v>200</v>
      </c>
      <c r="I417" t="str">
        <f>IF(Table1_1[[#This Row],[Type]]="Expense", IF(Table1_1[[#This Row],[Amount]]&gt;Table1_1[[#This Row],[Monthly Budget]], "Over Budget", "OK"), "-")</f>
        <v>Over Budget</v>
      </c>
      <c r="J417">
        <f>IF(Table1_1[[#This Row],[Type]]="Income", Table1_1[[#This Row],[Amount]], -Table1_1[[#This Row],[Amount]])</f>
        <v>-1594.7</v>
      </c>
    </row>
    <row r="418" spans="1:10" x14ac:dyDescent="0.25">
      <c r="A418" s="1">
        <v>44341</v>
      </c>
      <c r="B418" t="s">
        <v>433</v>
      </c>
      <c r="C418" t="s">
        <v>25</v>
      </c>
      <c r="D418" s="2">
        <v>1019.6</v>
      </c>
      <c r="E418" t="s">
        <v>7</v>
      </c>
      <c r="F418" t="s">
        <v>1535</v>
      </c>
      <c r="G418">
        <v>2021</v>
      </c>
      <c r="H418">
        <f>IF(Table1_1[[#This Row],[Type]]="Expense", _xlfn.XLOOKUP(Table1_1[[#This Row],[Category]], Budget_Ref[Category], Budget_Ref[Monthly Budget], 0), 0)</f>
        <v>150</v>
      </c>
      <c r="I418" t="str">
        <f>IF(Table1_1[[#This Row],[Type]]="Expense", IF(Table1_1[[#This Row],[Amount]]&gt;Table1_1[[#This Row],[Monthly Budget]], "Over Budget", "OK"), "-")</f>
        <v>Over Budget</v>
      </c>
      <c r="J418">
        <f>IF(Table1_1[[#This Row],[Type]]="Income", Table1_1[[#This Row],[Amount]], -Table1_1[[#This Row],[Amount]])</f>
        <v>-1019.6</v>
      </c>
    </row>
    <row r="419" spans="1:10" x14ac:dyDescent="0.25">
      <c r="A419" s="1">
        <v>44343</v>
      </c>
      <c r="B419" t="s">
        <v>434</v>
      </c>
      <c r="C419" t="s">
        <v>27</v>
      </c>
      <c r="D419" s="2">
        <v>84.84</v>
      </c>
      <c r="E419" t="s">
        <v>14</v>
      </c>
      <c r="F419" t="s">
        <v>1535</v>
      </c>
      <c r="G419">
        <v>2021</v>
      </c>
      <c r="H419">
        <f>IF(Table1_1[[#This Row],[Type]]="Expense", _xlfn.XLOOKUP(Table1_1[[#This Row],[Category]], Budget_Ref[Category], Budget_Ref[Monthly Budget], 0), 0)</f>
        <v>0</v>
      </c>
      <c r="I419" t="str">
        <f>IF(Table1_1[[#This Row],[Type]]="Expense", IF(Table1_1[[#This Row],[Amount]]&gt;Table1_1[[#This Row],[Monthly Budget]], "Over Budget", "OK"), "-")</f>
        <v>-</v>
      </c>
      <c r="J419">
        <f>IF(Table1_1[[#This Row],[Type]]="Income", Table1_1[[#This Row],[Amount]], -Table1_1[[#This Row],[Amount]])</f>
        <v>84.84</v>
      </c>
    </row>
    <row r="420" spans="1:10" x14ac:dyDescent="0.25">
      <c r="A420" s="1">
        <v>44343</v>
      </c>
      <c r="B420" t="s">
        <v>435</v>
      </c>
      <c r="C420" t="s">
        <v>35</v>
      </c>
      <c r="D420" s="2">
        <v>162.69</v>
      </c>
      <c r="E420" t="s">
        <v>7</v>
      </c>
      <c r="F420" t="s">
        <v>1535</v>
      </c>
      <c r="G420">
        <v>2021</v>
      </c>
      <c r="H420">
        <f>IF(Table1_1[[#This Row],[Type]]="Expense", _xlfn.XLOOKUP(Table1_1[[#This Row],[Category]], Budget_Ref[Category], Budget_Ref[Monthly Budget], 0), 0)</f>
        <v>200</v>
      </c>
      <c r="I420" t="str">
        <f>IF(Table1_1[[#This Row],[Type]]="Expense", IF(Table1_1[[#This Row],[Amount]]&gt;Table1_1[[#This Row],[Monthly Budget]], "Over Budget", "OK"), "-")</f>
        <v>OK</v>
      </c>
      <c r="J420">
        <f>IF(Table1_1[[#This Row],[Type]]="Income", Table1_1[[#This Row],[Amount]], -Table1_1[[#This Row],[Amount]])</f>
        <v>-162.69</v>
      </c>
    </row>
    <row r="421" spans="1:10" x14ac:dyDescent="0.25">
      <c r="A421" s="1">
        <v>44345</v>
      </c>
      <c r="B421" t="s">
        <v>436</v>
      </c>
      <c r="C421" t="s">
        <v>11</v>
      </c>
      <c r="D421" s="2">
        <v>1233.8699999999999</v>
      </c>
      <c r="E421" t="s">
        <v>7</v>
      </c>
      <c r="F421" t="s">
        <v>1535</v>
      </c>
      <c r="G421">
        <v>2021</v>
      </c>
      <c r="H421">
        <f>IF(Table1_1[[#This Row],[Type]]="Expense", _xlfn.XLOOKUP(Table1_1[[#This Row],[Category]], Budget_Ref[Category], Budget_Ref[Monthly Budget], 0), 0)</f>
        <v>1500</v>
      </c>
      <c r="I421" t="str">
        <f>IF(Table1_1[[#This Row],[Type]]="Expense", IF(Table1_1[[#This Row],[Amount]]&gt;Table1_1[[#This Row],[Monthly Budget]], "Over Budget", "OK"), "-")</f>
        <v>OK</v>
      </c>
      <c r="J421">
        <f>IF(Table1_1[[#This Row],[Type]]="Income", Table1_1[[#This Row],[Amount]], -Table1_1[[#This Row],[Amount]])</f>
        <v>-1233.8699999999999</v>
      </c>
    </row>
    <row r="422" spans="1:10" x14ac:dyDescent="0.25">
      <c r="A422" s="1">
        <v>44346</v>
      </c>
      <c r="B422" t="s">
        <v>437</v>
      </c>
      <c r="C422" t="s">
        <v>27</v>
      </c>
      <c r="D422" s="2">
        <v>1164.8599999999999</v>
      </c>
      <c r="E422" t="s">
        <v>14</v>
      </c>
      <c r="F422" t="s">
        <v>1535</v>
      </c>
      <c r="G422">
        <v>2021</v>
      </c>
      <c r="H422">
        <f>IF(Table1_1[[#This Row],[Type]]="Expense", _xlfn.XLOOKUP(Table1_1[[#This Row],[Category]], Budget_Ref[Category], Budget_Ref[Monthly Budget], 0), 0)</f>
        <v>0</v>
      </c>
      <c r="I422" t="str">
        <f>IF(Table1_1[[#This Row],[Type]]="Expense", IF(Table1_1[[#This Row],[Amount]]&gt;Table1_1[[#This Row],[Monthly Budget]], "Over Budget", "OK"), "-")</f>
        <v>-</v>
      </c>
      <c r="J422">
        <f>IF(Table1_1[[#This Row],[Type]]="Income", Table1_1[[#This Row],[Amount]], -Table1_1[[#This Row],[Amount]])</f>
        <v>1164.8599999999999</v>
      </c>
    </row>
    <row r="423" spans="1:10" x14ac:dyDescent="0.25">
      <c r="A423" s="1">
        <v>44347</v>
      </c>
      <c r="B423" t="s">
        <v>438</v>
      </c>
      <c r="C423" t="s">
        <v>6</v>
      </c>
      <c r="D423" s="2">
        <v>904.97</v>
      </c>
      <c r="E423" t="s">
        <v>7</v>
      </c>
      <c r="F423" t="s">
        <v>1535</v>
      </c>
      <c r="G423">
        <v>2021</v>
      </c>
      <c r="H423">
        <f>IF(Table1_1[[#This Row],[Type]]="Expense", _xlfn.XLOOKUP(Table1_1[[#This Row],[Category]], Budget_Ref[Category], Budget_Ref[Monthly Budget], 0), 0)</f>
        <v>500</v>
      </c>
      <c r="I423" t="str">
        <f>IF(Table1_1[[#This Row],[Type]]="Expense", IF(Table1_1[[#This Row],[Amount]]&gt;Table1_1[[#This Row],[Monthly Budget]], "Over Budget", "OK"), "-")</f>
        <v>Over Budget</v>
      </c>
      <c r="J423">
        <f>IF(Table1_1[[#This Row],[Type]]="Income", Table1_1[[#This Row],[Amount]], -Table1_1[[#This Row],[Amount]])</f>
        <v>-904.97</v>
      </c>
    </row>
    <row r="424" spans="1:10" x14ac:dyDescent="0.25">
      <c r="A424" s="1">
        <v>44347</v>
      </c>
      <c r="B424" t="s">
        <v>439</v>
      </c>
      <c r="C424" t="s">
        <v>22</v>
      </c>
      <c r="D424" s="2">
        <v>649.84</v>
      </c>
      <c r="E424" t="s">
        <v>7</v>
      </c>
      <c r="F424" t="s">
        <v>1535</v>
      </c>
      <c r="G424">
        <v>2021</v>
      </c>
      <c r="H424">
        <f>IF(Table1_1[[#This Row],[Type]]="Expense", _xlfn.XLOOKUP(Table1_1[[#This Row],[Category]], Budget_Ref[Category], Budget_Ref[Monthly Budget], 0), 0)</f>
        <v>200</v>
      </c>
      <c r="I424" t="str">
        <f>IF(Table1_1[[#This Row],[Type]]="Expense", IF(Table1_1[[#This Row],[Amount]]&gt;Table1_1[[#This Row],[Monthly Budget]], "Over Budget", "OK"), "-")</f>
        <v>Over Budget</v>
      </c>
      <c r="J424">
        <f>IF(Table1_1[[#This Row],[Type]]="Income", Table1_1[[#This Row],[Amount]], -Table1_1[[#This Row],[Amount]])</f>
        <v>-649.84</v>
      </c>
    </row>
    <row r="425" spans="1:10" x14ac:dyDescent="0.25">
      <c r="A425" s="1">
        <v>44349</v>
      </c>
      <c r="B425" t="s">
        <v>440</v>
      </c>
      <c r="C425" t="s">
        <v>9</v>
      </c>
      <c r="D425" s="2">
        <v>1915.87</v>
      </c>
      <c r="E425" t="s">
        <v>7</v>
      </c>
      <c r="F425" t="s">
        <v>1536</v>
      </c>
      <c r="G425">
        <v>2021</v>
      </c>
      <c r="H425">
        <f>IF(Table1_1[[#This Row],[Type]]="Expense", _xlfn.XLOOKUP(Table1_1[[#This Row],[Category]], Budget_Ref[Category], Budget_Ref[Monthly Budget], 0), 0)</f>
        <v>150</v>
      </c>
      <c r="I425" t="str">
        <f>IF(Table1_1[[#This Row],[Type]]="Expense", IF(Table1_1[[#This Row],[Amount]]&gt;Table1_1[[#This Row],[Monthly Budget]], "Over Budget", "OK"), "-")</f>
        <v>Over Budget</v>
      </c>
      <c r="J425">
        <f>IF(Table1_1[[#This Row],[Type]]="Income", Table1_1[[#This Row],[Amount]], -Table1_1[[#This Row],[Amount]])</f>
        <v>-1915.87</v>
      </c>
    </row>
    <row r="426" spans="1:10" x14ac:dyDescent="0.25">
      <c r="A426" s="1">
        <v>44349</v>
      </c>
      <c r="B426" t="s">
        <v>441</v>
      </c>
      <c r="C426" t="s">
        <v>25</v>
      </c>
      <c r="D426" s="2">
        <v>1964.95</v>
      </c>
      <c r="E426" t="s">
        <v>7</v>
      </c>
      <c r="F426" t="s">
        <v>1536</v>
      </c>
      <c r="G426">
        <v>2021</v>
      </c>
      <c r="H426">
        <f>IF(Table1_1[[#This Row],[Type]]="Expense", _xlfn.XLOOKUP(Table1_1[[#This Row],[Category]], Budget_Ref[Category], Budget_Ref[Monthly Budget], 0), 0)</f>
        <v>150</v>
      </c>
      <c r="I426" t="str">
        <f>IF(Table1_1[[#This Row],[Type]]="Expense", IF(Table1_1[[#This Row],[Amount]]&gt;Table1_1[[#This Row],[Monthly Budget]], "Over Budget", "OK"), "-")</f>
        <v>Over Budget</v>
      </c>
      <c r="J426">
        <f>IF(Table1_1[[#This Row],[Type]]="Income", Table1_1[[#This Row],[Amount]], -Table1_1[[#This Row],[Amount]])</f>
        <v>-1964.95</v>
      </c>
    </row>
    <row r="427" spans="1:10" x14ac:dyDescent="0.25">
      <c r="A427" s="1">
        <v>44350</v>
      </c>
      <c r="B427" t="s">
        <v>442</v>
      </c>
      <c r="C427" t="s">
        <v>13</v>
      </c>
      <c r="D427" s="2">
        <v>820</v>
      </c>
      <c r="E427" t="s">
        <v>14</v>
      </c>
      <c r="F427" t="s">
        <v>1536</v>
      </c>
      <c r="G427">
        <v>2021</v>
      </c>
      <c r="H427">
        <f>IF(Table1_1[[#This Row],[Type]]="Expense", _xlfn.XLOOKUP(Table1_1[[#This Row],[Category]], Budget_Ref[Category], Budget_Ref[Monthly Budget], 0), 0)</f>
        <v>0</v>
      </c>
      <c r="I427" t="str">
        <f>IF(Table1_1[[#This Row],[Type]]="Expense", IF(Table1_1[[#This Row],[Amount]]&gt;Table1_1[[#This Row],[Monthly Budget]], "Over Budget", "OK"), "-")</f>
        <v>-</v>
      </c>
      <c r="J427">
        <f>IF(Table1_1[[#This Row],[Type]]="Income", Table1_1[[#This Row],[Amount]], -Table1_1[[#This Row],[Amount]])</f>
        <v>820</v>
      </c>
    </row>
    <row r="428" spans="1:10" x14ac:dyDescent="0.25">
      <c r="A428" s="1">
        <v>44353</v>
      </c>
      <c r="B428" t="s">
        <v>443</v>
      </c>
      <c r="C428" t="s">
        <v>27</v>
      </c>
      <c r="D428" s="2">
        <v>1982.06</v>
      </c>
      <c r="E428" t="s">
        <v>14</v>
      </c>
      <c r="F428" t="s">
        <v>1536</v>
      </c>
      <c r="G428">
        <v>2021</v>
      </c>
      <c r="H428">
        <f>IF(Table1_1[[#This Row],[Type]]="Expense", _xlfn.XLOOKUP(Table1_1[[#This Row],[Category]], Budget_Ref[Category], Budget_Ref[Monthly Budget], 0), 0)</f>
        <v>0</v>
      </c>
      <c r="I428" t="str">
        <f>IF(Table1_1[[#This Row],[Type]]="Expense", IF(Table1_1[[#This Row],[Amount]]&gt;Table1_1[[#This Row],[Monthly Budget]], "Over Budget", "OK"), "-")</f>
        <v>-</v>
      </c>
      <c r="J428">
        <f>IF(Table1_1[[#This Row],[Type]]="Income", Table1_1[[#This Row],[Amount]], -Table1_1[[#This Row],[Amount]])</f>
        <v>1982.06</v>
      </c>
    </row>
    <row r="429" spans="1:10" x14ac:dyDescent="0.25">
      <c r="A429" s="1">
        <v>44353</v>
      </c>
      <c r="B429" t="s">
        <v>444</v>
      </c>
      <c r="C429" t="s">
        <v>9</v>
      </c>
      <c r="D429" s="2">
        <v>734.16</v>
      </c>
      <c r="E429" t="s">
        <v>7</v>
      </c>
      <c r="F429" t="s">
        <v>1536</v>
      </c>
      <c r="G429">
        <v>2021</v>
      </c>
      <c r="H429">
        <f>IF(Table1_1[[#This Row],[Type]]="Expense", _xlfn.XLOOKUP(Table1_1[[#This Row],[Category]], Budget_Ref[Category], Budget_Ref[Monthly Budget], 0), 0)</f>
        <v>150</v>
      </c>
      <c r="I429" t="str">
        <f>IF(Table1_1[[#This Row],[Type]]="Expense", IF(Table1_1[[#This Row],[Amount]]&gt;Table1_1[[#This Row],[Monthly Budget]], "Over Budget", "OK"), "-")</f>
        <v>Over Budget</v>
      </c>
      <c r="J429">
        <f>IF(Table1_1[[#This Row],[Type]]="Income", Table1_1[[#This Row],[Amount]], -Table1_1[[#This Row],[Amount]])</f>
        <v>-734.16</v>
      </c>
    </row>
    <row r="430" spans="1:10" x14ac:dyDescent="0.25">
      <c r="A430" s="1">
        <v>44353</v>
      </c>
      <c r="B430" t="s">
        <v>445</v>
      </c>
      <c r="C430" t="s">
        <v>17</v>
      </c>
      <c r="D430" s="2">
        <v>823.45</v>
      </c>
      <c r="E430" t="s">
        <v>7</v>
      </c>
      <c r="F430" t="s">
        <v>1536</v>
      </c>
      <c r="G430">
        <v>2021</v>
      </c>
      <c r="H430">
        <f>IF(Table1_1[[#This Row],[Type]]="Expense", _xlfn.XLOOKUP(Table1_1[[#This Row],[Category]], Budget_Ref[Category], Budget_Ref[Monthly Budget], 0), 0)</f>
        <v>300</v>
      </c>
      <c r="I430" t="str">
        <f>IF(Table1_1[[#This Row],[Type]]="Expense", IF(Table1_1[[#This Row],[Amount]]&gt;Table1_1[[#This Row],[Monthly Budget]], "Over Budget", "OK"), "-")</f>
        <v>Over Budget</v>
      </c>
      <c r="J430">
        <f>IF(Table1_1[[#This Row],[Type]]="Income", Table1_1[[#This Row],[Amount]], -Table1_1[[#This Row],[Amount]])</f>
        <v>-823.45</v>
      </c>
    </row>
    <row r="431" spans="1:10" x14ac:dyDescent="0.25">
      <c r="A431" s="1">
        <v>44356</v>
      </c>
      <c r="B431" t="s">
        <v>446</v>
      </c>
      <c r="C431" t="s">
        <v>6</v>
      </c>
      <c r="D431" s="2">
        <v>1580.56</v>
      </c>
      <c r="E431" t="s">
        <v>7</v>
      </c>
      <c r="F431" t="s">
        <v>1536</v>
      </c>
      <c r="G431">
        <v>2021</v>
      </c>
      <c r="H431">
        <f>IF(Table1_1[[#This Row],[Type]]="Expense", _xlfn.XLOOKUP(Table1_1[[#This Row],[Category]], Budget_Ref[Category], Budget_Ref[Monthly Budget], 0), 0)</f>
        <v>500</v>
      </c>
      <c r="I431" t="str">
        <f>IF(Table1_1[[#This Row],[Type]]="Expense", IF(Table1_1[[#This Row],[Amount]]&gt;Table1_1[[#This Row],[Monthly Budget]], "Over Budget", "OK"), "-")</f>
        <v>Over Budget</v>
      </c>
      <c r="J431">
        <f>IF(Table1_1[[#This Row],[Type]]="Income", Table1_1[[#This Row],[Amount]], -Table1_1[[#This Row],[Amount]])</f>
        <v>-1580.56</v>
      </c>
    </row>
    <row r="432" spans="1:10" x14ac:dyDescent="0.25">
      <c r="A432" s="1">
        <v>44358</v>
      </c>
      <c r="B432" t="s">
        <v>447</v>
      </c>
      <c r="C432" t="s">
        <v>11</v>
      </c>
      <c r="D432" s="2">
        <v>666.08</v>
      </c>
      <c r="E432" t="s">
        <v>7</v>
      </c>
      <c r="F432" t="s">
        <v>1536</v>
      </c>
      <c r="G432">
        <v>2021</v>
      </c>
      <c r="H432">
        <f>IF(Table1_1[[#This Row],[Type]]="Expense", _xlfn.XLOOKUP(Table1_1[[#This Row],[Category]], Budget_Ref[Category], Budget_Ref[Monthly Budget], 0), 0)</f>
        <v>1500</v>
      </c>
      <c r="I432" t="str">
        <f>IF(Table1_1[[#This Row],[Type]]="Expense", IF(Table1_1[[#This Row],[Amount]]&gt;Table1_1[[#This Row],[Monthly Budget]], "Over Budget", "OK"), "-")</f>
        <v>OK</v>
      </c>
      <c r="J432">
        <f>IF(Table1_1[[#This Row],[Type]]="Income", Table1_1[[#This Row],[Amount]], -Table1_1[[#This Row],[Amount]])</f>
        <v>-666.08</v>
      </c>
    </row>
    <row r="433" spans="1:10" x14ac:dyDescent="0.25">
      <c r="A433" s="1">
        <v>44358</v>
      </c>
      <c r="B433" t="s">
        <v>448</v>
      </c>
      <c r="C433" t="s">
        <v>17</v>
      </c>
      <c r="D433" s="2">
        <v>575.45000000000005</v>
      </c>
      <c r="E433" t="s">
        <v>7</v>
      </c>
      <c r="F433" t="s">
        <v>1536</v>
      </c>
      <c r="G433">
        <v>2021</v>
      </c>
      <c r="H433">
        <f>IF(Table1_1[[#This Row],[Type]]="Expense", _xlfn.XLOOKUP(Table1_1[[#This Row],[Category]], Budget_Ref[Category], Budget_Ref[Monthly Budget], 0), 0)</f>
        <v>300</v>
      </c>
      <c r="I433" t="str">
        <f>IF(Table1_1[[#This Row],[Type]]="Expense", IF(Table1_1[[#This Row],[Amount]]&gt;Table1_1[[#This Row],[Monthly Budget]], "Over Budget", "OK"), "-")</f>
        <v>Over Budget</v>
      </c>
      <c r="J433">
        <f>IF(Table1_1[[#This Row],[Type]]="Income", Table1_1[[#This Row],[Amount]], -Table1_1[[#This Row],[Amount]])</f>
        <v>-575.45000000000005</v>
      </c>
    </row>
    <row r="434" spans="1:10" x14ac:dyDescent="0.25">
      <c r="A434" s="1">
        <v>44361</v>
      </c>
      <c r="B434" t="s">
        <v>449</v>
      </c>
      <c r="C434" t="s">
        <v>9</v>
      </c>
      <c r="D434" s="2">
        <v>673.39</v>
      </c>
      <c r="E434" t="s">
        <v>7</v>
      </c>
      <c r="F434" t="s">
        <v>1536</v>
      </c>
      <c r="G434">
        <v>2021</v>
      </c>
      <c r="H434">
        <f>IF(Table1_1[[#This Row],[Type]]="Expense", _xlfn.XLOOKUP(Table1_1[[#This Row],[Category]], Budget_Ref[Category], Budget_Ref[Monthly Budget], 0), 0)</f>
        <v>150</v>
      </c>
      <c r="I434" t="str">
        <f>IF(Table1_1[[#This Row],[Type]]="Expense", IF(Table1_1[[#This Row],[Amount]]&gt;Table1_1[[#This Row],[Monthly Budget]], "Over Budget", "OK"), "-")</f>
        <v>Over Budget</v>
      </c>
      <c r="J434">
        <f>IF(Table1_1[[#This Row],[Type]]="Income", Table1_1[[#This Row],[Amount]], -Table1_1[[#This Row],[Amount]])</f>
        <v>-673.39</v>
      </c>
    </row>
    <row r="435" spans="1:10" x14ac:dyDescent="0.25">
      <c r="A435" s="1">
        <v>44362</v>
      </c>
      <c r="B435" t="s">
        <v>450</v>
      </c>
      <c r="C435" t="s">
        <v>9</v>
      </c>
      <c r="D435" s="2">
        <v>1834.33</v>
      </c>
      <c r="E435" t="s">
        <v>7</v>
      </c>
      <c r="F435" t="s">
        <v>1536</v>
      </c>
      <c r="G435">
        <v>2021</v>
      </c>
      <c r="H435">
        <f>IF(Table1_1[[#This Row],[Type]]="Expense", _xlfn.XLOOKUP(Table1_1[[#This Row],[Category]], Budget_Ref[Category], Budget_Ref[Monthly Budget], 0), 0)</f>
        <v>150</v>
      </c>
      <c r="I435" t="str">
        <f>IF(Table1_1[[#This Row],[Type]]="Expense", IF(Table1_1[[#This Row],[Amount]]&gt;Table1_1[[#This Row],[Monthly Budget]], "Over Budget", "OK"), "-")</f>
        <v>Over Budget</v>
      </c>
      <c r="J435">
        <f>IF(Table1_1[[#This Row],[Type]]="Income", Table1_1[[#This Row],[Amount]], -Table1_1[[#This Row],[Amount]])</f>
        <v>-1834.33</v>
      </c>
    </row>
    <row r="436" spans="1:10" x14ac:dyDescent="0.25">
      <c r="A436" s="1">
        <v>44363</v>
      </c>
      <c r="B436" t="s">
        <v>451</v>
      </c>
      <c r="C436" t="s">
        <v>17</v>
      </c>
      <c r="D436" s="2">
        <v>266.61</v>
      </c>
      <c r="E436" t="s">
        <v>7</v>
      </c>
      <c r="F436" t="s">
        <v>1536</v>
      </c>
      <c r="G436">
        <v>2021</v>
      </c>
      <c r="H436">
        <f>IF(Table1_1[[#This Row],[Type]]="Expense", _xlfn.XLOOKUP(Table1_1[[#This Row],[Category]], Budget_Ref[Category], Budget_Ref[Monthly Budget], 0), 0)</f>
        <v>300</v>
      </c>
      <c r="I436" t="str">
        <f>IF(Table1_1[[#This Row],[Type]]="Expense", IF(Table1_1[[#This Row],[Amount]]&gt;Table1_1[[#This Row],[Monthly Budget]], "Over Budget", "OK"), "-")</f>
        <v>OK</v>
      </c>
      <c r="J436">
        <f>IF(Table1_1[[#This Row],[Type]]="Income", Table1_1[[#This Row],[Amount]], -Table1_1[[#This Row],[Amount]])</f>
        <v>-266.61</v>
      </c>
    </row>
    <row r="437" spans="1:10" x14ac:dyDescent="0.25">
      <c r="A437" s="1">
        <v>44367</v>
      </c>
      <c r="B437" t="s">
        <v>452</v>
      </c>
      <c r="C437" t="s">
        <v>11</v>
      </c>
      <c r="D437" s="2">
        <v>626.07000000000005</v>
      </c>
      <c r="E437" t="s">
        <v>7</v>
      </c>
      <c r="F437" t="s">
        <v>1536</v>
      </c>
      <c r="G437">
        <v>2021</v>
      </c>
      <c r="H437">
        <f>IF(Table1_1[[#This Row],[Type]]="Expense", _xlfn.XLOOKUP(Table1_1[[#This Row],[Category]], Budget_Ref[Category], Budget_Ref[Monthly Budget], 0), 0)</f>
        <v>1500</v>
      </c>
      <c r="I437" t="str">
        <f>IF(Table1_1[[#This Row],[Type]]="Expense", IF(Table1_1[[#This Row],[Amount]]&gt;Table1_1[[#This Row],[Monthly Budget]], "Over Budget", "OK"), "-")</f>
        <v>OK</v>
      </c>
      <c r="J437">
        <f>IF(Table1_1[[#This Row],[Type]]="Income", Table1_1[[#This Row],[Amount]], -Table1_1[[#This Row],[Amount]])</f>
        <v>-626.07000000000005</v>
      </c>
    </row>
    <row r="438" spans="1:10" x14ac:dyDescent="0.25">
      <c r="A438" s="1">
        <v>44367</v>
      </c>
      <c r="B438" t="s">
        <v>453</v>
      </c>
      <c r="C438" t="s">
        <v>25</v>
      </c>
      <c r="D438" s="2">
        <v>1628.24</v>
      </c>
      <c r="E438" t="s">
        <v>7</v>
      </c>
      <c r="F438" t="s">
        <v>1536</v>
      </c>
      <c r="G438">
        <v>2021</v>
      </c>
      <c r="H438">
        <f>IF(Table1_1[[#This Row],[Type]]="Expense", _xlfn.XLOOKUP(Table1_1[[#This Row],[Category]], Budget_Ref[Category], Budget_Ref[Monthly Budget], 0), 0)</f>
        <v>150</v>
      </c>
      <c r="I438" t="str">
        <f>IF(Table1_1[[#This Row],[Type]]="Expense", IF(Table1_1[[#This Row],[Amount]]&gt;Table1_1[[#This Row],[Monthly Budget]], "Over Budget", "OK"), "-")</f>
        <v>Over Budget</v>
      </c>
      <c r="J438">
        <f>IF(Table1_1[[#This Row],[Type]]="Income", Table1_1[[#This Row],[Amount]], -Table1_1[[#This Row],[Amount]])</f>
        <v>-1628.24</v>
      </c>
    </row>
    <row r="439" spans="1:10" x14ac:dyDescent="0.25">
      <c r="A439" s="1">
        <v>44369</v>
      </c>
      <c r="B439" t="s">
        <v>454</v>
      </c>
      <c r="C439" t="s">
        <v>11</v>
      </c>
      <c r="D439" s="2">
        <v>1295.5899999999999</v>
      </c>
      <c r="E439" t="s">
        <v>7</v>
      </c>
      <c r="F439" t="s">
        <v>1536</v>
      </c>
      <c r="G439">
        <v>2021</v>
      </c>
      <c r="H439">
        <f>IF(Table1_1[[#This Row],[Type]]="Expense", _xlfn.XLOOKUP(Table1_1[[#This Row],[Category]], Budget_Ref[Category], Budget_Ref[Monthly Budget], 0), 0)</f>
        <v>1500</v>
      </c>
      <c r="I439" t="str">
        <f>IF(Table1_1[[#This Row],[Type]]="Expense", IF(Table1_1[[#This Row],[Amount]]&gt;Table1_1[[#This Row],[Monthly Budget]], "Over Budget", "OK"), "-")</f>
        <v>OK</v>
      </c>
      <c r="J439">
        <f>IF(Table1_1[[#This Row],[Type]]="Income", Table1_1[[#This Row],[Amount]], -Table1_1[[#This Row],[Amount]])</f>
        <v>-1295.5899999999999</v>
      </c>
    </row>
    <row r="440" spans="1:10" x14ac:dyDescent="0.25">
      <c r="A440" s="1">
        <v>44370</v>
      </c>
      <c r="B440" t="s">
        <v>455</v>
      </c>
      <c r="C440" t="s">
        <v>25</v>
      </c>
      <c r="D440" s="2">
        <v>46.28</v>
      </c>
      <c r="E440" t="s">
        <v>7</v>
      </c>
      <c r="F440" t="s">
        <v>1536</v>
      </c>
      <c r="G440">
        <v>2021</v>
      </c>
      <c r="H440">
        <f>IF(Table1_1[[#This Row],[Type]]="Expense", _xlfn.XLOOKUP(Table1_1[[#This Row],[Category]], Budget_Ref[Category], Budget_Ref[Monthly Budget], 0), 0)</f>
        <v>150</v>
      </c>
      <c r="I440" t="str">
        <f>IF(Table1_1[[#This Row],[Type]]="Expense", IF(Table1_1[[#This Row],[Amount]]&gt;Table1_1[[#This Row],[Monthly Budget]], "Over Budget", "OK"), "-")</f>
        <v>OK</v>
      </c>
      <c r="J440">
        <f>IF(Table1_1[[#This Row],[Type]]="Income", Table1_1[[#This Row],[Amount]], -Table1_1[[#This Row],[Amount]])</f>
        <v>-46.28</v>
      </c>
    </row>
    <row r="441" spans="1:10" x14ac:dyDescent="0.25">
      <c r="A441" s="1">
        <v>44371</v>
      </c>
      <c r="B441" t="s">
        <v>456</v>
      </c>
      <c r="C441" t="s">
        <v>22</v>
      </c>
      <c r="D441" s="2">
        <v>690.05</v>
      </c>
      <c r="E441" t="s">
        <v>7</v>
      </c>
      <c r="F441" t="s">
        <v>1536</v>
      </c>
      <c r="G441">
        <v>2021</v>
      </c>
      <c r="H441">
        <f>IF(Table1_1[[#This Row],[Type]]="Expense", _xlfn.XLOOKUP(Table1_1[[#This Row],[Category]], Budget_Ref[Category], Budget_Ref[Monthly Budget], 0), 0)</f>
        <v>200</v>
      </c>
      <c r="I441" t="str">
        <f>IF(Table1_1[[#This Row],[Type]]="Expense", IF(Table1_1[[#This Row],[Amount]]&gt;Table1_1[[#This Row],[Monthly Budget]], "Over Budget", "OK"), "-")</f>
        <v>Over Budget</v>
      </c>
      <c r="J441">
        <f>IF(Table1_1[[#This Row],[Type]]="Income", Table1_1[[#This Row],[Amount]], -Table1_1[[#This Row],[Amount]])</f>
        <v>-690.05</v>
      </c>
    </row>
    <row r="442" spans="1:10" x14ac:dyDescent="0.25">
      <c r="A442" s="1">
        <v>44373</v>
      </c>
      <c r="B442" t="s">
        <v>457</v>
      </c>
      <c r="C442" t="s">
        <v>22</v>
      </c>
      <c r="D442" s="2">
        <v>460.82</v>
      </c>
      <c r="E442" t="s">
        <v>7</v>
      </c>
      <c r="F442" t="s">
        <v>1536</v>
      </c>
      <c r="G442">
        <v>2021</v>
      </c>
      <c r="H442">
        <f>IF(Table1_1[[#This Row],[Type]]="Expense", _xlfn.XLOOKUP(Table1_1[[#This Row],[Category]], Budget_Ref[Category], Budget_Ref[Monthly Budget], 0), 0)</f>
        <v>200</v>
      </c>
      <c r="I442" t="str">
        <f>IF(Table1_1[[#This Row],[Type]]="Expense", IF(Table1_1[[#This Row],[Amount]]&gt;Table1_1[[#This Row],[Monthly Budget]], "Over Budget", "OK"), "-")</f>
        <v>Over Budget</v>
      </c>
      <c r="J442">
        <f>IF(Table1_1[[#This Row],[Type]]="Income", Table1_1[[#This Row],[Amount]], -Table1_1[[#This Row],[Amount]])</f>
        <v>-460.82</v>
      </c>
    </row>
    <row r="443" spans="1:10" x14ac:dyDescent="0.25">
      <c r="A443" s="1">
        <v>44374</v>
      </c>
      <c r="B443" t="s">
        <v>458</v>
      </c>
      <c r="C443" t="s">
        <v>13</v>
      </c>
      <c r="D443" s="2">
        <v>2923</v>
      </c>
      <c r="E443" t="s">
        <v>14</v>
      </c>
      <c r="F443" t="s">
        <v>1536</v>
      </c>
      <c r="G443">
        <v>2021</v>
      </c>
      <c r="H443">
        <f>IF(Table1_1[[#This Row],[Type]]="Expense", _xlfn.XLOOKUP(Table1_1[[#This Row],[Category]], Budget_Ref[Category], Budget_Ref[Monthly Budget], 0), 0)</f>
        <v>0</v>
      </c>
      <c r="I443" t="str">
        <f>IF(Table1_1[[#This Row],[Type]]="Expense", IF(Table1_1[[#This Row],[Amount]]&gt;Table1_1[[#This Row],[Monthly Budget]], "Over Budget", "OK"), "-")</f>
        <v>-</v>
      </c>
      <c r="J443">
        <f>IF(Table1_1[[#This Row],[Type]]="Income", Table1_1[[#This Row],[Amount]], -Table1_1[[#This Row],[Amount]])</f>
        <v>2923</v>
      </c>
    </row>
    <row r="444" spans="1:10" x14ac:dyDescent="0.25">
      <c r="A444" s="1">
        <v>44375</v>
      </c>
      <c r="B444" t="s">
        <v>459</v>
      </c>
      <c r="C444" t="s">
        <v>11</v>
      </c>
      <c r="D444" s="2">
        <v>1020.3</v>
      </c>
      <c r="E444" t="s">
        <v>7</v>
      </c>
      <c r="F444" t="s">
        <v>1536</v>
      </c>
      <c r="G444">
        <v>2021</v>
      </c>
      <c r="H444">
        <f>IF(Table1_1[[#This Row],[Type]]="Expense", _xlfn.XLOOKUP(Table1_1[[#This Row],[Category]], Budget_Ref[Category], Budget_Ref[Monthly Budget], 0), 0)</f>
        <v>1500</v>
      </c>
      <c r="I444" t="str">
        <f>IF(Table1_1[[#This Row],[Type]]="Expense", IF(Table1_1[[#This Row],[Amount]]&gt;Table1_1[[#This Row],[Monthly Budget]], "Over Budget", "OK"), "-")</f>
        <v>OK</v>
      </c>
      <c r="J444">
        <f>IF(Table1_1[[#This Row],[Type]]="Income", Table1_1[[#This Row],[Amount]], -Table1_1[[#This Row],[Amount]])</f>
        <v>-1020.3</v>
      </c>
    </row>
    <row r="445" spans="1:10" x14ac:dyDescent="0.25">
      <c r="A445" s="1">
        <v>44375</v>
      </c>
      <c r="B445" t="s">
        <v>460</v>
      </c>
      <c r="C445" t="s">
        <v>6</v>
      </c>
      <c r="D445" s="2">
        <v>1327.24</v>
      </c>
      <c r="E445" t="s">
        <v>7</v>
      </c>
      <c r="F445" t="s">
        <v>1536</v>
      </c>
      <c r="G445">
        <v>2021</v>
      </c>
      <c r="H445">
        <f>IF(Table1_1[[#This Row],[Type]]="Expense", _xlfn.XLOOKUP(Table1_1[[#This Row],[Category]], Budget_Ref[Category], Budget_Ref[Monthly Budget], 0), 0)</f>
        <v>500</v>
      </c>
      <c r="I445" t="str">
        <f>IF(Table1_1[[#This Row],[Type]]="Expense", IF(Table1_1[[#This Row],[Amount]]&gt;Table1_1[[#This Row],[Monthly Budget]], "Over Budget", "OK"), "-")</f>
        <v>Over Budget</v>
      </c>
      <c r="J445">
        <f>IF(Table1_1[[#This Row],[Type]]="Income", Table1_1[[#This Row],[Amount]], -Table1_1[[#This Row],[Amount]])</f>
        <v>-1327.24</v>
      </c>
    </row>
    <row r="446" spans="1:10" x14ac:dyDescent="0.25">
      <c r="A446" s="1">
        <v>44375</v>
      </c>
      <c r="B446" t="s">
        <v>461</v>
      </c>
      <c r="C446" t="s">
        <v>9</v>
      </c>
      <c r="D446" s="2">
        <v>1198.52</v>
      </c>
      <c r="E446" t="s">
        <v>7</v>
      </c>
      <c r="F446" t="s">
        <v>1536</v>
      </c>
      <c r="G446">
        <v>2021</v>
      </c>
      <c r="H446">
        <f>IF(Table1_1[[#This Row],[Type]]="Expense", _xlfn.XLOOKUP(Table1_1[[#This Row],[Category]], Budget_Ref[Category], Budget_Ref[Monthly Budget], 0), 0)</f>
        <v>150</v>
      </c>
      <c r="I446" t="str">
        <f>IF(Table1_1[[#This Row],[Type]]="Expense", IF(Table1_1[[#This Row],[Amount]]&gt;Table1_1[[#This Row],[Monthly Budget]], "Over Budget", "OK"), "-")</f>
        <v>Over Budget</v>
      </c>
      <c r="J446">
        <f>IF(Table1_1[[#This Row],[Type]]="Income", Table1_1[[#This Row],[Amount]], -Table1_1[[#This Row],[Amount]])</f>
        <v>-1198.52</v>
      </c>
    </row>
    <row r="447" spans="1:10" x14ac:dyDescent="0.25">
      <c r="A447" s="1">
        <v>44375</v>
      </c>
      <c r="B447" t="s">
        <v>462</v>
      </c>
      <c r="C447" t="s">
        <v>13</v>
      </c>
      <c r="D447" s="2">
        <v>1856</v>
      </c>
      <c r="E447" t="s">
        <v>14</v>
      </c>
      <c r="F447" t="s">
        <v>1536</v>
      </c>
      <c r="G447">
        <v>2021</v>
      </c>
      <c r="H447">
        <f>IF(Table1_1[[#This Row],[Type]]="Expense", _xlfn.XLOOKUP(Table1_1[[#This Row],[Category]], Budget_Ref[Category], Budget_Ref[Monthly Budget], 0), 0)</f>
        <v>0</v>
      </c>
      <c r="I447" t="str">
        <f>IF(Table1_1[[#This Row],[Type]]="Expense", IF(Table1_1[[#This Row],[Amount]]&gt;Table1_1[[#This Row],[Monthly Budget]], "Over Budget", "OK"), "-")</f>
        <v>-</v>
      </c>
      <c r="J447">
        <f>IF(Table1_1[[#This Row],[Type]]="Income", Table1_1[[#This Row],[Amount]], -Table1_1[[#This Row],[Amount]])</f>
        <v>1856</v>
      </c>
    </row>
    <row r="448" spans="1:10" x14ac:dyDescent="0.25">
      <c r="A448" s="1">
        <v>44376</v>
      </c>
      <c r="B448" t="s">
        <v>463</v>
      </c>
      <c r="C448" t="s">
        <v>6</v>
      </c>
      <c r="D448" s="2">
        <v>827.61</v>
      </c>
      <c r="E448" t="s">
        <v>7</v>
      </c>
      <c r="F448" t="s">
        <v>1536</v>
      </c>
      <c r="G448">
        <v>2021</v>
      </c>
      <c r="H448">
        <f>IF(Table1_1[[#This Row],[Type]]="Expense", _xlfn.XLOOKUP(Table1_1[[#This Row],[Category]], Budget_Ref[Category], Budget_Ref[Monthly Budget], 0), 0)</f>
        <v>500</v>
      </c>
      <c r="I448" t="str">
        <f>IF(Table1_1[[#This Row],[Type]]="Expense", IF(Table1_1[[#This Row],[Amount]]&gt;Table1_1[[#This Row],[Monthly Budget]], "Over Budget", "OK"), "-")</f>
        <v>Over Budget</v>
      </c>
      <c r="J448">
        <f>IF(Table1_1[[#This Row],[Type]]="Income", Table1_1[[#This Row],[Amount]], -Table1_1[[#This Row],[Amount]])</f>
        <v>-827.61</v>
      </c>
    </row>
    <row r="449" spans="1:10" x14ac:dyDescent="0.25">
      <c r="A449" s="1">
        <v>44381</v>
      </c>
      <c r="B449" t="s">
        <v>464</v>
      </c>
      <c r="C449" t="s">
        <v>22</v>
      </c>
      <c r="D449" s="2">
        <v>1939.48</v>
      </c>
      <c r="E449" t="s">
        <v>7</v>
      </c>
      <c r="F449" t="s">
        <v>1537</v>
      </c>
      <c r="G449">
        <v>2021</v>
      </c>
      <c r="H449">
        <f>IF(Table1_1[[#This Row],[Type]]="Expense", _xlfn.XLOOKUP(Table1_1[[#This Row],[Category]], Budget_Ref[Category], Budget_Ref[Monthly Budget], 0), 0)</f>
        <v>200</v>
      </c>
      <c r="I449" t="str">
        <f>IF(Table1_1[[#This Row],[Type]]="Expense", IF(Table1_1[[#This Row],[Amount]]&gt;Table1_1[[#This Row],[Monthly Budget]], "Over Budget", "OK"), "-")</f>
        <v>Over Budget</v>
      </c>
      <c r="J449">
        <f>IF(Table1_1[[#This Row],[Type]]="Income", Table1_1[[#This Row],[Amount]], -Table1_1[[#This Row],[Amount]])</f>
        <v>-1939.48</v>
      </c>
    </row>
    <row r="450" spans="1:10" x14ac:dyDescent="0.25">
      <c r="A450" s="1">
        <v>44381</v>
      </c>
      <c r="B450" t="s">
        <v>465</v>
      </c>
      <c r="C450" t="s">
        <v>27</v>
      </c>
      <c r="D450" s="2">
        <v>475.67</v>
      </c>
      <c r="E450" t="s">
        <v>14</v>
      </c>
      <c r="F450" t="s">
        <v>1537</v>
      </c>
      <c r="G450">
        <v>2021</v>
      </c>
      <c r="H450">
        <f>IF(Table1_1[[#This Row],[Type]]="Expense", _xlfn.XLOOKUP(Table1_1[[#This Row],[Category]], Budget_Ref[Category], Budget_Ref[Monthly Budget], 0), 0)</f>
        <v>0</v>
      </c>
      <c r="I450" t="str">
        <f>IF(Table1_1[[#This Row],[Type]]="Expense", IF(Table1_1[[#This Row],[Amount]]&gt;Table1_1[[#This Row],[Monthly Budget]], "Over Budget", "OK"), "-")</f>
        <v>-</v>
      </c>
      <c r="J450">
        <f>IF(Table1_1[[#This Row],[Type]]="Income", Table1_1[[#This Row],[Amount]], -Table1_1[[#This Row],[Amount]])</f>
        <v>475.67</v>
      </c>
    </row>
    <row r="451" spans="1:10" x14ac:dyDescent="0.25">
      <c r="A451" s="1">
        <v>44381</v>
      </c>
      <c r="B451" t="s">
        <v>466</v>
      </c>
      <c r="C451" t="s">
        <v>27</v>
      </c>
      <c r="D451" s="2">
        <v>1808.91</v>
      </c>
      <c r="E451" t="s">
        <v>14</v>
      </c>
      <c r="F451" t="s">
        <v>1537</v>
      </c>
      <c r="G451">
        <v>2021</v>
      </c>
      <c r="H451">
        <f>IF(Table1_1[[#This Row],[Type]]="Expense", _xlfn.XLOOKUP(Table1_1[[#This Row],[Category]], Budget_Ref[Category], Budget_Ref[Monthly Budget], 0), 0)</f>
        <v>0</v>
      </c>
      <c r="I451" t="str">
        <f>IF(Table1_1[[#This Row],[Type]]="Expense", IF(Table1_1[[#This Row],[Amount]]&gt;Table1_1[[#This Row],[Monthly Budget]], "Over Budget", "OK"), "-")</f>
        <v>-</v>
      </c>
      <c r="J451">
        <f>IF(Table1_1[[#This Row],[Type]]="Income", Table1_1[[#This Row],[Amount]], -Table1_1[[#This Row],[Amount]])</f>
        <v>1808.91</v>
      </c>
    </row>
    <row r="452" spans="1:10" x14ac:dyDescent="0.25">
      <c r="A452" s="1">
        <v>44383</v>
      </c>
      <c r="B452" t="s">
        <v>467</v>
      </c>
      <c r="C452" t="s">
        <v>20</v>
      </c>
      <c r="D452" s="2">
        <v>4282</v>
      </c>
      <c r="E452" t="s">
        <v>14</v>
      </c>
      <c r="F452" t="s">
        <v>1537</v>
      </c>
      <c r="G452">
        <v>2021</v>
      </c>
      <c r="H452">
        <f>IF(Table1_1[[#This Row],[Type]]="Expense", _xlfn.XLOOKUP(Table1_1[[#This Row],[Category]], Budget_Ref[Category], Budget_Ref[Monthly Budget], 0), 0)</f>
        <v>0</v>
      </c>
      <c r="I452" t="str">
        <f>IF(Table1_1[[#This Row],[Type]]="Expense", IF(Table1_1[[#This Row],[Amount]]&gt;Table1_1[[#This Row],[Monthly Budget]], "Over Budget", "OK"), "-")</f>
        <v>-</v>
      </c>
      <c r="J452">
        <f>IF(Table1_1[[#This Row],[Type]]="Income", Table1_1[[#This Row],[Amount]], -Table1_1[[#This Row],[Amount]])</f>
        <v>4282</v>
      </c>
    </row>
    <row r="453" spans="1:10" x14ac:dyDescent="0.25">
      <c r="A453" s="1">
        <v>44384</v>
      </c>
      <c r="B453" t="s">
        <v>468</v>
      </c>
      <c r="C453" t="s">
        <v>17</v>
      </c>
      <c r="D453" s="2">
        <v>1010.78</v>
      </c>
      <c r="E453" t="s">
        <v>7</v>
      </c>
      <c r="F453" t="s">
        <v>1537</v>
      </c>
      <c r="G453">
        <v>2021</v>
      </c>
      <c r="H453">
        <f>IF(Table1_1[[#This Row],[Type]]="Expense", _xlfn.XLOOKUP(Table1_1[[#This Row],[Category]], Budget_Ref[Category], Budget_Ref[Monthly Budget], 0), 0)</f>
        <v>300</v>
      </c>
      <c r="I453" t="str">
        <f>IF(Table1_1[[#This Row],[Type]]="Expense", IF(Table1_1[[#This Row],[Amount]]&gt;Table1_1[[#This Row],[Monthly Budget]], "Over Budget", "OK"), "-")</f>
        <v>Over Budget</v>
      </c>
      <c r="J453">
        <f>IF(Table1_1[[#This Row],[Type]]="Income", Table1_1[[#This Row],[Amount]], -Table1_1[[#This Row],[Amount]])</f>
        <v>-1010.78</v>
      </c>
    </row>
    <row r="454" spans="1:10" x14ac:dyDescent="0.25">
      <c r="A454" s="1">
        <v>44386</v>
      </c>
      <c r="B454" t="s">
        <v>469</v>
      </c>
      <c r="C454" t="s">
        <v>9</v>
      </c>
      <c r="D454" s="2">
        <v>1635.61</v>
      </c>
      <c r="E454" t="s">
        <v>7</v>
      </c>
      <c r="F454" t="s">
        <v>1537</v>
      </c>
      <c r="G454">
        <v>2021</v>
      </c>
      <c r="H454">
        <f>IF(Table1_1[[#This Row],[Type]]="Expense", _xlfn.XLOOKUP(Table1_1[[#This Row],[Category]], Budget_Ref[Category], Budget_Ref[Monthly Budget], 0), 0)</f>
        <v>150</v>
      </c>
      <c r="I454" t="str">
        <f>IF(Table1_1[[#This Row],[Type]]="Expense", IF(Table1_1[[#This Row],[Amount]]&gt;Table1_1[[#This Row],[Monthly Budget]], "Over Budget", "OK"), "-")</f>
        <v>Over Budget</v>
      </c>
      <c r="J454">
        <f>IF(Table1_1[[#This Row],[Type]]="Income", Table1_1[[#This Row],[Amount]], -Table1_1[[#This Row],[Amount]])</f>
        <v>-1635.61</v>
      </c>
    </row>
    <row r="455" spans="1:10" x14ac:dyDescent="0.25">
      <c r="A455" s="1">
        <v>44386</v>
      </c>
      <c r="B455" t="s">
        <v>470</v>
      </c>
      <c r="C455" t="s">
        <v>9</v>
      </c>
      <c r="D455" s="2">
        <v>1747.27</v>
      </c>
      <c r="E455" t="s">
        <v>7</v>
      </c>
      <c r="F455" t="s">
        <v>1537</v>
      </c>
      <c r="G455">
        <v>2021</v>
      </c>
      <c r="H455">
        <f>IF(Table1_1[[#This Row],[Type]]="Expense", _xlfn.XLOOKUP(Table1_1[[#This Row],[Category]], Budget_Ref[Category], Budget_Ref[Monthly Budget], 0), 0)</f>
        <v>150</v>
      </c>
      <c r="I455" t="str">
        <f>IF(Table1_1[[#This Row],[Type]]="Expense", IF(Table1_1[[#This Row],[Amount]]&gt;Table1_1[[#This Row],[Monthly Budget]], "Over Budget", "OK"), "-")</f>
        <v>Over Budget</v>
      </c>
      <c r="J455">
        <f>IF(Table1_1[[#This Row],[Type]]="Income", Table1_1[[#This Row],[Amount]], -Table1_1[[#This Row],[Amount]])</f>
        <v>-1747.27</v>
      </c>
    </row>
    <row r="456" spans="1:10" x14ac:dyDescent="0.25">
      <c r="A456" s="1">
        <v>44387</v>
      </c>
      <c r="B456" t="s">
        <v>471</v>
      </c>
      <c r="C456" t="s">
        <v>20</v>
      </c>
      <c r="D456" s="2">
        <v>3540</v>
      </c>
      <c r="E456" t="s">
        <v>14</v>
      </c>
      <c r="F456" t="s">
        <v>1537</v>
      </c>
      <c r="G456">
        <v>2021</v>
      </c>
      <c r="H456">
        <f>IF(Table1_1[[#This Row],[Type]]="Expense", _xlfn.XLOOKUP(Table1_1[[#This Row],[Category]], Budget_Ref[Category], Budget_Ref[Monthly Budget], 0), 0)</f>
        <v>0</v>
      </c>
      <c r="I456" t="str">
        <f>IF(Table1_1[[#This Row],[Type]]="Expense", IF(Table1_1[[#This Row],[Amount]]&gt;Table1_1[[#This Row],[Monthly Budget]], "Over Budget", "OK"), "-")</f>
        <v>-</v>
      </c>
      <c r="J456">
        <f>IF(Table1_1[[#This Row],[Type]]="Income", Table1_1[[#This Row],[Amount]], -Table1_1[[#This Row],[Amount]])</f>
        <v>3540</v>
      </c>
    </row>
    <row r="457" spans="1:10" x14ac:dyDescent="0.25">
      <c r="A457" s="1">
        <v>44387</v>
      </c>
      <c r="B457" t="s">
        <v>472</v>
      </c>
      <c r="C457" t="s">
        <v>11</v>
      </c>
      <c r="D457" s="2">
        <v>1425.69</v>
      </c>
      <c r="E457" t="s">
        <v>7</v>
      </c>
      <c r="F457" t="s">
        <v>1537</v>
      </c>
      <c r="G457">
        <v>2021</v>
      </c>
      <c r="H457">
        <f>IF(Table1_1[[#This Row],[Type]]="Expense", _xlfn.XLOOKUP(Table1_1[[#This Row],[Category]], Budget_Ref[Category], Budget_Ref[Monthly Budget], 0), 0)</f>
        <v>1500</v>
      </c>
      <c r="I457" t="str">
        <f>IF(Table1_1[[#This Row],[Type]]="Expense", IF(Table1_1[[#This Row],[Amount]]&gt;Table1_1[[#This Row],[Monthly Budget]], "Over Budget", "OK"), "-")</f>
        <v>OK</v>
      </c>
      <c r="J457">
        <f>IF(Table1_1[[#This Row],[Type]]="Income", Table1_1[[#This Row],[Amount]], -Table1_1[[#This Row],[Amount]])</f>
        <v>-1425.69</v>
      </c>
    </row>
    <row r="458" spans="1:10" x14ac:dyDescent="0.25">
      <c r="A458" s="1">
        <v>44388</v>
      </c>
      <c r="B458" t="s">
        <v>473</v>
      </c>
      <c r="C458" t="s">
        <v>11</v>
      </c>
      <c r="D458" s="2">
        <v>577.28</v>
      </c>
      <c r="E458" t="s">
        <v>7</v>
      </c>
      <c r="F458" t="s">
        <v>1537</v>
      </c>
      <c r="G458">
        <v>2021</v>
      </c>
      <c r="H458">
        <f>IF(Table1_1[[#This Row],[Type]]="Expense", _xlfn.XLOOKUP(Table1_1[[#This Row],[Category]], Budget_Ref[Category], Budget_Ref[Monthly Budget], 0), 0)</f>
        <v>1500</v>
      </c>
      <c r="I458" t="str">
        <f>IF(Table1_1[[#This Row],[Type]]="Expense", IF(Table1_1[[#This Row],[Amount]]&gt;Table1_1[[#This Row],[Monthly Budget]], "Over Budget", "OK"), "-")</f>
        <v>OK</v>
      </c>
      <c r="J458">
        <f>IF(Table1_1[[#This Row],[Type]]="Income", Table1_1[[#This Row],[Amount]], -Table1_1[[#This Row],[Amount]])</f>
        <v>-577.28</v>
      </c>
    </row>
    <row r="459" spans="1:10" x14ac:dyDescent="0.25">
      <c r="A459" s="1">
        <v>44388</v>
      </c>
      <c r="B459" t="s">
        <v>474</v>
      </c>
      <c r="C459" t="s">
        <v>35</v>
      </c>
      <c r="D459" s="2">
        <v>904.15</v>
      </c>
      <c r="E459" t="s">
        <v>7</v>
      </c>
      <c r="F459" t="s">
        <v>1537</v>
      </c>
      <c r="G459">
        <v>2021</v>
      </c>
      <c r="H459">
        <f>IF(Table1_1[[#This Row],[Type]]="Expense", _xlfn.XLOOKUP(Table1_1[[#This Row],[Category]], Budget_Ref[Category], Budget_Ref[Monthly Budget], 0), 0)</f>
        <v>200</v>
      </c>
      <c r="I459" t="str">
        <f>IF(Table1_1[[#This Row],[Type]]="Expense", IF(Table1_1[[#This Row],[Amount]]&gt;Table1_1[[#This Row],[Monthly Budget]], "Over Budget", "OK"), "-")</f>
        <v>Over Budget</v>
      </c>
      <c r="J459">
        <f>IF(Table1_1[[#This Row],[Type]]="Income", Table1_1[[#This Row],[Amount]], -Table1_1[[#This Row],[Amount]])</f>
        <v>-904.15</v>
      </c>
    </row>
    <row r="460" spans="1:10" x14ac:dyDescent="0.25">
      <c r="A460" s="1">
        <v>44388</v>
      </c>
      <c r="B460" t="s">
        <v>475</v>
      </c>
      <c r="C460" t="s">
        <v>17</v>
      </c>
      <c r="D460" s="2">
        <v>192.51</v>
      </c>
      <c r="E460" t="s">
        <v>7</v>
      </c>
      <c r="F460" t="s">
        <v>1537</v>
      </c>
      <c r="G460">
        <v>2021</v>
      </c>
      <c r="H460">
        <f>IF(Table1_1[[#This Row],[Type]]="Expense", _xlfn.XLOOKUP(Table1_1[[#This Row],[Category]], Budget_Ref[Category], Budget_Ref[Monthly Budget], 0), 0)</f>
        <v>300</v>
      </c>
      <c r="I460" t="str">
        <f>IF(Table1_1[[#This Row],[Type]]="Expense", IF(Table1_1[[#This Row],[Amount]]&gt;Table1_1[[#This Row],[Monthly Budget]], "Over Budget", "OK"), "-")</f>
        <v>OK</v>
      </c>
      <c r="J460">
        <f>IF(Table1_1[[#This Row],[Type]]="Income", Table1_1[[#This Row],[Amount]], -Table1_1[[#This Row],[Amount]])</f>
        <v>-192.51</v>
      </c>
    </row>
    <row r="461" spans="1:10" x14ac:dyDescent="0.25">
      <c r="A461" s="1">
        <v>44389</v>
      </c>
      <c r="B461" t="s">
        <v>476</v>
      </c>
      <c r="C461" t="s">
        <v>27</v>
      </c>
      <c r="D461" s="2">
        <v>1770.41</v>
      </c>
      <c r="E461" t="s">
        <v>14</v>
      </c>
      <c r="F461" t="s">
        <v>1537</v>
      </c>
      <c r="G461">
        <v>2021</v>
      </c>
      <c r="H461">
        <f>IF(Table1_1[[#This Row],[Type]]="Expense", _xlfn.XLOOKUP(Table1_1[[#This Row],[Category]], Budget_Ref[Category], Budget_Ref[Monthly Budget], 0), 0)</f>
        <v>0</v>
      </c>
      <c r="I461" t="str">
        <f>IF(Table1_1[[#This Row],[Type]]="Expense", IF(Table1_1[[#This Row],[Amount]]&gt;Table1_1[[#This Row],[Monthly Budget]], "Over Budget", "OK"), "-")</f>
        <v>-</v>
      </c>
      <c r="J461">
        <f>IF(Table1_1[[#This Row],[Type]]="Income", Table1_1[[#This Row],[Amount]], -Table1_1[[#This Row],[Amount]])</f>
        <v>1770.41</v>
      </c>
    </row>
    <row r="462" spans="1:10" x14ac:dyDescent="0.25">
      <c r="A462" s="1">
        <v>44390</v>
      </c>
      <c r="B462" t="s">
        <v>477</v>
      </c>
      <c r="C462" t="s">
        <v>17</v>
      </c>
      <c r="D462" s="2">
        <v>115.98</v>
      </c>
      <c r="E462" t="s">
        <v>7</v>
      </c>
      <c r="F462" t="s">
        <v>1537</v>
      </c>
      <c r="G462">
        <v>2021</v>
      </c>
      <c r="H462">
        <f>IF(Table1_1[[#This Row],[Type]]="Expense", _xlfn.XLOOKUP(Table1_1[[#This Row],[Category]], Budget_Ref[Category], Budget_Ref[Monthly Budget], 0), 0)</f>
        <v>300</v>
      </c>
      <c r="I462" t="str">
        <f>IF(Table1_1[[#This Row],[Type]]="Expense", IF(Table1_1[[#This Row],[Amount]]&gt;Table1_1[[#This Row],[Monthly Budget]], "Over Budget", "OK"), "-")</f>
        <v>OK</v>
      </c>
      <c r="J462">
        <f>IF(Table1_1[[#This Row],[Type]]="Income", Table1_1[[#This Row],[Amount]], -Table1_1[[#This Row],[Amount]])</f>
        <v>-115.98</v>
      </c>
    </row>
    <row r="463" spans="1:10" x14ac:dyDescent="0.25">
      <c r="A463" s="1">
        <v>44391</v>
      </c>
      <c r="B463" t="s">
        <v>478</v>
      </c>
      <c r="C463" t="s">
        <v>22</v>
      </c>
      <c r="D463" s="2">
        <v>778.47</v>
      </c>
      <c r="E463" t="s">
        <v>7</v>
      </c>
      <c r="F463" t="s">
        <v>1537</v>
      </c>
      <c r="G463">
        <v>2021</v>
      </c>
      <c r="H463">
        <f>IF(Table1_1[[#This Row],[Type]]="Expense", _xlfn.XLOOKUP(Table1_1[[#This Row],[Category]], Budget_Ref[Category], Budget_Ref[Monthly Budget], 0), 0)</f>
        <v>200</v>
      </c>
      <c r="I463" t="str">
        <f>IF(Table1_1[[#This Row],[Type]]="Expense", IF(Table1_1[[#This Row],[Amount]]&gt;Table1_1[[#This Row],[Monthly Budget]], "Over Budget", "OK"), "-")</f>
        <v>Over Budget</v>
      </c>
      <c r="J463">
        <f>IF(Table1_1[[#This Row],[Type]]="Income", Table1_1[[#This Row],[Amount]], -Table1_1[[#This Row],[Amount]])</f>
        <v>-778.47</v>
      </c>
    </row>
    <row r="464" spans="1:10" x14ac:dyDescent="0.25">
      <c r="A464" s="1">
        <v>44392</v>
      </c>
      <c r="B464" t="s">
        <v>479</v>
      </c>
      <c r="C464" t="s">
        <v>13</v>
      </c>
      <c r="D464" s="2">
        <v>730</v>
      </c>
      <c r="E464" t="s">
        <v>14</v>
      </c>
      <c r="F464" t="s">
        <v>1537</v>
      </c>
      <c r="G464">
        <v>2021</v>
      </c>
      <c r="H464">
        <f>IF(Table1_1[[#This Row],[Type]]="Expense", _xlfn.XLOOKUP(Table1_1[[#This Row],[Category]], Budget_Ref[Category], Budget_Ref[Monthly Budget], 0), 0)</f>
        <v>0</v>
      </c>
      <c r="I464" t="str">
        <f>IF(Table1_1[[#This Row],[Type]]="Expense", IF(Table1_1[[#This Row],[Amount]]&gt;Table1_1[[#This Row],[Monthly Budget]], "Over Budget", "OK"), "-")</f>
        <v>-</v>
      </c>
      <c r="J464">
        <f>IF(Table1_1[[#This Row],[Type]]="Income", Table1_1[[#This Row],[Amount]], -Table1_1[[#This Row],[Amount]])</f>
        <v>730</v>
      </c>
    </row>
    <row r="465" spans="1:10" x14ac:dyDescent="0.25">
      <c r="A465" s="1">
        <v>44396</v>
      </c>
      <c r="B465" t="s">
        <v>480</v>
      </c>
      <c r="C465" t="s">
        <v>11</v>
      </c>
      <c r="D465" s="2">
        <v>1679.96</v>
      </c>
      <c r="E465" t="s">
        <v>7</v>
      </c>
      <c r="F465" t="s">
        <v>1537</v>
      </c>
      <c r="G465">
        <v>2021</v>
      </c>
      <c r="H465">
        <f>IF(Table1_1[[#This Row],[Type]]="Expense", _xlfn.XLOOKUP(Table1_1[[#This Row],[Category]], Budget_Ref[Category], Budget_Ref[Monthly Budget], 0), 0)</f>
        <v>1500</v>
      </c>
      <c r="I465" t="str">
        <f>IF(Table1_1[[#This Row],[Type]]="Expense", IF(Table1_1[[#This Row],[Amount]]&gt;Table1_1[[#This Row],[Monthly Budget]], "Over Budget", "OK"), "-")</f>
        <v>Over Budget</v>
      </c>
      <c r="J465">
        <f>IF(Table1_1[[#This Row],[Type]]="Income", Table1_1[[#This Row],[Amount]], -Table1_1[[#This Row],[Amount]])</f>
        <v>-1679.96</v>
      </c>
    </row>
    <row r="466" spans="1:10" x14ac:dyDescent="0.25">
      <c r="A466" s="1">
        <v>44396</v>
      </c>
      <c r="B466" t="s">
        <v>481</v>
      </c>
      <c r="C466" t="s">
        <v>9</v>
      </c>
      <c r="D466" s="2">
        <v>283.82</v>
      </c>
      <c r="E466" t="s">
        <v>7</v>
      </c>
      <c r="F466" t="s">
        <v>1537</v>
      </c>
      <c r="G466">
        <v>2021</v>
      </c>
      <c r="H466">
        <f>IF(Table1_1[[#This Row],[Type]]="Expense", _xlfn.XLOOKUP(Table1_1[[#This Row],[Category]], Budget_Ref[Category], Budget_Ref[Monthly Budget], 0), 0)</f>
        <v>150</v>
      </c>
      <c r="I466" t="str">
        <f>IF(Table1_1[[#This Row],[Type]]="Expense", IF(Table1_1[[#This Row],[Amount]]&gt;Table1_1[[#This Row],[Monthly Budget]], "Over Budget", "OK"), "-")</f>
        <v>Over Budget</v>
      </c>
      <c r="J466">
        <f>IF(Table1_1[[#This Row],[Type]]="Income", Table1_1[[#This Row],[Amount]], -Table1_1[[#This Row],[Amount]])</f>
        <v>-283.82</v>
      </c>
    </row>
    <row r="467" spans="1:10" x14ac:dyDescent="0.25">
      <c r="A467" s="1">
        <v>44400</v>
      </c>
      <c r="B467" t="s">
        <v>482</v>
      </c>
      <c r="C467" t="s">
        <v>27</v>
      </c>
      <c r="D467" s="2">
        <v>1395.18</v>
      </c>
      <c r="E467" t="s">
        <v>14</v>
      </c>
      <c r="F467" t="s">
        <v>1537</v>
      </c>
      <c r="G467">
        <v>2021</v>
      </c>
      <c r="H467">
        <f>IF(Table1_1[[#This Row],[Type]]="Expense", _xlfn.XLOOKUP(Table1_1[[#This Row],[Category]], Budget_Ref[Category], Budget_Ref[Monthly Budget], 0), 0)</f>
        <v>0</v>
      </c>
      <c r="I467" t="str">
        <f>IF(Table1_1[[#This Row],[Type]]="Expense", IF(Table1_1[[#This Row],[Amount]]&gt;Table1_1[[#This Row],[Monthly Budget]], "Over Budget", "OK"), "-")</f>
        <v>-</v>
      </c>
      <c r="J467">
        <f>IF(Table1_1[[#This Row],[Type]]="Income", Table1_1[[#This Row],[Amount]], -Table1_1[[#This Row],[Amount]])</f>
        <v>1395.18</v>
      </c>
    </row>
    <row r="468" spans="1:10" x14ac:dyDescent="0.25">
      <c r="A468" s="1">
        <v>44400</v>
      </c>
      <c r="B468" t="s">
        <v>483</v>
      </c>
      <c r="C468" t="s">
        <v>20</v>
      </c>
      <c r="D468" s="2">
        <v>4174</v>
      </c>
      <c r="E468" t="s">
        <v>14</v>
      </c>
      <c r="F468" t="s">
        <v>1537</v>
      </c>
      <c r="G468">
        <v>2021</v>
      </c>
      <c r="H468">
        <f>IF(Table1_1[[#This Row],[Type]]="Expense", _xlfn.XLOOKUP(Table1_1[[#This Row],[Category]], Budget_Ref[Category], Budget_Ref[Monthly Budget], 0), 0)</f>
        <v>0</v>
      </c>
      <c r="I468" t="str">
        <f>IF(Table1_1[[#This Row],[Type]]="Expense", IF(Table1_1[[#This Row],[Amount]]&gt;Table1_1[[#This Row],[Monthly Budget]], "Over Budget", "OK"), "-")</f>
        <v>-</v>
      </c>
      <c r="J468">
        <f>IF(Table1_1[[#This Row],[Type]]="Income", Table1_1[[#This Row],[Amount]], -Table1_1[[#This Row],[Amount]])</f>
        <v>4174</v>
      </c>
    </row>
    <row r="469" spans="1:10" x14ac:dyDescent="0.25">
      <c r="A469" s="1">
        <v>44401</v>
      </c>
      <c r="B469" t="s">
        <v>484</v>
      </c>
      <c r="C469" t="s">
        <v>11</v>
      </c>
      <c r="D469" s="2">
        <v>47.82</v>
      </c>
      <c r="E469" t="s">
        <v>7</v>
      </c>
      <c r="F469" t="s">
        <v>1537</v>
      </c>
      <c r="G469">
        <v>2021</v>
      </c>
      <c r="H469">
        <f>IF(Table1_1[[#This Row],[Type]]="Expense", _xlfn.XLOOKUP(Table1_1[[#This Row],[Category]], Budget_Ref[Category], Budget_Ref[Monthly Budget], 0), 0)</f>
        <v>1500</v>
      </c>
      <c r="I469" t="str">
        <f>IF(Table1_1[[#This Row],[Type]]="Expense", IF(Table1_1[[#This Row],[Amount]]&gt;Table1_1[[#This Row],[Monthly Budget]], "Over Budget", "OK"), "-")</f>
        <v>OK</v>
      </c>
      <c r="J469">
        <f>IF(Table1_1[[#This Row],[Type]]="Income", Table1_1[[#This Row],[Amount]], -Table1_1[[#This Row],[Amount]])</f>
        <v>-47.82</v>
      </c>
    </row>
    <row r="470" spans="1:10" x14ac:dyDescent="0.25">
      <c r="A470" s="1">
        <v>44405</v>
      </c>
      <c r="B470" t="s">
        <v>485</v>
      </c>
      <c r="C470" t="s">
        <v>9</v>
      </c>
      <c r="D470" s="2">
        <v>1102.1199999999999</v>
      </c>
      <c r="E470" t="s">
        <v>7</v>
      </c>
      <c r="F470" t="s">
        <v>1537</v>
      </c>
      <c r="G470">
        <v>2021</v>
      </c>
      <c r="H470">
        <f>IF(Table1_1[[#This Row],[Type]]="Expense", _xlfn.XLOOKUP(Table1_1[[#This Row],[Category]], Budget_Ref[Category], Budget_Ref[Monthly Budget], 0), 0)</f>
        <v>150</v>
      </c>
      <c r="I470" t="str">
        <f>IF(Table1_1[[#This Row],[Type]]="Expense", IF(Table1_1[[#This Row],[Amount]]&gt;Table1_1[[#This Row],[Monthly Budget]], "Over Budget", "OK"), "-")</f>
        <v>Over Budget</v>
      </c>
      <c r="J470">
        <f>IF(Table1_1[[#This Row],[Type]]="Income", Table1_1[[#This Row],[Amount]], -Table1_1[[#This Row],[Amount]])</f>
        <v>-1102.1199999999999</v>
      </c>
    </row>
    <row r="471" spans="1:10" x14ac:dyDescent="0.25">
      <c r="A471" s="1">
        <v>44406</v>
      </c>
      <c r="B471" t="s">
        <v>486</v>
      </c>
      <c r="C471" t="s">
        <v>17</v>
      </c>
      <c r="D471" s="2">
        <v>231.26</v>
      </c>
      <c r="E471" t="s">
        <v>7</v>
      </c>
      <c r="F471" t="s">
        <v>1537</v>
      </c>
      <c r="G471">
        <v>2021</v>
      </c>
      <c r="H471">
        <f>IF(Table1_1[[#This Row],[Type]]="Expense", _xlfn.XLOOKUP(Table1_1[[#This Row],[Category]], Budget_Ref[Category], Budget_Ref[Monthly Budget], 0), 0)</f>
        <v>300</v>
      </c>
      <c r="I471" t="str">
        <f>IF(Table1_1[[#This Row],[Type]]="Expense", IF(Table1_1[[#This Row],[Amount]]&gt;Table1_1[[#This Row],[Monthly Budget]], "Over Budget", "OK"), "-")</f>
        <v>OK</v>
      </c>
      <c r="J471">
        <f>IF(Table1_1[[#This Row],[Type]]="Income", Table1_1[[#This Row],[Amount]], -Table1_1[[#This Row],[Amount]])</f>
        <v>-231.26</v>
      </c>
    </row>
    <row r="472" spans="1:10" x14ac:dyDescent="0.25">
      <c r="A472" s="1">
        <v>44410</v>
      </c>
      <c r="B472" t="s">
        <v>487</v>
      </c>
      <c r="C472" t="s">
        <v>35</v>
      </c>
      <c r="D472" s="2">
        <v>252.48</v>
      </c>
      <c r="E472" t="s">
        <v>7</v>
      </c>
      <c r="F472" t="s">
        <v>1538</v>
      </c>
      <c r="G472">
        <v>2021</v>
      </c>
      <c r="H472">
        <f>IF(Table1_1[[#This Row],[Type]]="Expense", _xlfn.XLOOKUP(Table1_1[[#This Row],[Category]], Budget_Ref[Category], Budget_Ref[Monthly Budget], 0), 0)</f>
        <v>200</v>
      </c>
      <c r="I472" t="str">
        <f>IF(Table1_1[[#This Row],[Type]]="Expense", IF(Table1_1[[#This Row],[Amount]]&gt;Table1_1[[#This Row],[Monthly Budget]], "Over Budget", "OK"), "-")</f>
        <v>Over Budget</v>
      </c>
      <c r="J472">
        <f>IF(Table1_1[[#This Row],[Type]]="Income", Table1_1[[#This Row],[Amount]], -Table1_1[[#This Row],[Amount]])</f>
        <v>-252.48</v>
      </c>
    </row>
    <row r="473" spans="1:10" x14ac:dyDescent="0.25">
      <c r="A473" s="1">
        <v>44414</v>
      </c>
      <c r="B473" t="s">
        <v>488</v>
      </c>
      <c r="C473" t="s">
        <v>27</v>
      </c>
      <c r="D473" s="2">
        <v>134.99</v>
      </c>
      <c r="E473" t="s">
        <v>14</v>
      </c>
      <c r="F473" t="s">
        <v>1538</v>
      </c>
      <c r="G473">
        <v>2021</v>
      </c>
      <c r="H473">
        <f>IF(Table1_1[[#This Row],[Type]]="Expense", _xlfn.XLOOKUP(Table1_1[[#This Row],[Category]], Budget_Ref[Category], Budget_Ref[Monthly Budget], 0), 0)</f>
        <v>0</v>
      </c>
      <c r="I473" t="str">
        <f>IF(Table1_1[[#This Row],[Type]]="Expense", IF(Table1_1[[#This Row],[Amount]]&gt;Table1_1[[#This Row],[Monthly Budget]], "Over Budget", "OK"), "-")</f>
        <v>-</v>
      </c>
      <c r="J473">
        <f>IF(Table1_1[[#This Row],[Type]]="Income", Table1_1[[#This Row],[Amount]], -Table1_1[[#This Row],[Amount]])</f>
        <v>134.99</v>
      </c>
    </row>
    <row r="474" spans="1:10" x14ac:dyDescent="0.25">
      <c r="A474" s="1">
        <v>44415</v>
      </c>
      <c r="B474" t="s">
        <v>489</v>
      </c>
      <c r="C474" t="s">
        <v>27</v>
      </c>
      <c r="D474" s="2">
        <v>1197.51</v>
      </c>
      <c r="E474" t="s">
        <v>14</v>
      </c>
      <c r="F474" t="s">
        <v>1538</v>
      </c>
      <c r="G474">
        <v>2021</v>
      </c>
      <c r="H474">
        <f>IF(Table1_1[[#This Row],[Type]]="Expense", _xlfn.XLOOKUP(Table1_1[[#This Row],[Category]], Budget_Ref[Category], Budget_Ref[Monthly Budget], 0), 0)</f>
        <v>0</v>
      </c>
      <c r="I474" t="str">
        <f>IF(Table1_1[[#This Row],[Type]]="Expense", IF(Table1_1[[#This Row],[Amount]]&gt;Table1_1[[#This Row],[Monthly Budget]], "Over Budget", "OK"), "-")</f>
        <v>-</v>
      </c>
      <c r="J474">
        <f>IF(Table1_1[[#This Row],[Type]]="Income", Table1_1[[#This Row],[Amount]], -Table1_1[[#This Row],[Amount]])</f>
        <v>1197.51</v>
      </c>
    </row>
    <row r="475" spans="1:10" x14ac:dyDescent="0.25">
      <c r="A475" s="1">
        <v>44415</v>
      </c>
      <c r="B475" t="s">
        <v>490</v>
      </c>
      <c r="C475" t="s">
        <v>13</v>
      </c>
      <c r="D475" s="2">
        <v>1676</v>
      </c>
      <c r="E475" t="s">
        <v>14</v>
      </c>
      <c r="F475" t="s">
        <v>1538</v>
      </c>
      <c r="G475">
        <v>2021</v>
      </c>
      <c r="H475">
        <f>IF(Table1_1[[#This Row],[Type]]="Expense", _xlfn.XLOOKUP(Table1_1[[#This Row],[Category]], Budget_Ref[Category], Budget_Ref[Monthly Budget], 0), 0)</f>
        <v>0</v>
      </c>
      <c r="I475" t="str">
        <f>IF(Table1_1[[#This Row],[Type]]="Expense", IF(Table1_1[[#This Row],[Amount]]&gt;Table1_1[[#This Row],[Monthly Budget]], "Over Budget", "OK"), "-")</f>
        <v>-</v>
      </c>
      <c r="J475">
        <f>IF(Table1_1[[#This Row],[Type]]="Income", Table1_1[[#This Row],[Amount]], -Table1_1[[#This Row],[Amount]])</f>
        <v>1676</v>
      </c>
    </row>
    <row r="476" spans="1:10" x14ac:dyDescent="0.25">
      <c r="A476" s="1">
        <v>44416</v>
      </c>
      <c r="B476" t="s">
        <v>491</v>
      </c>
      <c r="C476" t="s">
        <v>6</v>
      </c>
      <c r="D476" s="2">
        <v>1233.47</v>
      </c>
      <c r="E476" t="s">
        <v>7</v>
      </c>
      <c r="F476" t="s">
        <v>1538</v>
      </c>
      <c r="G476">
        <v>2021</v>
      </c>
      <c r="H476">
        <f>IF(Table1_1[[#This Row],[Type]]="Expense", _xlfn.XLOOKUP(Table1_1[[#This Row],[Category]], Budget_Ref[Category], Budget_Ref[Monthly Budget], 0), 0)</f>
        <v>500</v>
      </c>
      <c r="I476" t="str">
        <f>IF(Table1_1[[#This Row],[Type]]="Expense", IF(Table1_1[[#This Row],[Amount]]&gt;Table1_1[[#This Row],[Monthly Budget]], "Over Budget", "OK"), "-")</f>
        <v>Over Budget</v>
      </c>
      <c r="J476">
        <f>IF(Table1_1[[#This Row],[Type]]="Income", Table1_1[[#This Row],[Amount]], -Table1_1[[#This Row],[Amount]])</f>
        <v>-1233.47</v>
      </c>
    </row>
    <row r="477" spans="1:10" x14ac:dyDescent="0.25">
      <c r="A477" s="1">
        <v>44417</v>
      </c>
      <c r="B477" t="s">
        <v>492</v>
      </c>
      <c r="C477" t="s">
        <v>17</v>
      </c>
      <c r="D477" s="2">
        <v>382.75</v>
      </c>
      <c r="E477" t="s">
        <v>7</v>
      </c>
      <c r="F477" t="s">
        <v>1538</v>
      </c>
      <c r="G477">
        <v>2021</v>
      </c>
      <c r="H477">
        <f>IF(Table1_1[[#This Row],[Type]]="Expense", _xlfn.XLOOKUP(Table1_1[[#This Row],[Category]], Budget_Ref[Category], Budget_Ref[Monthly Budget], 0), 0)</f>
        <v>300</v>
      </c>
      <c r="I477" t="str">
        <f>IF(Table1_1[[#This Row],[Type]]="Expense", IF(Table1_1[[#This Row],[Amount]]&gt;Table1_1[[#This Row],[Monthly Budget]], "Over Budget", "OK"), "-")</f>
        <v>Over Budget</v>
      </c>
      <c r="J477">
        <f>IF(Table1_1[[#This Row],[Type]]="Income", Table1_1[[#This Row],[Amount]], -Table1_1[[#This Row],[Amount]])</f>
        <v>-382.75</v>
      </c>
    </row>
    <row r="478" spans="1:10" x14ac:dyDescent="0.25">
      <c r="A478" s="1">
        <v>44419</v>
      </c>
      <c r="B478" t="s">
        <v>493</v>
      </c>
      <c r="C478" t="s">
        <v>25</v>
      </c>
      <c r="D478" s="2">
        <v>144.68</v>
      </c>
      <c r="E478" t="s">
        <v>7</v>
      </c>
      <c r="F478" t="s">
        <v>1538</v>
      </c>
      <c r="G478">
        <v>2021</v>
      </c>
      <c r="H478">
        <f>IF(Table1_1[[#This Row],[Type]]="Expense", _xlfn.XLOOKUP(Table1_1[[#This Row],[Category]], Budget_Ref[Category], Budget_Ref[Monthly Budget], 0), 0)</f>
        <v>150</v>
      </c>
      <c r="I478" t="str">
        <f>IF(Table1_1[[#This Row],[Type]]="Expense", IF(Table1_1[[#This Row],[Amount]]&gt;Table1_1[[#This Row],[Monthly Budget]], "Over Budget", "OK"), "-")</f>
        <v>OK</v>
      </c>
      <c r="J478">
        <f>IF(Table1_1[[#This Row],[Type]]="Income", Table1_1[[#This Row],[Amount]], -Table1_1[[#This Row],[Amount]])</f>
        <v>-144.68</v>
      </c>
    </row>
    <row r="479" spans="1:10" x14ac:dyDescent="0.25">
      <c r="A479" s="1">
        <v>44421</v>
      </c>
      <c r="B479" t="s">
        <v>494</v>
      </c>
      <c r="C479" t="s">
        <v>6</v>
      </c>
      <c r="D479" s="2">
        <v>787</v>
      </c>
      <c r="E479" t="s">
        <v>7</v>
      </c>
      <c r="F479" t="s">
        <v>1538</v>
      </c>
      <c r="G479">
        <v>2021</v>
      </c>
      <c r="H479">
        <f>IF(Table1_1[[#This Row],[Type]]="Expense", _xlfn.XLOOKUP(Table1_1[[#This Row],[Category]], Budget_Ref[Category], Budget_Ref[Monthly Budget], 0), 0)</f>
        <v>500</v>
      </c>
      <c r="I479" t="str">
        <f>IF(Table1_1[[#This Row],[Type]]="Expense", IF(Table1_1[[#This Row],[Amount]]&gt;Table1_1[[#This Row],[Monthly Budget]], "Over Budget", "OK"), "-")</f>
        <v>Over Budget</v>
      </c>
      <c r="J479">
        <f>IF(Table1_1[[#This Row],[Type]]="Income", Table1_1[[#This Row],[Amount]], -Table1_1[[#This Row],[Amount]])</f>
        <v>-787</v>
      </c>
    </row>
    <row r="480" spans="1:10" x14ac:dyDescent="0.25">
      <c r="A480" s="1">
        <v>44421</v>
      </c>
      <c r="B480" t="s">
        <v>495</v>
      </c>
      <c r="C480" t="s">
        <v>17</v>
      </c>
      <c r="D480" s="2">
        <v>1962.27</v>
      </c>
      <c r="E480" t="s">
        <v>7</v>
      </c>
      <c r="F480" t="s">
        <v>1538</v>
      </c>
      <c r="G480">
        <v>2021</v>
      </c>
      <c r="H480">
        <f>IF(Table1_1[[#This Row],[Type]]="Expense", _xlfn.XLOOKUP(Table1_1[[#This Row],[Category]], Budget_Ref[Category], Budget_Ref[Monthly Budget], 0), 0)</f>
        <v>300</v>
      </c>
      <c r="I480" t="str">
        <f>IF(Table1_1[[#This Row],[Type]]="Expense", IF(Table1_1[[#This Row],[Amount]]&gt;Table1_1[[#This Row],[Monthly Budget]], "Over Budget", "OK"), "-")</f>
        <v>Over Budget</v>
      </c>
      <c r="J480">
        <f>IF(Table1_1[[#This Row],[Type]]="Income", Table1_1[[#This Row],[Amount]], -Table1_1[[#This Row],[Amount]])</f>
        <v>-1962.27</v>
      </c>
    </row>
    <row r="481" spans="1:10" x14ac:dyDescent="0.25">
      <c r="A481" s="1">
        <v>44423</v>
      </c>
      <c r="B481" t="s">
        <v>496</v>
      </c>
      <c r="C481" t="s">
        <v>6</v>
      </c>
      <c r="D481" s="2">
        <v>720.62</v>
      </c>
      <c r="E481" t="s">
        <v>7</v>
      </c>
      <c r="F481" t="s">
        <v>1538</v>
      </c>
      <c r="G481">
        <v>2021</v>
      </c>
      <c r="H481">
        <f>IF(Table1_1[[#This Row],[Type]]="Expense", _xlfn.XLOOKUP(Table1_1[[#This Row],[Category]], Budget_Ref[Category], Budget_Ref[Monthly Budget], 0), 0)</f>
        <v>500</v>
      </c>
      <c r="I481" t="str">
        <f>IF(Table1_1[[#This Row],[Type]]="Expense", IF(Table1_1[[#This Row],[Amount]]&gt;Table1_1[[#This Row],[Monthly Budget]], "Over Budget", "OK"), "-")</f>
        <v>Over Budget</v>
      </c>
      <c r="J481">
        <f>IF(Table1_1[[#This Row],[Type]]="Income", Table1_1[[#This Row],[Amount]], -Table1_1[[#This Row],[Amount]])</f>
        <v>-720.62</v>
      </c>
    </row>
    <row r="482" spans="1:10" x14ac:dyDescent="0.25">
      <c r="A482" s="1">
        <v>44424</v>
      </c>
      <c r="B482" t="s">
        <v>497</v>
      </c>
      <c r="C482" t="s">
        <v>13</v>
      </c>
      <c r="D482" s="2">
        <v>1349</v>
      </c>
      <c r="E482" t="s">
        <v>14</v>
      </c>
      <c r="F482" t="s">
        <v>1538</v>
      </c>
      <c r="G482">
        <v>2021</v>
      </c>
      <c r="H482">
        <f>IF(Table1_1[[#This Row],[Type]]="Expense", _xlfn.XLOOKUP(Table1_1[[#This Row],[Category]], Budget_Ref[Category], Budget_Ref[Monthly Budget], 0), 0)</f>
        <v>0</v>
      </c>
      <c r="I482" t="str">
        <f>IF(Table1_1[[#This Row],[Type]]="Expense", IF(Table1_1[[#This Row],[Amount]]&gt;Table1_1[[#This Row],[Monthly Budget]], "Over Budget", "OK"), "-")</f>
        <v>-</v>
      </c>
      <c r="J482">
        <f>IF(Table1_1[[#This Row],[Type]]="Income", Table1_1[[#This Row],[Amount]], -Table1_1[[#This Row],[Amount]])</f>
        <v>1349</v>
      </c>
    </row>
    <row r="483" spans="1:10" x14ac:dyDescent="0.25">
      <c r="A483" s="1">
        <v>44426</v>
      </c>
      <c r="B483" t="s">
        <v>498</v>
      </c>
      <c r="C483" t="s">
        <v>25</v>
      </c>
      <c r="D483" s="2">
        <v>275.49</v>
      </c>
      <c r="E483" t="s">
        <v>7</v>
      </c>
      <c r="F483" t="s">
        <v>1538</v>
      </c>
      <c r="G483">
        <v>2021</v>
      </c>
      <c r="H483">
        <f>IF(Table1_1[[#This Row],[Type]]="Expense", _xlfn.XLOOKUP(Table1_1[[#This Row],[Category]], Budget_Ref[Category], Budget_Ref[Monthly Budget], 0), 0)</f>
        <v>150</v>
      </c>
      <c r="I483" t="str">
        <f>IF(Table1_1[[#This Row],[Type]]="Expense", IF(Table1_1[[#This Row],[Amount]]&gt;Table1_1[[#This Row],[Monthly Budget]], "Over Budget", "OK"), "-")</f>
        <v>Over Budget</v>
      </c>
      <c r="J483">
        <f>IF(Table1_1[[#This Row],[Type]]="Income", Table1_1[[#This Row],[Amount]], -Table1_1[[#This Row],[Amount]])</f>
        <v>-275.49</v>
      </c>
    </row>
    <row r="484" spans="1:10" x14ac:dyDescent="0.25">
      <c r="A484" s="1">
        <v>44428</v>
      </c>
      <c r="B484" t="s">
        <v>499</v>
      </c>
      <c r="C484" t="s">
        <v>25</v>
      </c>
      <c r="D484" s="2">
        <v>1628.88</v>
      </c>
      <c r="E484" t="s">
        <v>7</v>
      </c>
      <c r="F484" t="s">
        <v>1538</v>
      </c>
      <c r="G484">
        <v>2021</v>
      </c>
      <c r="H484">
        <f>IF(Table1_1[[#This Row],[Type]]="Expense", _xlfn.XLOOKUP(Table1_1[[#This Row],[Category]], Budget_Ref[Category], Budget_Ref[Monthly Budget], 0), 0)</f>
        <v>150</v>
      </c>
      <c r="I484" t="str">
        <f>IF(Table1_1[[#This Row],[Type]]="Expense", IF(Table1_1[[#This Row],[Amount]]&gt;Table1_1[[#This Row],[Monthly Budget]], "Over Budget", "OK"), "-")</f>
        <v>Over Budget</v>
      </c>
      <c r="J484">
        <f>IF(Table1_1[[#This Row],[Type]]="Income", Table1_1[[#This Row],[Amount]], -Table1_1[[#This Row],[Amount]])</f>
        <v>-1628.88</v>
      </c>
    </row>
    <row r="485" spans="1:10" x14ac:dyDescent="0.25">
      <c r="A485" s="1">
        <v>44429</v>
      </c>
      <c r="B485" t="s">
        <v>500</v>
      </c>
      <c r="C485" t="s">
        <v>20</v>
      </c>
      <c r="D485" s="2">
        <v>4420</v>
      </c>
      <c r="E485" t="s">
        <v>14</v>
      </c>
      <c r="F485" t="s">
        <v>1538</v>
      </c>
      <c r="G485">
        <v>2021</v>
      </c>
      <c r="H485">
        <f>IF(Table1_1[[#This Row],[Type]]="Expense", _xlfn.XLOOKUP(Table1_1[[#This Row],[Category]], Budget_Ref[Category], Budget_Ref[Monthly Budget], 0), 0)</f>
        <v>0</v>
      </c>
      <c r="I485" t="str">
        <f>IF(Table1_1[[#This Row],[Type]]="Expense", IF(Table1_1[[#This Row],[Amount]]&gt;Table1_1[[#This Row],[Monthly Budget]], "Over Budget", "OK"), "-")</f>
        <v>-</v>
      </c>
      <c r="J485">
        <f>IF(Table1_1[[#This Row],[Type]]="Income", Table1_1[[#This Row],[Amount]], -Table1_1[[#This Row],[Amount]])</f>
        <v>4420</v>
      </c>
    </row>
    <row r="486" spans="1:10" x14ac:dyDescent="0.25">
      <c r="A486" s="1">
        <v>44429</v>
      </c>
      <c r="B486" t="s">
        <v>501</v>
      </c>
      <c r="C486" t="s">
        <v>9</v>
      </c>
      <c r="D486" s="2">
        <v>135.57</v>
      </c>
      <c r="E486" t="s">
        <v>7</v>
      </c>
      <c r="F486" t="s">
        <v>1538</v>
      </c>
      <c r="G486">
        <v>2021</v>
      </c>
      <c r="H486">
        <f>IF(Table1_1[[#This Row],[Type]]="Expense", _xlfn.XLOOKUP(Table1_1[[#This Row],[Category]], Budget_Ref[Category], Budget_Ref[Monthly Budget], 0), 0)</f>
        <v>150</v>
      </c>
      <c r="I486" t="str">
        <f>IF(Table1_1[[#This Row],[Type]]="Expense", IF(Table1_1[[#This Row],[Amount]]&gt;Table1_1[[#This Row],[Monthly Budget]], "Over Budget", "OK"), "-")</f>
        <v>OK</v>
      </c>
      <c r="J486">
        <f>IF(Table1_1[[#This Row],[Type]]="Income", Table1_1[[#This Row],[Amount]], -Table1_1[[#This Row],[Amount]])</f>
        <v>-135.57</v>
      </c>
    </row>
    <row r="487" spans="1:10" x14ac:dyDescent="0.25">
      <c r="A487" s="1">
        <v>44430</v>
      </c>
      <c r="B487" t="s">
        <v>502</v>
      </c>
      <c r="C487" t="s">
        <v>27</v>
      </c>
      <c r="D487" s="2">
        <v>83.6</v>
      </c>
      <c r="E487" t="s">
        <v>14</v>
      </c>
      <c r="F487" t="s">
        <v>1538</v>
      </c>
      <c r="G487">
        <v>2021</v>
      </c>
      <c r="H487">
        <f>IF(Table1_1[[#This Row],[Type]]="Expense", _xlfn.XLOOKUP(Table1_1[[#This Row],[Category]], Budget_Ref[Category], Budget_Ref[Monthly Budget], 0), 0)</f>
        <v>0</v>
      </c>
      <c r="I487" t="str">
        <f>IF(Table1_1[[#This Row],[Type]]="Expense", IF(Table1_1[[#This Row],[Amount]]&gt;Table1_1[[#This Row],[Monthly Budget]], "Over Budget", "OK"), "-")</f>
        <v>-</v>
      </c>
      <c r="J487">
        <f>IF(Table1_1[[#This Row],[Type]]="Income", Table1_1[[#This Row],[Amount]], -Table1_1[[#This Row],[Amount]])</f>
        <v>83.6</v>
      </c>
    </row>
    <row r="488" spans="1:10" x14ac:dyDescent="0.25">
      <c r="A488" s="1">
        <v>44431</v>
      </c>
      <c r="B488" t="s">
        <v>503</v>
      </c>
      <c r="C488" t="s">
        <v>22</v>
      </c>
      <c r="D488" s="2">
        <v>1772.72</v>
      </c>
      <c r="E488" t="s">
        <v>7</v>
      </c>
      <c r="F488" t="s">
        <v>1538</v>
      </c>
      <c r="G488">
        <v>2021</v>
      </c>
      <c r="H488">
        <f>IF(Table1_1[[#This Row],[Type]]="Expense", _xlfn.XLOOKUP(Table1_1[[#This Row],[Category]], Budget_Ref[Category], Budget_Ref[Monthly Budget], 0), 0)</f>
        <v>200</v>
      </c>
      <c r="I488" t="str">
        <f>IF(Table1_1[[#This Row],[Type]]="Expense", IF(Table1_1[[#This Row],[Amount]]&gt;Table1_1[[#This Row],[Monthly Budget]], "Over Budget", "OK"), "-")</f>
        <v>Over Budget</v>
      </c>
      <c r="J488">
        <f>IF(Table1_1[[#This Row],[Type]]="Income", Table1_1[[#This Row],[Amount]], -Table1_1[[#This Row],[Amount]])</f>
        <v>-1772.72</v>
      </c>
    </row>
    <row r="489" spans="1:10" x14ac:dyDescent="0.25">
      <c r="A489" s="1">
        <v>44432</v>
      </c>
      <c r="B489" t="s">
        <v>504</v>
      </c>
      <c r="C489" t="s">
        <v>35</v>
      </c>
      <c r="D489" s="2">
        <v>1035.6099999999999</v>
      </c>
      <c r="E489" t="s">
        <v>7</v>
      </c>
      <c r="F489" t="s">
        <v>1538</v>
      </c>
      <c r="G489">
        <v>2021</v>
      </c>
      <c r="H489">
        <f>IF(Table1_1[[#This Row],[Type]]="Expense", _xlfn.XLOOKUP(Table1_1[[#This Row],[Category]], Budget_Ref[Category], Budget_Ref[Monthly Budget], 0), 0)</f>
        <v>200</v>
      </c>
      <c r="I489" t="str">
        <f>IF(Table1_1[[#This Row],[Type]]="Expense", IF(Table1_1[[#This Row],[Amount]]&gt;Table1_1[[#This Row],[Monthly Budget]], "Over Budget", "OK"), "-")</f>
        <v>Over Budget</v>
      </c>
      <c r="J489">
        <f>IF(Table1_1[[#This Row],[Type]]="Income", Table1_1[[#This Row],[Amount]], -Table1_1[[#This Row],[Amount]])</f>
        <v>-1035.6099999999999</v>
      </c>
    </row>
    <row r="490" spans="1:10" x14ac:dyDescent="0.25">
      <c r="A490" s="1">
        <v>44433</v>
      </c>
      <c r="B490" t="s">
        <v>505</v>
      </c>
      <c r="C490" t="s">
        <v>27</v>
      </c>
      <c r="D490" s="2">
        <v>514.09</v>
      </c>
      <c r="E490" t="s">
        <v>14</v>
      </c>
      <c r="F490" t="s">
        <v>1538</v>
      </c>
      <c r="G490">
        <v>2021</v>
      </c>
      <c r="H490">
        <f>IF(Table1_1[[#This Row],[Type]]="Expense", _xlfn.XLOOKUP(Table1_1[[#This Row],[Category]], Budget_Ref[Category], Budget_Ref[Monthly Budget], 0), 0)</f>
        <v>0</v>
      </c>
      <c r="I490" t="str">
        <f>IF(Table1_1[[#This Row],[Type]]="Expense", IF(Table1_1[[#This Row],[Amount]]&gt;Table1_1[[#This Row],[Monthly Budget]], "Over Budget", "OK"), "-")</f>
        <v>-</v>
      </c>
      <c r="J490">
        <f>IF(Table1_1[[#This Row],[Type]]="Income", Table1_1[[#This Row],[Amount]], -Table1_1[[#This Row],[Amount]])</f>
        <v>514.09</v>
      </c>
    </row>
    <row r="491" spans="1:10" x14ac:dyDescent="0.25">
      <c r="A491" s="1">
        <v>44435</v>
      </c>
      <c r="B491" t="s">
        <v>506</v>
      </c>
      <c r="C491" t="s">
        <v>22</v>
      </c>
      <c r="D491" s="2">
        <v>579.36</v>
      </c>
      <c r="E491" t="s">
        <v>7</v>
      </c>
      <c r="F491" t="s">
        <v>1538</v>
      </c>
      <c r="G491">
        <v>2021</v>
      </c>
      <c r="H491">
        <f>IF(Table1_1[[#This Row],[Type]]="Expense", _xlfn.XLOOKUP(Table1_1[[#This Row],[Category]], Budget_Ref[Category], Budget_Ref[Monthly Budget], 0), 0)</f>
        <v>200</v>
      </c>
      <c r="I491" t="str">
        <f>IF(Table1_1[[#This Row],[Type]]="Expense", IF(Table1_1[[#This Row],[Amount]]&gt;Table1_1[[#This Row],[Monthly Budget]], "Over Budget", "OK"), "-")</f>
        <v>Over Budget</v>
      </c>
      <c r="J491">
        <f>IF(Table1_1[[#This Row],[Type]]="Income", Table1_1[[#This Row],[Amount]], -Table1_1[[#This Row],[Amount]])</f>
        <v>-579.36</v>
      </c>
    </row>
    <row r="492" spans="1:10" x14ac:dyDescent="0.25">
      <c r="A492" s="1">
        <v>44437</v>
      </c>
      <c r="B492" t="s">
        <v>507</v>
      </c>
      <c r="C492" t="s">
        <v>6</v>
      </c>
      <c r="D492" s="2">
        <v>1732.94</v>
      </c>
      <c r="E492" t="s">
        <v>7</v>
      </c>
      <c r="F492" t="s">
        <v>1538</v>
      </c>
      <c r="G492">
        <v>2021</v>
      </c>
      <c r="H492">
        <f>IF(Table1_1[[#This Row],[Type]]="Expense", _xlfn.XLOOKUP(Table1_1[[#This Row],[Category]], Budget_Ref[Category], Budget_Ref[Monthly Budget], 0), 0)</f>
        <v>500</v>
      </c>
      <c r="I492" t="str">
        <f>IF(Table1_1[[#This Row],[Type]]="Expense", IF(Table1_1[[#This Row],[Amount]]&gt;Table1_1[[#This Row],[Monthly Budget]], "Over Budget", "OK"), "-")</f>
        <v>Over Budget</v>
      </c>
      <c r="J492">
        <f>IF(Table1_1[[#This Row],[Type]]="Income", Table1_1[[#This Row],[Amount]], -Table1_1[[#This Row],[Amount]])</f>
        <v>-1732.94</v>
      </c>
    </row>
    <row r="493" spans="1:10" x14ac:dyDescent="0.25">
      <c r="A493" s="1">
        <v>44444</v>
      </c>
      <c r="B493" t="s">
        <v>508</v>
      </c>
      <c r="C493" t="s">
        <v>11</v>
      </c>
      <c r="D493" s="2">
        <v>1600.69</v>
      </c>
      <c r="E493" t="s">
        <v>7</v>
      </c>
      <c r="F493" t="s">
        <v>1539</v>
      </c>
      <c r="G493">
        <v>2021</v>
      </c>
      <c r="H493">
        <f>IF(Table1_1[[#This Row],[Type]]="Expense", _xlfn.XLOOKUP(Table1_1[[#This Row],[Category]], Budget_Ref[Category], Budget_Ref[Monthly Budget], 0), 0)</f>
        <v>1500</v>
      </c>
      <c r="I493" t="str">
        <f>IF(Table1_1[[#This Row],[Type]]="Expense", IF(Table1_1[[#This Row],[Amount]]&gt;Table1_1[[#This Row],[Monthly Budget]], "Over Budget", "OK"), "-")</f>
        <v>Over Budget</v>
      </c>
      <c r="J493">
        <f>IF(Table1_1[[#This Row],[Type]]="Income", Table1_1[[#This Row],[Amount]], -Table1_1[[#This Row],[Amount]])</f>
        <v>-1600.69</v>
      </c>
    </row>
    <row r="494" spans="1:10" x14ac:dyDescent="0.25">
      <c r="A494" s="1">
        <v>44445</v>
      </c>
      <c r="B494" t="s">
        <v>509</v>
      </c>
      <c r="C494" t="s">
        <v>17</v>
      </c>
      <c r="D494" s="2">
        <v>1489.18</v>
      </c>
      <c r="E494" t="s">
        <v>7</v>
      </c>
      <c r="F494" t="s">
        <v>1539</v>
      </c>
      <c r="G494">
        <v>2021</v>
      </c>
      <c r="H494">
        <f>IF(Table1_1[[#This Row],[Type]]="Expense", _xlfn.XLOOKUP(Table1_1[[#This Row],[Category]], Budget_Ref[Category], Budget_Ref[Monthly Budget], 0), 0)</f>
        <v>300</v>
      </c>
      <c r="I494" t="str">
        <f>IF(Table1_1[[#This Row],[Type]]="Expense", IF(Table1_1[[#This Row],[Amount]]&gt;Table1_1[[#This Row],[Monthly Budget]], "Over Budget", "OK"), "-")</f>
        <v>Over Budget</v>
      </c>
      <c r="J494">
        <f>IF(Table1_1[[#This Row],[Type]]="Income", Table1_1[[#This Row],[Amount]], -Table1_1[[#This Row],[Amount]])</f>
        <v>-1489.18</v>
      </c>
    </row>
    <row r="495" spans="1:10" x14ac:dyDescent="0.25">
      <c r="A495" s="1">
        <v>44448</v>
      </c>
      <c r="B495" t="s">
        <v>510</v>
      </c>
      <c r="C495" t="s">
        <v>17</v>
      </c>
      <c r="D495" s="2">
        <v>684.68</v>
      </c>
      <c r="E495" t="s">
        <v>7</v>
      </c>
      <c r="F495" t="s">
        <v>1539</v>
      </c>
      <c r="G495">
        <v>2021</v>
      </c>
      <c r="H495">
        <f>IF(Table1_1[[#This Row],[Type]]="Expense", _xlfn.XLOOKUP(Table1_1[[#This Row],[Category]], Budget_Ref[Category], Budget_Ref[Monthly Budget], 0), 0)</f>
        <v>300</v>
      </c>
      <c r="I495" t="str">
        <f>IF(Table1_1[[#This Row],[Type]]="Expense", IF(Table1_1[[#This Row],[Amount]]&gt;Table1_1[[#This Row],[Monthly Budget]], "Over Budget", "OK"), "-")</f>
        <v>Over Budget</v>
      </c>
      <c r="J495">
        <f>IF(Table1_1[[#This Row],[Type]]="Income", Table1_1[[#This Row],[Amount]], -Table1_1[[#This Row],[Amount]])</f>
        <v>-684.68</v>
      </c>
    </row>
    <row r="496" spans="1:10" x14ac:dyDescent="0.25">
      <c r="A496" s="1">
        <v>44448</v>
      </c>
      <c r="B496" t="s">
        <v>511</v>
      </c>
      <c r="C496" t="s">
        <v>20</v>
      </c>
      <c r="D496" s="2">
        <v>3509</v>
      </c>
      <c r="E496" t="s">
        <v>14</v>
      </c>
      <c r="F496" t="s">
        <v>1539</v>
      </c>
      <c r="G496">
        <v>2021</v>
      </c>
      <c r="H496">
        <f>IF(Table1_1[[#This Row],[Type]]="Expense", _xlfn.XLOOKUP(Table1_1[[#This Row],[Category]], Budget_Ref[Category], Budget_Ref[Monthly Budget], 0), 0)</f>
        <v>0</v>
      </c>
      <c r="I496" t="str">
        <f>IF(Table1_1[[#This Row],[Type]]="Expense", IF(Table1_1[[#This Row],[Amount]]&gt;Table1_1[[#This Row],[Monthly Budget]], "Over Budget", "OK"), "-")</f>
        <v>-</v>
      </c>
      <c r="J496">
        <f>IF(Table1_1[[#This Row],[Type]]="Income", Table1_1[[#This Row],[Amount]], -Table1_1[[#This Row],[Amount]])</f>
        <v>3509</v>
      </c>
    </row>
    <row r="497" spans="1:10" x14ac:dyDescent="0.25">
      <c r="A497" s="1">
        <v>44448</v>
      </c>
      <c r="B497" t="s">
        <v>512</v>
      </c>
      <c r="C497" t="s">
        <v>35</v>
      </c>
      <c r="D497" s="2">
        <v>1604.28</v>
      </c>
      <c r="E497" t="s">
        <v>7</v>
      </c>
      <c r="F497" t="s">
        <v>1539</v>
      </c>
      <c r="G497">
        <v>2021</v>
      </c>
      <c r="H497">
        <f>IF(Table1_1[[#This Row],[Type]]="Expense", _xlfn.XLOOKUP(Table1_1[[#This Row],[Category]], Budget_Ref[Category], Budget_Ref[Monthly Budget], 0), 0)</f>
        <v>200</v>
      </c>
      <c r="I497" t="str">
        <f>IF(Table1_1[[#This Row],[Type]]="Expense", IF(Table1_1[[#This Row],[Amount]]&gt;Table1_1[[#This Row],[Monthly Budget]], "Over Budget", "OK"), "-")</f>
        <v>Over Budget</v>
      </c>
      <c r="J497">
        <f>IF(Table1_1[[#This Row],[Type]]="Income", Table1_1[[#This Row],[Amount]], -Table1_1[[#This Row],[Amount]])</f>
        <v>-1604.28</v>
      </c>
    </row>
    <row r="498" spans="1:10" x14ac:dyDescent="0.25">
      <c r="A498" s="1">
        <v>44449</v>
      </c>
      <c r="B498" t="s">
        <v>513</v>
      </c>
      <c r="C498" t="s">
        <v>11</v>
      </c>
      <c r="D498" s="2">
        <v>866.91</v>
      </c>
      <c r="E498" t="s">
        <v>7</v>
      </c>
      <c r="F498" t="s">
        <v>1539</v>
      </c>
      <c r="G498">
        <v>2021</v>
      </c>
      <c r="H498">
        <f>IF(Table1_1[[#This Row],[Type]]="Expense", _xlfn.XLOOKUP(Table1_1[[#This Row],[Category]], Budget_Ref[Category], Budget_Ref[Monthly Budget], 0), 0)</f>
        <v>1500</v>
      </c>
      <c r="I498" t="str">
        <f>IF(Table1_1[[#This Row],[Type]]="Expense", IF(Table1_1[[#This Row],[Amount]]&gt;Table1_1[[#This Row],[Monthly Budget]], "Over Budget", "OK"), "-")</f>
        <v>OK</v>
      </c>
      <c r="J498">
        <f>IF(Table1_1[[#This Row],[Type]]="Income", Table1_1[[#This Row],[Amount]], -Table1_1[[#This Row],[Amount]])</f>
        <v>-866.91</v>
      </c>
    </row>
    <row r="499" spans="1:10" x14ac:dyDescent="0.25">
      <c r="A499" s="1">
        <v>44450</v>
      </c>
      <c r="B499" t="s">
        <v>514</v>
      </c>
      <c r="C499" t="s">
        <v>9</v>
      </c>
      <c r="D499" s="2">
        <v>1095.49</v>
      </c>
      <c r="E499" t="s">
        <v>7</v>
      </c>
      <c r="F499" t="s">
        <v>1539</v>
      </c>
      <c r="G499">
        <v>2021</v>
      </c>
      <c r="H499">
        <f>IF(Table1_1[[#This Row],[Type]]="Expense", _xlfn.XLOOKUP(Table1_1[[#This Row],[Category]], Budget_Ref[Category], Budget_Ref[Monthly Budget], 0), 0)</f>
        <v>150</v>
      </c>
      <c r="I499" t="str">
        <f>IF(Table1_1[[#This Row],[Type]]="Expense", IF(Table1_1[[#This Row],[Amount]]&gt;Table1_1[[#This Row],[Monthly Budget]], "Over Budget", "OK"), "-")</f>
        <v>Over Budget</v>
      </c>
      <c r="J499">
        <f>IF(Table1_1[[#This Row],[Type]]="Income", Table1_1[[#This Row],[Amount]], -Table1_1[[#This Row],[Amount]])</f>
        <v>-1095.49</v>
      </c>
    </row>
    <row r="500" spans="1:10" x14ac:dyDescent="0.25">
      <c r="A500" s="1">
        <v>44450</v>
      </c>
      <c r="B500" t="s">
        <v>515</v>
      </c>
      <c r="C500" t="s">
        <v>11</v>
      </c>
      <c r="D500" s="2">
        <v>662.56</v>
      </c>
      <c r="E500" t="s">
        <v>7</v>
      </c>
      <c r="F500" t="s">
        <v>1539</v>
      </c>
      <c r="G500">
        <v>2021</v>
      </c>
      <c r="H500">
        <f>IF(Table1_1[[#This Row],[Type]]="Expense", _xlfn.XLOOKUP(Table1_1[[#This Row],[Category]], Budget_Ref[Category], Budget_Ref[Monthly Budget], 0), 0)</f>
        <v>1500</v>
      </c>
      <c r="I500" t="str">
        <f>IF(Table1_1[[#This Row],[Type]]="Expense", IF(Table1_1[[#This Row],[Amount]]&gt;Table1_1[[#This Row],[Monthly Budget]], "Over Budget", "OK"), "-")</f>
        <v>OK</v>
      </c>
      <c r="J500">
        <f>IF(Table1_1[[#This Row],[Type]]="Income", Table1_1[[#This Row],[Amount]], -Table1_1[[#This Row],[Amount]])</f>
        <v>-662.56</v>
      </c>
    </row>
    <row r="501" spans="1:10" x14ac:dyDescent="0.25">
      <c r="A501" s="1">
        <v>44450</v>
      </c>
      <c r="B501" t="s">
        <v>516</v>
      </c>
      <c r="C501" t="s">
        <v>27</v>
      </c>
      <c r="D501" s="2">
        <v>1209.22</v>
      </c>
      <c r="E501" t="s">
        <v>14</v>
      </c>
      <c r="F501" t="s">
        <v>1539</v>
      </c>
      <c r="G501">
        <v>2021</v>
      </c>
      <c r="H501">
        <f>IF(Table1_1[[#This Row],[Type]]="Expense", _xlfn.XLOOKUP(Table1_1[[#This Row],[Category]], Budget_Ref[Category], Budget_Ref[Monthly Budget], 0), 0)</f>
        <v>0</v>
      </c>
      <c r="I501" t="str">
        <f>IF(Table1_1[[#This Row],[Type]]="Expense", IF(Table1_1[[#This Row],[Amount]]&gt;Table1_1[[#This Row],[Monthly Budget]], "Over Budget", "OK"), "-")</f>
        <v>-</v>
      </c>
      <c r="J501">
        <f>IF(Table1_1[[#This Row],[Type]]="Income", Table1_1[[#This Row],[Amount]], -Table1_1[[#This Row],[Amount]])</f>
        <v>1209.22</v>
      </c>
    </row>
    <row r="502" spans="1:10" x14ac:dyDescent="0.25">
      <c r="A502" s="1">
        <v>44450</v>
      </c>
      <c r="B502" t="s">
        <v>517</v>
      </c>
      <c r="C502" t="s">
        <v>27</v>
      </c>
      <c r="D502" s="2">
        <v>709.58</v>
      </c>
      <c r="E502" t="s">
        <v>14</v>
      </c>
      <c r="F502" t="s">
        <v>1539</v>
      </c>
      <c r="G502">
        <v>2021</v>
      </c>
      <c r="H502">
        <f>IF(Table1_1[[#This Row],[Type]]="Expense", _xlfn.XLOOKUP(Table1_1[[#This Row],[Category]], Budget_Ref[Category], Budget_Ref[Monthly Budget], 0), 0)</f>
        <v>0</v>
      </c>
      <c r="I502" t="str">
        <f>IF(Table1_1[[#This Row],[Type]]="Expense", IF(Table1_1[[#This Row],[Amount]]&gt;Table1_1[[#This Row],[Monthly Budget]], "Over Budget", "OK"), "-")</f>
        <v>-</v>
      </c>
      <c r="J502">
        <f>IF(Table1_1[[#This Row],[Type]]="Income", Table1_1[[#This Row],[Amount]], -Table1_1[[#This Row],[Amount]])</f>
        <v>709.58</v>
      </c>
    </row>
    <row r="503" spans="1:10" x14ac:dyDescent="0.25">
      <c r="A503" s="1">
        <v>44454</v>
      </c>
      <c r="B503" t="s">
        <v>518</v>
      </c>
      <c r="C503" t="s">
        <v>20</v>
      </c>
      <c r="D503" s="2">
        <v>4063</v>
      </c>
      <c r="E503" t="s">
        <v>14</v>
      </c>
      <c r="F503" t="s">
        <v>1539</v>
      </c>
      <c r="G503">
        <v>2021</v>
      </c>
      <c r="H503">
        <f>IF(Table1_1[[#This Row],[Type]]="Expense", _xlfn.XLOOKUP(Table1_1[[#This Row],[Category]], Budget_Ref[Category], Budget_Ref[Monthly Budget], 0), 0)</f>
        <v>0</v>
      </c>
      <c r="I503" t="str">
        <f>IF(Table1_1[[#This Row],[Type]]="Expense", IF(Table1_1[[#This Row],[Amount]]&gt;Table1_1[[#This Row],[Monthly Budget]], "Over Budget", "OK"), "-")</f>
        <v>-</v>
      </c>
      <c r="J503">
        <f>IF(Table1_1[[#This Row],[Type]]="Income", Table1_1[[#This Row],[Amount]], -Table1_1[[#This Row],[Amount]])</f>
        <v>4063</v>
      </c>
    </row>
    <row r="504" spans="1:10" x14ac:dyDescent="0.25">
      <c r="A504" s="1">
        <v>44455</v>
      </c>
      <c r="B504" t="s">
        <v>519</v>
      </c>
      <c r="C504" t="s">
        <v>6</v>
      </c>
      <c r="D504" s="2">
        <v>159.33000000000001</v>
      </c>
      <c r="E504" t="s">
        <v>7</v>
      </c>
      <c r="F504" t="s">
        <v>1539</v>
      </c>
      <c r="G504">
        <v>2021</v>
      </c>
      <c r="H504">
        <f>IF(Table1_1[[#This Row],[Type]]="Expense", _xlfn.XLOOKUP(Table1_1[[#This Row],[Category]], Budget_Ref[Category], Budget_Ref[Monthly Budget], 0), 0)</f>
        <v>500</v>
      </c>
      <c r="I504" t="str">
        <f>IF(Table1_1[[#This Row],[Type]]="Expense", IF(Table1_1[[#This Row],[Amount]]&gt;Table1_1[[#This Row],[Monthly Budget]], "Over Budget", "OK"), "-")</f>
        <v>OK</v>
      </c>
      <c r="J504">
        <f>IF(Table1_1[[#This Row],[Type]]="Income", Table1_1[[#This Row],[Amount]], -Table1_1[[#This Row],[Amount]])</f>
        <v>-159.33000000000001</v>
      </c>
    </row>
    <row r="505" spans="1:10" x14ac:dyDescent="0.25">
      <c r="A505" s="1">
        <v>44455</v>
      </c>
      <c r="B505" t="s">
        <v>520</v>
      </c>
      <c r="C505" t="s">
        <v>25</v>
      </c>
      <c r="D505" s="2">
        <v>1031.04</v>
      </c>
      <c r="E505" t="s">
        <v>7</v>
      </c>
      <c r="F505" t="s">
        <v>1539</v>
      </c>
      <c r="G505">
        <v>2021</v>
      </c>
      <c r="H505">
        <f>IF(Table1_1[[#This Row],[Type]]="Expense", _xlfn.XLOOKUP(Table1_1[[#This Row],[Category]], Budget_Ref[Category], Budget_Ref[Monthly Budget], 0), 0)</f>
        <v>150</v>
      </c>
      <c r="I505" t="str">
        <f>IF(Table1_1[[#This Row],[Type]]="Expense", IF(Table1_1[[#This Row],[Amount]]&gt;Table1_1[[#This Row],[Monthly Budget]], "Over Budget", "OK"), "-")</f>
        <v>Over Budget</v>
      </c>
      <c r="J505">
        <f>IF(Table1_1[[#This Row],[Type]]="Income", Table1_1[[#This Row],[Amount]], -Table1_1[[#This Row],[Amount]])</f>
        <v>-1031.04</v>
      </c>
    </row>
    <row r="506" spans="1:10" x14ac:dyDescent="0.25">
      <c r="A506" s="1">
        <v>44456</v>
      </c>
      <c r="B506" t="s">
        <v>521</v>
      </c>
      <c r="C506" t="s">
        <v>9</v>
      </c>
      <c r="D506" s="2">
        <v>1906.05</v>
      </c>
      <c r="E506" t="s">
        <v>7</v>
      </c>
      <c r="F506" t="s">
        <v>1539</v>
      </c>
      <c r="G506">
        <v>2021</v>
      </c>
      <c r="H506">
        <f>IF(Table1_1[[#This Row],[Type]]="Expense", _xlfn.XLOOKUP(Table1_1[[#This Row],[Category]], Budget_Ref[Category], Budget_Ref[Monthly Budget], 0), 0)</f>
        <v>150</v>
      </c>
      <c r="I506" t="str">
        <f>IF(Table1_1[[#This Row],[Type]]="Expense", IF(Table1_1[[#This Row],[Amount]]&gt;Table1_1[[#This Row],[Monthly Budget]], "Over Budget", "OK"), "-")</f>
        <v>Over Budget</v>
      </c>
      <c r="J506">
        <f>IF(Table1_1[[#This Row],[Type]]="Income", Table1_1[[#This Row],[Amount]], -Table1_1[[#This Row],[Amount]])</f>
        <v>-1906.05</v>
      </c>
    </row>
    <row r="507" spans="1:10" x14ac:dyDescent="0.25">
      <c r="A507" s="1">
        <v>44456</v>
      </c>
      <c r="B507" t="s">
        <v>522</v>
      </c>
      <c r="C507" t="s">
        <v>20</v>
      </c>
      <c r="D507" s="2">
        <v>785</v>
      </c>
      <c r="E507" t="s">
        <v>14</v>
      </c>
      <c r="F507" t="s">
        <v>1539</v>
      </c>
      <c r="G507">
        <v>2021</v>
      </c>
      <c r="H507">
        <f>IF(Table1_1[[#This Row],[Type]]="Expense", _xlfn.XLOOKUP(Table1_1[[#This Row],[Category]], Budget_Ref[Category], Budget_Ref[Monthly Budget], 0), 0)</f>
        <v>0</v>
      </c>
      <c r="I507" t="str">
        <f>IF(Table1_1[[#This Row],[Type]]="Expense", IF(Table1_1[[#This Row],[Amount]]&gt;Table1_1[[#This Row],[Monthly Budget]], "Over Budget", "OK"), "-")</f>
        <v>-</v>
      </c>
      <c r="J507">
        <f>IF(Table1_1[[#This Row],[Type]]="Income", Table1_1[[#This Row],[Amount]], -Table1_1[[#This Row],[Amount]])</f>
        <v>785</v>
      </c>
    </row>
    <row r="508" spans="1:10" x14ac:dyDescent="0.25">
      <c r="A508" s="1">
        <v>44458</v>
      </c>
      <c r="B508" t="s">
        <v>523</v>
      </c>
      <c r="C508" t="s">
        <v>13</v>
      </c>
      <c r="D508" s="2">
        <v>3500</v>
      </c>
      <c r="E508" t="s">
        <v>14</v>
      </c>
      <c r="F508" t="s">
        <v>1539</v>
      </c>
      <c r="G508">
        <v>2021</v>
      </c>
      <c r="H508">
        <f>IF(Table1_1[[#This Row],[Type]]="Expense", _xlfn.XLOOKUP(Table1_1[[#This Row],[Category]], Budget_Ref[Category], Budget_Ref[Monthly Budget], 0), 0)</f>
        <v>0</v>
      </c>
      <c r="I508" t="str">
        <f>IF(Table1_1[[#This Row],[Type]]="Expense", IF(Table1_1[[#This Row],[Amount]]&gt;Table1_1[[#This Row],[Monthly Budget]], "Over Budget", "OK"), "-")</f>
        <v>-</v>
      </c>
      <c r="J508">
        <f>IF(Table1_1[[#This Row],[Type]]="Income", Table1_1[[#This Row],[Amount]], -Table1_1[[#This Row],[Amount]])</f>
        <v>3500</v>
      </c>
    </row>
    <row r="509" spans="1:10" x14ac:dyDescent="0.25">
      <c r="A509" s="1">
        <v>44458</v>
      </c>
      <c r="B509" t="s">
        <v>524</v>
      </c>
      <c r="C509" t="s">
        <v>6</v>
      </c>
      <c r="D509" s="2">
        <v>1214.1400000000001</v>
      </c>
      <c r="E509" t="s">
        <v>7</v>
      </c>
      <c r="F509" t="s">
        <v>1539</v>
      </c>
      <c r="G509">
        <v>2021</v>
      </c>
      <c r="H509">
        <f>IF(Table1_1[[#This Row],[Type]]="Expense", _xlfn.XLOOKUP(Table1_1[[#This Row],[Category]], Budget_Ref[Category], Budget_Ref[Monthly Budget], 0), 0)</f>
        <v>500</v>
      </c>
      <c r="I509" t="str">
        <f>IF(Table1_1[[#This Row],[Type]]="Expense", IF(Table1_1[[#This Row],[Amount]]&gt;Table1_1[[#This Row],[Monthly Budget]], "Over Budget", "OK"), "-")</f>
        <v>Over Budget</v>
      </c>
      <c r="J509">
        <f>IF(Table1_1[[#This Row],[Type]]="Income", Table1_1[[#This Row],[Amount]], -Table1_1[[#This Row],[Amount]])</f>
        <v>-1214.1400000000001</v>
      </c>
    </row>
    <row r="510" spans="1:10" x14ac:dyDescent="0.25">
      <c r="A510" s="1">
        <v>44458</v>
      </c>
      <c r="B510" t="s">
        <v>525</v>
      </c>
      <c r="C510" t="s">
        <v>25</v>
      </c>
      <c r="D510" s="2">
        <v>750.31</v>
      </c>
      <c r="E510" t="s">
        <v>7</v>
      </c>
      <c r="F510" t="s">
        <v>1539</v>
      </c>
      <c r="G510">
        <v>2021</v>
      </c>
      <c r="H510">
        <f>IF(Table1_1[[#This Row],[Type]]="Expense", _xlfn.XLOOKUP(Table1_1[[#This Row],[Category]], Budget_Ref[Category], Budget_Ref[Monthly Budget], 0), 0)</f>
        <v>150</v>
      </c>
      <c r="I510" t="str">
        <f>IF(Table1_1[[#This Row],[Type]]="Expense", IF(Table1_1[[#This Row],[Amount]]&gt;Table1_1[[#This Row],[Monthly Budget]], "Over Budget", "OK"), "-")</f>
        <v>Over Budget</v>
      </c>
      <c r="J510">
        <f>IF(Table1_1[[#This Row],[Type]]="Income", Table1_1[[#This Row],[Amount]], -Table1_1[[#This Row],[Amount]])</f>
        <v>-750.31</v>
      </c>
    </row>
    <row r="511" spans="1:10" x14ac:dyDescent="0.25">
      <c r="A511" s="1">
        <v>44458</v>
      </c>
      <c r="B511" t="s">
        <v>526</v>
      </c>
      <c r="C511" t="s">
        <v>9</v>
      </c>
      <c r="D511" s="2">
        <v>1063.6300000000001</v>
      </c>
      <c r="E511" t="s">
        <v>7</v>
      </c>
      <c r="F511" t="s">
        <v>1539</v>
      </c>
      <c r="G511">
        <v>2021</v>
      </c>
      <c r="H511">
        <f>IF(Table1_1[[#This Row],[Type]]="Expense", _xlfn.XLOOKUP(Table1_1[[#This Row],[Category]], Budget_Ref[Category], Budget_Ref[Monthly Budget], 0), 0)</f>
        <v>150</v>
      </c>
      <c r="I511" t="str">
        <f>IF(Table1_1[[#This Row],[Type]]="Expense", IF(Table1_1[[#This Row],[Amount]]&gt;Table1_1[[#This Row],[Monthly Budget]], "Over Budget", "OK"), "-")</f>
        <v>Over Budget</v>
      </c>
      <c r="J511">
        <f>IF(Table1_1[[#This Row],[Type]]="Income", Table1_1[[#This Row],[Amount]], -Table1_1[[#This Row],[Amount]])</f>
        <v>-1063.6300000000001</v>
      </c>
    </row>
    <row r="512" spans="1:10" x14ac:dyDescent="0.25">
      <c r="A512" s="1">
        <v>44459</v>
      </c>
      <c r="B512" t="s">
        <v>527</v>
      </c>
      <c r="C512" t="s">
        <v>35</v>
      </c>
      <c r="D512" s="2">
        <v>506.73</v>
      </c>
      <c r="E512" t="s">
        <v>7</v>
      </c>
      <c r="F512" t="s">
        <v>1539</v>
      </c>
      <c r="G512">
        <v>2021</v>
      </c>
      <c r="H512">
        <f>IF(Table1_1[[#This Row],[Type]]="Expense", _xlfn.XLOOKUP(Table1_1[[#This Row],[Category]], Budget_Ref[Category], Budget_Ref[Monthly Budget], 0), 0)</f>
        <v>200</v>
      </c>
      <c r="I512" t="str">
        <f>IF(Table1_1[[#This Row],[Type]]="Expense", IF(Table1_1[[#This Row],[Amount]]&gt;Table1_1[[#This Row],[Monthly Budget]], "Over Budget", "OK"), "-")</f>
        <v>Over Budget</v>
      </c>
      <c r="J512">
        <f>IF(Table1_1[[#This Row],[Type]]="Income", Table1_1[[#This Row],[Amount]], -Table1_1[[#This Row],[Amount]])</f>
        <v>-506.73</v>
      </c>
    </row>
    <row r="513" spans="1:10" x14ac:dyDescent="0.25">
      <c r="A513" s="1">
        <v>44460</v>
      </c>
      <c r="B513" t="s">
        <v>528</v>
      </c>
      <c r="C513" t="s">
        <v>13</v>
      </c>
      <c r="D513" s="2">
        <v>4588</v>
      </c>
      <c r="E513" t="s">
        <v>14</v>
      </c>
      <c r="F513" t="s">
        <v>1539</v>
      </c>
      <c r="G513">
        <v>2021</v>
      </c>
      <c r="H513">
        <f>IF(Table1_1[[#This Row],[Type]]="Expense", _xlfn.XLOOKUP(Table1_1[[#This Row],[Category]], Budget_Ref[Category], Budget_Ref[Monthly Budget], 0), 0)</f>
        <v>0</v>
      </c>
      <c r="I513" t="str">
        <f>IF(Table1_1[[#This Row],[Type]]="Expense", IF(Table1_1[[#This Row],[Amount]]&gt;Table1_1[[#This Row],[Monthly Budget]], "Over Budget", "OK"), "-")</f>
        <v>-</v>
      </c>
      <c r="J513">
        <f>IF(Table1_1[[#This Row],[Type]]="Income", Table1_1[[#This Row],[Amount]], -Table1_1[[#This Row],[Amount]])</f>
        <v>4588</v>
      </c>
    </row>
    <row r="514" spans="1:10" x14ac:dyDescent="0.25">
      <c r="A514" s="1">
        <v>44467</v>
      </c>
      <c r="B514" t="s">
        <v>529</v>
      </c>
      <c r="C514" t="s">
        <v>11</v>
      </c>
      <c r="D514" s="2">
        <v>530.94000000000005</v>
      </c>
      <c r="E514" t="s">
        <v>7</v>
      </c>
      <c r="F514" t="s">
        <v>1539</v>
      </c>
      <c r="G514">
        <v>2021</v>
      </c>
      <c r="H514">
        <f>IF(Table1_1[[#This Row],[Type]]="Expense", _xlfn.XLOOKUP(Table1_1[[#This Row],[Category]], Budget_Ref[Category], Budget_Ref[Monthly Budget], 0), 0)</f>
        <v>1500</v>
      </c>
      <c r="I514" t="str">
        <f>IF(Table1_1[[#This Row],[Type]]="Expense", IF(Table1_1[[#This Row],[Amount]]&gt;Table1_1[[#This Row],[Monthly Budget]], "Over Budget", "OK"), "-")</f>
        <v>OK</v>
      </c>
      <c r="J514">
        <f>IF(Table1_1[[#This Row],[Type]]="Income", Table1_1[[#This Row],[Amount]], -Table1_1[[#This Row],[Amount]])</f>
        <v>-530.94000000000005</v>
      </c>
    </row>
    <row r="515" spans="1:10" x14ac:dyDescent="0.25">
      <c r="A515" s="1">
        <v>44470</v>
      </c>
      <c r="B515" t="s">
        <v>530</v>
      </c>
      <c r="C515" t="s">
        <v>27</v>
      </c>
      <c r="D515" s="2">
        <v>437</v>
      </c>
      <c r="E515" t="s">
        <v>14</v>
      </c>
      <c r="F515" t="s">
        <v>1540</v>
      </c>
      <c r="G515">
        <v>2021</v>
      </c>
      <c r="H515">
        <f>IF(Table1_1[[#This Row],[Type]]="Expense", _xlfn.XLOOKUP(Table1_1[[#This Row],[Category]], Budget_Ref[Category], Budget_Ref[Monthly Budget], 0), 0)</f>
        <v>0</v>
      </c>
      <c r="I515" t="str">
        <f>IF(Table1_1[[#This Row],[Type]]="Expense", IF(Table1_1[[#This Row],[Amount]]&gt;Table1_1[[#This Row],[Monthly Budget]], "Over Budget", "OK"), "-")</f>
        <v>-</v>
      </c>
      <c r="J515">
        <f>IF(Table1_1[[#This Row],[Type]]="Income", Table1_1[[#This Row],[Amount]], -Table1_1[[#This Row],[Amount]])</f>
        <v>437</v>
      </c>
    </row>
    <row r="516" spans="1:10" x14ac:dyDescent="0.25">
      <c r="A516" s="1">
        <v>44476</v>
      </c>
      <c r="B516" t="s">
        <v>531</v>
      </c>
      <c r="C516" t="s">
        <v>27</v>
      </c>
      <c r="D516" s="2">
        <v>408.35</v>
      </c>
      <c r="E516" t="s">
        <v>14</v>
      </c>
      <c r="F516" t="s">
        <v>1540</v>
      </c>
      <c r="G516">
        <v>2021</v>
      </c>
      <c r="H516">
        <f>IF(Table1_1[[#This Row],[Type]]="Expense", _xlfn.XLOOKUP(Table1_1[[#This Row],[Category]], Budget_Ref[Category], Budget_Ref[Monthly Budget], 0), 0)</f>
        <v>0</v>
      </c>
      <c r="I516" t="str">
        <f>IF(Table1_1[[#This Row],[Type]]="Expense", IF(Table1_1[[#This Row],[Amount]]&gt;Table1_1[[#This Row],[Monthly Budget]], "Over Budget", "OK"), "-")</f>
        <v>-</v>
      </c>
      <c r="J516">
        <f>IF(Table1_1[[#This Row],[Type]]="Income", Table1_1[[#This Row],[Amount]], -Table1_1[[#This Row],[Amount]])</f>
        <v>408.35</v>
      </c>
    </row>
    <row r="517" spans="1:10" x14ac:dyDescent="0.25">
      <c r="A517" s="1">
        <v>44477</v>
      </c>
      <c r="B517" t="s">
        <v>532</v>
      </c>
      <c r="C517" t="s">
        <v>13</v>
      </c>
      <c r="D517" s="2">
        <v>4203</v>
      </c>
      <c r="E517" t="s">
        <v>14</v>
      </c>
      <c r="F517" t="s">
        <v>1540</v>
      </c>
      <c r="G517">
        <v>2021</v>
      </c>
      <c r="H517">
        <f>IF(Table1_1[[#This Row],[Type]]="Expense", _xlfn.XLOOKUP(Table1_1[[#This Row],[Category]], Budget_Ref[Category], Budget_Ref[Monthly Budget], 0), 0)</f>
        <v>0</v>
      </c>
      <c r="I517" t="str">
        <f>IF(Table1_1[[#This Row],[Type]]="Expense", IF(Table1_1[[#This Row],[Amount]]&gt;Table1_1[[#This Row],[Monthly Budget]], "Over Budget", "OK"), "-")</f>
        <v>-</v>
      </c>
      <c r="J517">
        <f>IF(Table1_1[[#This Row],[Type]]="Income", Table1_1[[#This Row],[Amount]], -Table1_1[[#This Row],[Amount]])</f>
        <v>4203</v>
      </c>
    </row>
    <row r="518" spans="1:10" x14ac:dyDescent="0.25">
      <c r="A518" s="1">
        <v>44482</v>
      </c>
      <c r="B518" t="s">
        <v>533</v>
      </c>
      <c r="C518" t="s">
        <v>20</v>
      </c>
      <c r="D518" s="2">
        <v>1219</v>
      </c>
      <c r="E518" t="s">
        <v>14</v>
      </c>
      <c r="F518" t="s">
        <v>1540</v>
      </c>
      <c r="G518">
        <v>2021</v>
      </c>
      <c r="H518">
        <f>IF(Table1_1[[#This Row],[Type]]="Expense", _xlfn.XLOOKUP(Table1_1[[#This Row],[Category]], Budget_Ref[Category], Budget_Ref[Monthly Budget], 0), 0)</f>
        <v>0</v>
      </c>
      <c r="I518" t="str">
        <f>IF(Table1_1[[#This Row],[Type]]="Expense", IF(Table1_1[[#This Row],[Amount]]&gt;Table1_1[[#This Row],[Monthly Budget]], "Over Budget", "OK"), "-")</f>
        <v>-</v>
      </c>
      <c r="J518">
        <f>IF(Table1_1[[#This Row],[Type]]="Income", Table1_1[[#This Row],[Amount]], -Table1_1[[#This Row],[Amount]])</f>
        <v>1219</v>
      </c>
    </row>
    <row r="519" spans="1:10" x14ac:dyDescent="0.25">
      <c r="A519" s="1">
        <v>44482</v>
      </c>
      <c r="B519" t="s">
        <v>534</v>
      </c>
      <c r="C519" t="s">
        <v>25</v>
      </c>
      <c r="D519" s="2">
        <v>1339</v>
      </c>
      <c r="E519" t="s">
        <v>7</v>
      </c>
      <c r="F519" t="s">
        <v>1540</v>
      </c>
      <c r="G519">
        <v>2021</v>
      </c>
      <c r="H519">
        <f>IF(Table1_1[[#This Row],[Type]]="Expense", _xlfn.XLOOKUP(Table1_1[[#This Row],[Category]], Budget_Ref[Category], Budget_Ref[Monthly Budget], 0), 0)</f>
        <v>150</v>
      </c>
      <c r="I519" t="str">
        <f>IF(Table1_1[[#This Row],[Type]]="Expense", IF(Table1_1[[#This Row],[Amount]]&gt;Table1_1[[#This Row],[Monthly Budget]], "Over Budget", "OK"), "-")</f>
        <v>Over Budget</v>
      </c>
      <c r="J519">
        <f>IF(Table1_1[[#This Row],[Type]]="Income", Table1_1[[#This Row],[Amount]], -Table1_1[[#This Row],[Amount]])</f>
        <v>-1339</v>
      </c>
    </row>
    <row r="520" spans="1:10" x14ac:dyDescent="0.25">
      <c r="A520" s="1">
        <v>44482</v>
      </c>
      <c r="B520" t="s">
        <v>535</v>
      </c>
      <c r="C520" t="s">
        <v>35</v>
      </c>
      <c r="D520" s="2">
        <v>1783.75</v>
      </c>
      <c r="E520" t="s">
        <v>7</v>
      </c>
      <c r="F520" t="s">
        <v>1540</v>
      </c>
      <c r="G520">
        <v>2021</v>
      </c>
      <c r="H520">
        <f>IF(Table1_1[[#This Row],[Type]]="Expense", _xlfn.XLOOKUP(Table1_1[[#This Row],[Category]], Budget_Ref[Category], Budget_Ref[Monthly Budget], 0), 0)</f>
        <v>200</v>
      </c>
      <c r="I520" t="str">
        <f>IF(Table1_1[[#This Row],[Type]]="Expense", IF(Table1_1[[#This Row],[Amount]]&gt;Table1_1[[#This Row],[Monthly Budget]], "Over Budget", "OK"), "-")</f>
        <v>Over Budget</v>
      </c>
      <c r="J520">
        <f>IF(Table1_1[[#This Row],[Type]]="Income", Table1_1[[#This Row],[Amount]], -Table1_1[[#This Row],[Amount]])</f>
        <v>-1783.75</v>
      </c>
    </row>
    <row r="521" spans="1:10" x14ac:dyDescent="0.25">
      <c r="A521" s="1">
        <v>44485</v>
      </c>
      <c r="B521" t="s">
        <v>536</v>
      </c>
      <c r="C521" t="s">
        <v>9</v>
      </c>
      <c r="D521" s="2">
        <v>1589.46</v>
      </c>
      <c r="E521" t="s">
        <v>7</v>
      </c>
      <c r="F521" t="s">
        <v>1540</v>
      </c>
      <c r="G521">
        <v>2021</v>
      </c>
      <c r="H521">
        <f>IF(Table1_1[[#This Row],[Type]]="Expense", _xlfn.XLOOKUP(Table1_1[[#This Row],[Category]], Budget_Ref[Category], Budget_Ref[Monthly Budget], 0), 0)</f>
        <v>150</v>
      </c>
      <c r="I521" t="str">
        <f>IF(Table1_1[[#This Row],[Type]]="Expense", IF(Table1_1[[#This Row],[Amount]]&gt;Table1_1[[#This Row],[Monthly Budget]], "Over Budget", "OK"), "-")</f>
        <v>Over Budget</v>
      </c>
      <c r="J521">
        <f>IF(Table1_1[[#This Row],[Type]]="Income", Table1_1[[#This Row],[Amount]], -Table1_1[[#This Row],[Amount]])</f>
        <v>-1589.46</v>
      </c>
    </row>
    <row r="522" spans="1:10" x14ac:dyDescent="0.25">
      <c r="A522" s="1">
        <v>44489</v>
      </c>
      <c r="B522" t="s">
        <v>537</v>
      </c>
      <c r="C522" t="s">
        <v>11</v>
      </c>
      <c r="D522" s="2">
        <v>1970.41</v>
      </c>
      <c r="E522" t="s">
        <v>7</v>
      </c>
      <c r="F522" t="s">
        <v>1540</v>
      </c>
      <c r="G522">
        <v>2021</v>
      </c>
      <c r="H522">
        <f>IF(Table1_1[[#This Row],[Type]]="Expense", _xlfn.XLOOKUP(Table1_1[[#This Row],[Category]], Budget_Ref[Category], Budget_Ref[Monthly Budget], 0), 0)</f>
        <v>1500</v>
      </c>
      <c r="I522" t="str">
        <f>IF(Table1_1[[#This Row],[Type]]="Expense", IF(Table1_1[[#This Row],[Amount]]&gt;Table1_1[[#This Row],[Monthly Budget]], "Over Budget", "OK"), "-")</f>
        <v>Over Budget</v>
      </c>
      <c r="J522">
        <f>IF(Table1_1[[#This Row],[Type]]="Income", Table1_1[[#This Row],[Amount]], -Table1_1[[#This Row],[Amount]])</f>
        <v>-1970.41</v>
      </c>
    </row>
    <row r="523" spans="1:10" x14ac:dyDescent="0.25">
      <c r="A523" s="1">
        <v>44490</v>
      </c>
      <c r="B523" t="s">
        <v>538</v>
      </c>
      <c r="C523" t="s">
        <v>22</v>
      </c>
      <c r="D523" s="2">
        <v>1582.84</v>
      </c>
      <c r="E523" t="s">
        <v>7</v>
      </c>
      <c r="F523" t="s">
        <v>1540</v>
      </c>
      <c r="G523">
        <v>2021</v>
      </c>
      <c r="H523">
        <f>IF(Table1_1[[#This Row],[Type]]="Expense", _xlfn.XLOOKUP(Table1_1[[#This Row],[Category]], Budget_Ref[Category], Budget_Ref[Monthly Budget], 0), 0)</f>
        <v>200</v>
      </c>
      <c r="I523" t="str">
        <f>IF(Table1_1[[#This Row],[Type]]="Expense", IF(Table1_1[[#This Row],[Amount]]&gt;Table1_1[[#This Row],[Monthly Budget]], "Over Budget", "OK"), "-")</f>
        <v>Over Budget</v>
      </c>
      <c r="J523">
        <f>IF(Table1_1[[#This Row],[Type]]="Income", Table1_1[[#This Row],[Amount]], -Table1_1[[#This Row],[Amount]])</f>
        <v>-1582.84</v>
      </c>
    </row>
    <row r="524" spans="1:10" x14ac:dyDescent="0.25">
      <c r="A524" s="1">
        <v>44491</v>
      </c>
      <c r="B524" t="s">
        <v>539</v>
      </c>
      <c r="C524" t="s">
        <v>20</v>
      </c>
      <c r="D524" s="2">
        <v>4328</v>
      </c>
      <c r="E524" t="s">
        <v>14</v>
      </c>
      <c r="F524" t="s">
        <v>1540</v>
      </c>
      <c r="G524">
        <v>2021</v>
      </c>
      <c r="H524">
        <f>IF(Table1_1[[#This Row],[Type]]="Expense", _xlfn.XLOOKUP(Table1_1[[#This Row],[Category]], Budget_Ref[Category], Budget_Ref[Monthly Budget], 0), 0)</f>
        <v>0</v>
      </c>
      <c r="I524" t="str">
        <f>IF(Table1_1[[#This Row],[Type]]="Expense", IF(Table1_1[[#This Row],[Amount]]&gt;Table1_1[[#This Row],[Monthly Budget]], "Over Budget", "OK"), "-")</f>
        <v>-</v>
      </c>
      <c r="J524">
        <f>IF(Table1_1[[#This Row],[Type]]="Income", Table1_1[[#This Row],[Amount]], -Table1_1[[#This Row],[Amount]])</f>
        <v>4328</v>
      </c>
    </row>
    <row r="525" spans="1:10" x14ac:dyDescent="0.25">
      <c r="A525" s="1">
        <v>44493</v>
      </c>
      <c r="B525" t="s">
        <v>540</v>
      </c>
      <c r="C525" t="s">
        <v>9</v>
      </c>
      <c r="D525" s="2">
        <v>1227.78</v>
      </c>
      <c r="E525" t="s">
        <v>7</v>
      </c>
      <c r="F525" t="s">
        <v>1540</v>
      </c>
      <c r="G525">
        <v>2021</v>
      </c>
      <c r="H525">
        <f>IF(Table1_1[[#This Row],[Type]]="Expense", _xlfn.XLOOKUP(Table1_1[[#This Row],[Category]], Budget_Ref[Category], Budget_Ref[Monthly Budget], 0), 0)</f>
        <v>150</v>
      </c>
      <c r="I525" t="str">
        <f>IF(Table1_1[[#This Row],[Type]]="Expense", IF(Table1_1[[#This Row],[Amount]]&gt;Table1_1[[#This Row],[Monthly Budget]], "Over Budget", "OK"), "-")</f>
        <v>Over Budget</v>
      </c>
      <c r="J525">
        <f>IF(Table1_1[[#This Row],[Type]]="Income", Table1_1[[#This Row],[Amount]], -Table1_1[[#This Row],[Amount]])</f>
        <v>-1227.78</v>
      </c>
    </row>
    <row r="526" spans="1:10" x14ac:dyDescent="0.25">
      <c r="A526" s="1">
        <v>44493</v>
      </c>
      <c r="B526" t="s">
        <v>541</v>
      </c>
      <c r="C526" t="s">
        <v>20</v>
      </c>
      <c r="D526" s="2">
        <v>3761</v>
      </c>
      <c r="E526" t="s">
        <v>14</v>
      </c>
      <c r="F526" t="s">
        <v>1540</v>
      </c>
      <c r="G526">
        <v>2021</v>
      </c>
      <c r="H526">
        <f>IF(Table1_1[[#This Row],[Type]]="Expense", _xlfn.XLOOKUP(Table1_1[[#This Row],[Category]], Budget_Ref[Category], Budget_Ref[Monthly Budget], 0), 0)</f>
        <v>0</v>
      </c>
      <c r="I526" t="str">
        <f>IF(Table1_1[[#This Row],[Type]]="Expense", IF(Table1_1[[#This Row],[Amount]]&gt;Table1_1[[#This Row],[Monthly Budget]], "Over Budget", "OK"), "-")</f>
        <v>-</v>
      </c>
      <c r="J526">
        <f>IF(Table1_1[[#This Row],[Type]]="Income", Table1_1[[#This Row],[Amount]], -Table1_1[[#This Row],[Amount]])</f>
        <v>3761</v>
      </c>
    </row>
    <row r="527" spans="1:10" x14ac:dyDescent="0.25">
      <c r="A527" s="1">
        <v>44496</v>
      </c>
      <c r="B527" t="s">
        <v>542</v>
      </c>
      <c r="C527" t="s">
        <v>27</v>
      </c>
      <c r="D527" s="2">
        <v>1056.1300000000001</v>
      </c>
      <c r="E527" t="s">
        <v>14</v>
      </c>
      <c r="F527" t="s">
        <v>1540</v>
      </c>
      <c r="G527">
        <v>2021</v>
      </c>
      <c r="H527">
        <f>IF(Table1_1[[#This Row],[Type]]="Expense", _xlfn.XLOOKUP(Table1_1[[#This Row],[Category]], Budget_Ref[Category], Budget_Ref[Monthly Budget], 0), 0)</f>
        <v>0</v>
      </c>
      <c r="I527" t="str">
        <f>IF(Table1_1[[#This Row],[Type]]="Expense", IF(Table1_1[[#This Row],[Amount]]&gt;Table1_1[[#This Row],[Monthly Budget]], "Over Budget", "OK"), "-")</f>
        <v>-</v>
      </c>
      <c r="J527">
        <f>IF(Table1_1[[#This Row],[Type]]="Income", Table1_1[[#This Row],[Amount]], -Table1_1[[#This Row],[Amount]])</f>
        <v>1056.1300000000001</v>
      </c>
    </row>
    <row r="528" spans="1:10" x14ac:dyDescent="0.25">
      <c r="A528" s="1">
        <v>44496</v>
      </c>
      <c r="B528" t="s">
        <v>543</v>
      </c>
      <c r="C528" t="s">
        <v>11</v>
      </c>
      <c r="D528" s="2">
        <v>259.39999999999998</v>
      </c>
      <c r="E528" t="s">
        <v>7</v>
      </c>
      <c r="F528" t="s">
        <v>1540</v>
      </c>
      <c r="G528">
        <v>2021</v>
      </c>
      <c r="H528">
        <f>IF(Table1_1[[#This Row],[Type]]="Expense", _xlfn.XLOOKUP(Table1_1[[#This Row],[Category]], Budget_Ref[Category], Budget_Ref[Monthly Budget], 0), 0)</f>
        <v>1500</v>
      </c>
      <c r="I528" t="str">
        <f>IF(Table1_1[[#This Row],[Type]]="Expense", IF(Table1_1[[#This Row],[Amount]]&gt;Table1_1[[#This Row],[Monthly Budget]], "Over Budget", "OK"), "-")</f>
        <v>OK</v>
      </c>
      <c r="J528">
        <f>IF(Table1_1[[#This Row],[Type]]="Income", Table1_1[[#This Row],[Amount]], -Table1_1[[#This Row],[Amount]])</f>
        <v>-259.39999999999998</v>
      </c>
    </row>
    <row r="529" spans="1:10" x14ac:dyDescent="0.25">
      <c r="A529" s="1">
        <v>44499</v>
      </c>
      <c r="B529" t="s">
        <v>544</v>
      </c>
      <c r="C529" t="s">
        <v>11</v>
      </c>
      <c r="D529" s="2">
        <v>905.45</v>
      </c>
      <c r="E529" t="s">
        <v>7</v>
      </c>
      <c r="F529" t="s">
        <v>1540</v>
      </c>
      <c r="G529">
        <v>2021</v>
      </c>
      <c r="H529">
        <f>IF(Table1_1[[#This Row],[Type]]="Expense", _xlfn.XLOOKUP(Table1_1[[#This Row],[Category]], Budget_Ref[Category], Budget_Ref[Monthly Budget], 0), 0)</f>
        <v>1500</v>
      </c>
      <c r="I529" t="str">
        <f>IF(Table1_1[[#This Row],[Type]]="Expense", IF(Table1_1[[#This Row],[Amount]]&gt;Table1_1[[#This Row],[Monthly Budget]], "Over Budget", "OK"), "-")</f>
        <v>OK</v>
      </c>
      <c r="J529">
        <f>IF(Table1_1[[#This Row],[Type]]="Income", Table1_1[[#This Row],[Amount]], -Table1_1[[#This Row],[Amount]])</f>
        <v>-905.45</v>
      </c>
    </row>
    <row r="530" spans="1:10" x14ac:dyDescent="0.25">
      <c r="A530" s="1">
        <v>44503</v>
      </c>
      <c r="B530" t="s">
        <v>545</v>
      </c>
      <c r="C530" t="s">
        <v>25</v>
      </c>
      <c r="D530" s="2">
        <v>265.39</v>
      </c>
      <c r="E530" t="s">
        <v>7</v>
      </c>
      <c r="F530" t="s">
        <v>1541</v>
      </c>
      <c r="G530">
        <v>2021</v>
      </c>
      <c r="H530">
        <f>IF(Table1_1[[#This Row],[Type]]="Expense", _xlfn.XLOOKUP(Table1_1[[#This Row],[Category]], Budget_Ref[Category], Budget_Ref[Monthly Budget], 0), 0)</f>
        <v>150</v>
      </c>
      <c r="I530" t="str">
        <f>IF(Table1_1[[#This Row],[Type]]="Expense", IF(Table1_1[[#This Row],[Amount]]&gt;Table1_1[[#This Row],[Monthly Budget]], "Over Budget", "OK"), "-")</f>
        <v>Over Budget</v>
      </c>
      <c r="J530">
        <f>IF(Table1_1[[#This Row],[Type]]="Income", Table1_1[[#This Row],[Amount]], -Table1_1[[#This Row],[Amount]])</f>
        <v>-265.39</v>
      </c>
    </row>
    <row r="531" spans="1:10" x14ac:dyDescent="0.25">
      <c r="A531" s="1">
        <v>44504</v>
      </c>
      <c r="B531" t="s">
        <v>546</v>
      </c>
      <c r="C531" t="s">
        <v>9</v>
      </c>
      <c r="D531" s="2">
        <v>1537.89</v>
      </c>
      <c r="E531" t="s">
        <v>7</v>
      </c>
      <c r="F531" t="s">
        <v>1541</v>
      </c>
      <c r="G531">
        <v>2021</v>
      </c>
      <c r="H531">
        <f>IF(Table1_1[[#This Row],[Type]]="Expense", _xlfn.XLOOKUP(Table1_1[[#This Row],[Category]], Budget_Ref[Category], Budget_Ref[Monthly Budget], 0), 0)</f>
        <v>150</v>
      </c>
      <c r="I531" t="str">
        <f>IF(Table1_1[[#This Row],[Type]]="Expense", IF(Table1_1[[#This Row],[Amount]]&gt;Table1_1[[#This Row],[Monthly Budget]], "Over Budget", "OK"), "-")</f>
        <v>Over Budget</v>
      </c>
      <c r="J531">
        <f>IF(Table1_1[[#This Row],[Type]]="Income", Table1_1[[#This Row],[Amount]], -Table1_1[[#This Row],[Amount]])</f>
        <v>-1537.89</v>
      </c>
    </row>
    <row r="532" spans="1:10" x14ac:dyDescent="0.25">
      <c r="A532" s="1">
        <v>44505</v>
      </c>
      <c r="B532" t="s">
        <v>547</v>
      </c>
      <c r="C532" t="s">
        <v>13</v>
      </c>
      <c r="D532" s="2">
        <v>1517</v>
      </c>
      <c r="E532" t="s">
        <v>14</v>
      </c>
      <c r="F532" t="s">
        <v>1541</v>
      </c>
      <c r="G532">
        <v>2021</v>
      </c>
      <c r="H532">
        <f>IF(Table1_1[[#This Row],[Type]]="Expense", _xlfn.XLOOKUP(Table1_1[[#This Row],[Category]], Budget_Ref[Category], Budget_Ref[Monthly Budget], 0), 0)</f>
        <v>0</v>
      </c>
      <c r="I532" t="str">
        <f>IF(Table1_1[[#This Row],[Type]]="Expense", IF(Table1_1[[#This Row],[Amount]]&gt;Table1_1[[#This Row],[Monthly Budget]], "Over Budget", "OK"), "-")</f>
        <v>-</v>
      </c>
      <c r="J532">
        <f>IF(Table1_1[[#This Row],[Type]]="Income", Table1_1[[#This Row],[Amount]], -Table1_1[[#This Row],[Amount]])</f>
        <v>1517</v>
      </c>
    </row>
    <row r="533" spans="1:10" x14ac:dyDescent="0.25">
      <c r="A533" s="1">
        <v>44505</v>
      </c>
      <c r="B533" t="s">
        <v>548</v>
      </c>
      <c r="C533" t="s">
        <v>35</v>
      </c>
      <c r="D533" s="2">
        <v>337.67</v>
      </c>
      <c r="E533" t="s">
        <v>7</v>
      </c>
      <c r="F533" t="s">
        <v>1541</v>
      </c>
      <c r="G533">
        <v>2021</v>
      </c>
      <c r="H533">
        <f>IF(Table1_1[[#This Row],[Type]]="Expense", _xlfn.XLOOKUP(Table1_1[[#This Row],[Category]], Budget_Ref[Category], Budget_Ref[Monthly Budget], 0), 0)</f>
        <v>200</v>
      </c>
      <c r="I533" t="str">
        <f>IF(Table1_1[[#This Row],[Type]]="Expense", IF(Table1_1[[#This Row],[Amount]]&gt;Table1_1[[#This Row],[Monthly Budget]], "Over Budget", "OK"), "-")</f>
        <v>Over Budget</v>
      </c>
      <c r="J533">
        <f>IF(Table1_1[[#This Row],[Type]]="Income", Table1_1[[#This Row],[Amount]], -Table1_1[[#This Row],[Amount]])</f>
        <v>-337.67</v>
      </c>
    </row>
    <row r="534" spans="1:10" x14ac:dyDescent="0.25">
      <c r="A534" s="1">
        <v>44506</v>
      </c>
      <c r="B534" t="s">
        <v>549</v>
      </c>
      <c r="C534" t="s">
        <v>22</v>
      </c>
      <c r="D534" s="2">
        <v>698.59</v>
      </c>
      <c r="E534" t="s">
        <v>7</v>
      </c>
      <c r="F534" t="s">
        <v>1541</v>
      </c>
      <c r="G534">
        <v>2021</v>
      </c>
      <c r="H534">
        <f>IF(Table1_1[[#This Row],[Type]]="Expense", _xlfn.XLOOKUP(Table1_1[[#This Row],[Category]], Budget_Ref[Category], Budget_Ref[Monthly Budget], 0), 0)</f>
        <v>200</v>
      </c>
      <c r="I534" t="str">
        <f>IF(Table1_1[[#This Row],[Type]]="Expense", IF(Table1_1[[#This Row],[Amount]]&gt;Table1_1[[#This Row],[Monthly Budget]], "Over Budget", "OK"), "-")</f>
        <v>Over Budget</v>
      </c>
      <c r="J534">
        <f>IF(Table1_1[[#This Row],[Type]]="Income", Table1_1[[#This Row],[Amount]], -Table1_1[[#This Row],[Amount]])</f>
        <v>-698.59</v>
      </c>
    </row>
    <row r="535" spans="1:10" x14ac:dyDescent="0.25">
      <c r="A535" s="1">
        <v>44507</v>
      </c>
      <c r="B535" t="s">
        <v>550</v>
      </c>
      <c r="C535" t="s">
        <v>35</v>
      </c>
      <c r="D535" s="2">
        <v>1693.41</v>
      </c>
      <c r="E535" t="s">
        <v>7</v>
      </c>
      <c r="F535" t="s">
        <v>1541</v>
      </c>
      <c r="G535">
        <v>2021</v>
      </c>
      <c r="H535">
        <f>IF(Table1_1[[#This Row],[Type]]="Expense", _xlfn.XLOOKUP(Table1_1[[#This Row],[Category]], Budget_Ref[Category], Budget_Ref[Monthly Budget], 0), 0)</f>
        <v>200</v>
      </c>
      <c r="I535" t="str">
        <f>IF(Table1_1[[#This Row],[Type]]="Expense", IF(Table1_1[[#This Row],[Amount]]&gt;Table1_1[[#This Row],[Monthly Budget]], "Over Budget", "OK"), "-")</f>
        <v>Over Budget</v>
      </c>
      <c r="J535">
        <f>IF(Table1_1[[#This Row],[Type]]="Income", Table1_1[[#This Row],[Amount]], -Table1_1[[#This Row],[Amount]])</f>
        <v>-1693.41</v>
      </c>
    </row>
    <row r="536" spans="1:10" x14ac:dyDescent="0.25">
      <c r="A536" s="1">
        <v>44510</v>
      </c>
      <c r="B536" t="s">
        <v>551</v>
      </c>
      <c r="C536" t="s">
        <v>35</v>
      </c>
      <c r="D536" s="2">
        <v>259.08999999999997</v>
      </c>
      <c r="E536" t="s">
        <v>7</v>
      </c>
      <c r="F536" t="s">
        <v>1541</v>
      </c>
      <c r="G536">
        <v>2021</v>
      </c>
      <c r="H536">
        <f>IF(Table1_1[[#This Row],[Type]]="Expense", _xlfn.XLOOKUP(Table1_1[[#This Row],[Category]], Budget_Ref[Category], Budget_Ref[Monthly Budget], 0), 0)</f>
        <v>200</v>
      </c>
      <c r="I536" t="str">
        <f>IF(Table1_1[[#This Row],[Type]]="Expense", IF(Table1_1[[#This Row],[Amount]]&gt;Table1_1[[#This Row],[Monthly Budget]], "Over Budget", "OK"), "-")</f>
        <v>Over Budget</v>
      </c>
      <c r="J536">
        <f>IF(Table1_1[[#This Row],[Type]]="Income", Table1_1[[#This Row],[Amount]], -Table1_1[[#This Row],[Amount]])</f>
        <v>-259.08999999999997</v>
      </c>
    </row>
    <row r="537" spans="1:10" x14ac:dyDescent="0.25">
      <c r="A537" s="1">
        <v>44515</v>
      </c>
      <c r="B537" t="s">
        <v>552</v>
      </c>
      <c r="C537" t="s">
        <v>11</v>
      </c>
      <c r="D537" s="2">
        <v>1010.12</v>
      </c>
      <c r="E537" t="s">
        <v>7</v>
      </c>
      <c r="F537" t="s">
        <v>1541</v>
      </c>
      <c r="G537">
        <v>2021</v>
      </c>
      <c r="H537">
        <f>IF(Table1_1[[#This Row],[Type]]="Expense", _xlfn.XLOOKUP(Table1_1[[#This Row],[Category]], Budget_Ref[Category], Budget_Ref[Monthly Budget], 0), 0)</f>
        <v>1500</v>
      </c>
      <c r="I537" t="str">
        <f>IF(Table1_1[[#This Row],[Type]]="Expense", IF(Table1_1[[#This Row],[Amount]]&gt;Table1_1[[#This Row],[Monthly Budget]], "Over Budget", "OK"), "-")</f>
        <v>OK</v>
      </c>
      <c r="J537">
        <f>IF(Table1_1[[#This Row],[Type]]="Income", Table1_1[[#This Row],[Amount]], -Table1_1[[#This Row],[Amount]])</f>
        <v>-1010.12</v>
      </c>
    </row>
    <row r="538" spans="1:10" x14ac:dyDescent="0.25">
      <c r="A538" s="1">
        <v>44516</v>
      </c>
      <c r="B538" t="s">
        <v>553</v>
      </c>
      <c r="C538" t="s">
        <v>13</v>
      </c>
      <c r="D538" s="2">
        <v>1902</v>
      </c>
      <c r="E538" t="s">
        <v>14</v>
      </c>
      <c r="F538" t="s">
        <v>1541</v>
      </c>
      <c r="G538">
        <v>2021</v>
      </c>
      <c r="H538">
        <f>IF(Table1_1[[#This Row],[Type]]="Expense", _xlfn.XLOOKUP(Table1_1[[#This Row],[Category]], Budget_Ref[Category], Budget_Ref[Monthly Budget], 0), 0)</f>
        <v>0</v>
      </c>
      <c r="I538" t="str">
        <f>IF(Table1_1[[#This Row],[Type]]="Expense", IF(Table1_1[[#This Row],[Amount]]&gt;Table1_1[[#This Row],[Monthly Budget]], "Over Budget", "OK"), "-")</f>
        <v>-</v>
      </c>
      <c r="J538">
        <f>IF(Table1_1[[#This Row],[Type]]="Income", Table1_1[[#This Row],[Amount]], -Table1_1[[#This Row],[Amount]])</f>
        <v>1902</v>
      </c>
    </row>
    <row r="539" spans="1:10" x14ac:dyDescent="0.25">
      <c r="A539" s="1">
        <v>44517</v>
      </c>
      <c r="B539" t="s">
        <v>554</v>
      </c>
      <c r="C539" t="s">
        <v>25</v>
      </c>
      <c r="D539" s="2">
        <v>1686.63</v>
      </c>
      <c r="E539" t="s">
        <v>7</v>
      </c>
      <c r="F539" t="s">
        <v>1541</v>
      </c>
      <c r="G539">
        <v>2021</v>
      </c>
      <c r="H539">
        <f>IF(Table1_1[[#This Row],[Type]]="Expense", _xlfn.XLOOKUP(Table1_1[[#This Row],[Category]], Budget_Ref[Category], Budget_Ref[Monthly Budget], 0), 0)</f>
        <v>150</v>
      </c>
      <c r="I539" t="str">
        <f>IF(Table1_1[[#This Row],[Type]]="Expense", IF(Table1_1[[#This Row],[Amount]]&gt;Table1_1[[#This Row],[Monthly Budget]], "Over Budget", "OK"), "-")</f>
        <v>Over Budget</v>
      </c>
      <c r="J539">
        <f>IF(Table1_1[[#This Row],[Type]]="Income", Table1_1[[#This Row],[Amount]], -Table1_1[[#This Row],[Amount]])</f>
        <v>-1686.63</v>
      </c>
    </row>
    <row r="540" spans="1:10" x14ac:dyDescent="0.25">
      <c r="A540" s="1">
        <v>44518</v>
      </c>
      <c r="B540" t="s">
        <v>555</v>
      </c>
      <c r="C540" t="s">
        <v>6</v>
      </c>
      <c r="D540" s="2">
        <v>171.63</v>
      </c>
      <c r="E540" t="s">
        <v>7</v>
      </c>
      <c r="F540" t="s">
        <v>1541</v>
      </c>
      <c r="G540">
        <v>2021</v>
      </c>
      <c r="H540">
        <f>IF(Table1_1[[#This Row],[Type]]="Expense", _xlfn.XLOOKUP(Table1_1[[#This Row],[Category]], Budget_Ref[Category], Budget_Ref[Monthly Budget], 0), 0)</f>
        <v>500</v>
      </c>
      <c r="I540" t="str">
        <f>IF(Table1_1[[#This Row],[Type]]="Expense", IF(Table1_1[[#This Row],[Amount]]&gt;Table1_1[[#This Row],[Monthly Budget]], "Over Budget", "OK"), "-")</f>
        <v>OK</v>
      </c>
      <c r="J540">
        <f>IF(Table1_1[[#This Row],[Type]]="Income", Table1_1[[#This Row],[Amount]], -Table1_1[[#This Row],[Amount]])</f>
        <v>-171.63</v>
      </c>
    </row>
    <row r="541" spans="1:10" x14ac:dyDescent="0.25">
      <c r="A541" s="1">
        <v>44518</v>
      </c>
      <c r="B541" t="s">
        <v>556</v>
      </c>
      <c r="C541" t="s">
        <v>35</v>
      </c>
      <c r="D541" s="2">
        <v>1305.75</v>
      </c>
      <c r="E541" t="s">
        <v>7</v>
      </c>
      <c r="F541" t="s">
        <v>1541</v>
      </c>
      <c r="G541">
        <v>2021</v>
      </c>
      <c r="H541">
        <f>IF(Table1_1[[#This Row],[Type]]="Expense", _xlfn.XLOOKUP(Table1_1[[#This Row],[Category]], Budget_Ref[Category], Budget_Ref[Monthly Budget], 0), 0)</f>
        <v>200</v>
      </c>
      <c r="I541" t="str">
        <f>IF(Table1_1[[#This Row],[Type]]="Expense", IF(Table1_1[[#This Row],[Amount]]&gt;Table1_1[[#This Row],[Monthly Budget]], "Over Budget", "OK"), "-")</f>
        <v>Over Budget</v>
      </c>
      <c r="J541">
        <f>IF(Table1_1[[#This Row],[Type]]="Income", Table1_1[[#This Row],[Amount]], -Table1_1[[#This Row],[Amount]])</f>
        <v>-1305.75</v>
      </c>
    </row>
    <row r="542" spans="1:10" x14ac:dyDescent="0.25">
      <c r="A542" s="1">
        <v>44519</v>
      </c>
      <c r="B542" t="s">
        <v>557</v>
      </c>
      <c r="C542" t="s">
        <v>17</v>
      </c>
      <c r="D542" s="2">
        <v>1240.04</v>
      </c>
      <c r="E542" t="s">
        <v>7</v>
      </c>
      <c r="F542" t="s">
        <v>1541</v>
      </c>
      <c r="G542">
        <v>2021</v>
      </c>
      <c r="H542">
        <f>IF(Table1_1[[#This Row],[Type]]="Expense", _xlfn.XLOOKUP(Table1_1[[#This Row],[Category]], Budget_Ref[Category], Budget_Ref[Monthly Budget], 0), 0)</f>
        <v>300</v>
      </c>
      <c r="I542" t="str">
        <f>IF(Table1_1[[#This Row],[Type]]="Expense", IF(Table1_1[[#This Row],[Amount]]&gt;Table1_1[[#This Row],[Monthly Budget]], "Over Budget", "OK"), "-")</f>
        <v>Over Budget</v>
      </c>
      <c r="J542">
        <f>IF(Table1_1[[#This Row],[Type]]="Income", Table1_1[[#This Row],[Amount]], -Table1_1[[#This Row],[Amount]])</f>
        <v>-1240.04</v>
      </c>
    </row>
    <row r="543" spans="1:10" x14ac:dyDescent="0.25">
      <c r="A543" s="1">
        <v>44521</v>
      </c>
      <c r="B543" t="s">
        <v>558</v>
      </c>
      <c r="C543" t="s">
        <v>20</v>
      </c>
      <c r="D543" s="2">
        <v>2974</v>
      </c>
      <c r="E543" t="s">
        <v>14</v>
      </c>
      <c r="F543" t="s">
        <v>1541</v>
      </c>
      <c r="G543">
        <v>2021</v>
      </c>
      <c r="H543">
        <f>IF(Table1_1[[#This Row],[Type]]="Expense", _xlfn.XLOOKUP(Table1_1[[#This Row],[Category]], Budget_Ref[Category], Budget_Ref[Monthly Budget], 0), 0)</f>
        <v>0</v>
      </c>
      <c r="I543" t="str">
        <f>IF(Table1_1[[#This Row],[Type]]="Expense", IF(Table1_1[[#This Row],[Amount]]&gt;Table1_1[[#This Row],[Monthly Budget]], "Over Budget", "OK"), "-")</f>
        <v>-</v>
      </c>
      <c r="J543">
        <f>IF(Table1_1[[#This Row],[Type]]="Income", Table1_1[[#This Row],[Amount]], -Table1_1[[#This Row],[Amount]])</f>
        <v>2974</v>
      </c>
    </row>
    <row r="544" spans="1:10" x14ac:dyDescent="0.25">
      <c r="A544" s="1">
        <v>44521</v>
      </c>
      <c r="B544" t="s">
        <v>559</v>
      </c>
      <c r="C544" t="s">
        <v>17</v>
      </c>
      <c r="D544" s="2">
        <v>601.89</v>
      </c>
      <c r="E544" t="s">
        <v>7</v>
      </c>
      <c r="F544" t="s">
        <v>1541</v>
      </c>
      <c r="G544">
        <v>2021</v>
      </c>
      <c r="H544">
        <f>IF(Table1_1[[#This Row],[Type]]="Expense", _xlfn.XLOOKUP(Table1_1[[#This Row],[Category]], Budget_Ref[Category], Budget_Ref[Monthly Budget], 0), 0)</f>
        <v>300</v>
      </c>
      <c r="I544" t="str">
        <f>IF(Table1_1[[#This Row],[Type]]="Expense", IF(Table1_1[[#This Row],[Amount]]&gt;Table1_1[[#This Row],[Monthly Budget]], "Over Budget", "OK"), "-")</f>
        <v>Over Budget</v>
      </c>
      <c r="J544">
        <f>IF(Table1_1[[#This Row],[Type]]="Income", Table1_1[[#This Row],[Amount]], -Table1_1[[#This Row],[Amount]])</f>
        <v>-601.89</v>
      </c>
    </row>
    <row r="545" spans="1:10" x14ac:dyDescent="0.25">
      <c r="A545" s="1">
        <v>44521</v>
      </c>
      <c r="B545" t="s">
        <v>560</v>
      </c>
      <c r="C545" t="s">
        <v>13</v>
      </c>
      <c r="D545" s="2">
        <v>1794</v>
      </c>
      <c r="E545" t="s">
        <v>14</v>
      </c>
      <c r="F545" t="s">
        <v>1541</v>
      </c>
      <c r="G545">
        <v>2021</v>
      </c>
      <c r="H545">
        <f>IF(Table1_1[[#This Row],[Type]]="Expense", _xlfn.XLOOKUP(Table1_1[[#This Row],[Category]], Budget_Ref[Category], Budget_Ref[Monthly Budget], 0), 0)</f>
        <v>0</v>
      </c>
      <c r="I545" t="str">
        <f>IF(Table1_1[[#This Row],[Type]]="Expense", IF(Table1_1[[#This Row],[Amount]]&gt;Table1_1[[#This Row],[Monthly Budget]], "Over Budget", "OK"), "-")</f>
        <v>-</v>
      </c>
      <c r="J545">
        <f>IF(Table1_1[[#This Row],[Type]]="Income", Table1_1[[#This Row],[Amount]], -Table1_1[[#This Row],[Amount]])</f>
        <v>1794</v>
      </c>
    </row>
    <row r="546" spans="1:10" x14ac:dyDescent="0.25">
      <c r="A546" s="1">
        <v>44523</v>
      </c>
      <c r="B546" t="s">
        <v>561</v>
      </c>
      <c r="C546" t="s">
        <v>27</v>
      </c>
      <c r="D546" s="2">
        <v>934.24</v>
      </c>
      <c r="E546" t="s">
        <v>14</v>
      </c>
      <c r="F546" t="s">
        <v>1541</v>
      </c>
      <c r="G546">
        <v>2021</v>
      </c>
      <c r="H546">
        <f>IF(Table1_1[[#This Row],[Type]]="Expense", _xlfn.XLOOKUP(Table1_1[[#This Row],[Category]], Budget_Ref[Category], Budget_Ref[Monthly Budget], 0), 0)</f>
        <v>0</v>
      </c>
      <c r="I546" t="str">
        <f>IF(Table1_1[[#This Row],[Type]]="Expense", IF(Table1_1[[#This Row],[Amount]]&gt;Table1_1[[#This Row],[Monthly Budget]], "Over Budget", "OK"), "-")</f>
        <v>-</v>
      </c>
      <c r="J546">
        <f>IF(Table1_1[[#This Row],[Type]]="Income", Table1_1[[#This Row],[Amount]], -Table1_1[[#This Row],[Amount]])</f>
        <v>934.24</v>
      </c>
    </row>
    <row r="547" spans="1:10" x14ac:dyDescent="0.25">
      <c r="A547" s="1">
        <v>44526</v>
      </c>
      <c r="B547" t="s">
        <v>562</v>
      </c>
      <c r="C547" t="s">
        <v>9</v>
      </c>
      <c r="D547" s="2">
        <v>632.04</v>
      </c>
      <c r="E547" t="s">
        <v>7</v>
      </c>
      <c r="F547" t="s">
        <v>1541</v>
      </c>
      <c r="G547">
        <v>2021</v>
      </c>
      <c r="H547">
        <f>IF(Table1_1[[#This Row],[Type]]="Expense", _xlfn.XLOOKUP(Table1_1[[#This Row],[Category]], Budget_Ref[Category], Budget_Ref[Monthly Budget], 0), 0)</f>
        <v>150</v>
      </c>
      <c r="I547" t="str">
        <f>IF(Table1_1[[#This Row],[Type]]="Expense", IF(Table1_1[[#This Row],[Amount]]&gt;Table1_1[[#This Row],[Monthly Budget]], "Over Budget", "OK"), "-")</f>
        <v>Over Budget</v>
      </c>
      <c r="J547">
        <f>IF(Table1_1[[#This Row],[Type]]="Income", Table1_1[[#This Row],[Amount]], -Table1_1[[#This Row],[Amount]])</f>
        <v>-632.04</v>
      </c>
    </row>
    <row r="548" spans="1:10" x14ac:dyDescent="0.25">
      <c r="A548" s="1">
        <v>44527</v>
      </c>
      <c r="B548" t="s">
        <v>563</v>
      </c>
      <c r="C548" t="s">
        <v>25</v>
      </c>
      <c r="D548" s="2">
        <v>1950.99</v>
      </c>
      <c r="E548" t="s">
        <v>7</v>
      </c>
      <c r="F548" t="s">
        <v>1541</v>
      </c>
      <c r="G548">
        <v>2021</v>
      </c>
      <c r="H548">
        <f>IF(Table1_1[[#This Row],[Type]]="Expense", _xlfn.XLOOKUP(Table1_1[[#This Row],[Category]], Budget_Ref[Category], Budget_Ref[Monthly Budget], 0), 0)</f>
        <v>150</v>
      </c>
      <c r="I548" t="str">
        <f>IF(Table1_1[[#This Row],[Type]]="Expense", IF(Table1_1[[#This Row],[Amount]]&gt;Table1_1[[#This Row],[Monthly Budget]], "Over Budget", "OK"), "-")</f>
        <v>Over Budget</v>
      </c>
      <c r="J548">
        <f>IF(Table1_1[[#This Row],[Type]]="Income", Table1_1[[#This Row],[Amount]], -Table1_1[[#This Row],[Amount]])</f>
        <v>-1950.99</v>
      </c>
    </row>
    <row r="549" spans="1:10" x14ac:dyDescent="0.25">
      <c r="A549" s="1">
        <v>44528</v>
      </c>
      <c r="B549" t="s">
        <v>564</v>
      </c>
      <c r="C549" t="s">
        <v>20</v>
      </c>
      <c r="D549" s="2">
        <v>4718</v>
      </c>
      <c r="E549" t="s">
        <v>14</v>
      </c>
      <c r="F549" t="s">
        <v>1541</v>
      </c>
      <c r="G549">
        <v>2021</v>
      </c>
      <c r="H549">
        <f>IF(Table1_1[[#This Row],[Type]]="Expense", _xlfn.XLOOKUP(Table1_1[[#This Row],[Category]], Budget_Ref[Category], Budget_Ref[Monthly Budget], 0), 0)</f>
        <v>0</v>
      </c>
      <c r="I549" t="str">
        <f>IF(Table1_1[[#This Row],[Type]]="Expense", IF(Table1_1[[#This Row],[Amount]]&gt;Table1_1[[#This Row],[Monthly Budget]], "Over Budget", "OK"), "-")</f>
        <v>-</v>
      </c>
      <c r="J549">
        <f>IF(Table1_1[[#This Row],[Type]]="Income", Table1_1[[#This Row],[Amount]], -Table1_1[[#This Row],[Amount]])</f>
        <v>4718</v>
      </c>
    </row>
    <row r="550" spans="1:10" x14ac:dyDescent="0.25">
      <c r="A550" s="1">
        <v>44531</v>
      </c>
      <c r="B550" t="s">
        <v>565</v>
      </c>
      <c r="C550" t="s">
        <v>25</v>
      </c>
      <c r="D550" s="2">
        <v>491.06</v>
      </c>
      <c r="E550" t="s">
        <v>7</v>
      </c>
      <c r="F550" t="s">
        <v>1542</v>
      </c>
      <c r="G550">
        <v>2021</v>
      </c>
      <c r="H550">
        <f>IF(Table1_1[[#This Row],[Type]]="Expense", _xlfn.XLOOKUP(Table1_1[[#This Row],[Category]], Budget_Ref[Category], Budget_Ref[Monthly Budget], 0), 0)</f>
        <v>150</v>
      </c>
      <c r="I550" t="str">
        <f>IF(Table1_1[[#This Row],[Type]]="Expense", IF(Table1_1[[#This Row],[Amount]]&gt;Table1_1[[#This Row],[Monthly Budget]], "Over Budget", "OK"), "-")</f>
        <v>Over Budget</v>
      </c>
      <c r="J550">
        <f>IF(Table1_1[[#This Row],[Type]]="Income", Table1_1[[#This Row],[Amount]], -Table1_1[[#This Row],[Amount]])</f>
        <v>-491.06</v>
      </c>
    </row>
    <row r="551" spans="1:10" x14ac:dyDescent="0.25">
      <c r="A551" s="1">
        <v>44532</v>
      </c>
      <c r="B551" t="s">
        <v>566</v>
      </c>
      <c r="C551" t="s">
        <v>20</v>
      </c>
      <c r="D551" s="2">
        <v>2530</v>
      </c>
      <c r="E551" t="s">
        <v>14</v>
      </c>
      <c r="F551" t="s">
        <v>1542</v>
      </c>
      <c r="G551">
        <v>2021</v>
      </c>
      <c r="H551">
        <f>IF(Table1_1[[#This Row],[Type]]="Expense", _xlfn.XLOOKUP(Table1_1[[#This Row],[Category]], Budget_Ref[Category], Budget_Ref[Monthly Budget], 0), 0)</f>
        <v>0</v>
      </c>
      <c r="I551" t="str">
        <f>IF(Table1_1[[#This Row],[Type]]="Expense", IF(Table1_1[[#This Row],[Amount]]&gt;Table1_1[[#This Row],[Monthly Budget]], "Over Budget", "OK"), "-")</f>
        <v>-</v>
      </c>
      <c r="J551">
        <f>IF(Table1_1[[#This Row],[Type]]="Income", Table1_1[[#This Row],[Amount]], -Table1_1[[#This Row],[Amount]])</f>
        <v>2530</v>
      </c>
    </row>
    <row r="552" spans="1:10" x14ac:dyDescent="0.25">
      <c r="A552" s="1">
        <v>44533</v>
      </c>
      <c r="B552" t="s">
        <v>567</v>
      </c>
      <c r="C552" t="s">
        <v>13</v>
      </c>
      <c r="D552" s="2">
        <v>2877</v>
      </c>
      <c r="E552" t="s">
        <v>14</v>
      </c>
      <c r="F552" t="s">
        <v>1542</v>
      </c>
      <c r="G552">
        <v>2021</v>
      </c>
      <c r="H552">
        <f>IF(Table1_1[[#This Row],[Type]]="Expense", _xlfn.XLOOKUP(Table1_1[[#This Row],[Category]], Budget_Ref[Category], Budget_Ref[Monthly Budget], 0), 0)</f>
        <v>0</v>
      </c>
      <c r="I552" t="str">
        <f>IF(Table1_1[[#This Row],[Type]]="Expense", IF(Table1_1[[#This Row],[Amount]]&gt;Table1_1[[#This Row],[Monthly Budget]], "Over Budget", "OK"), "-")</f>
        <v>-</v>
      </c>
      <c r="J552">
        <f>IF(Table1_1[[#This Row],[Type]]="Income", Table1_1[[#This Row],[Amount]], -Table1_1[[#This Row],[Amount]])</f>
        <v>2877</v>
      </c>
    </row>
    <row r="553" spans="1:10" x14ac:dyDescent="0.25">
      <c r="A553" s="1">
        <v>44533</v>
      </c>
      <c r="B553" t="s">
        <v>568</v>
      </c>
      <c r="C553" t="s">
        <v>17</v>
      </c>
      <c r="D553" s="2">
        <v>504.06</v>
      </c>
      <c r="E553" t="s">
        <v>7</v>
      </c>
      <c r="F553" t="s">
        <v>1542</v>
      </c>
      <c r="G553">
        <v>2021</v>
      </c>
      <c r="H553">
        <f>IF(Table1_1[[#This Row],[Type]]="Expense", _xlfn.XLOOKUP(Table1_1[[#This Row],[Category]], Budget_Ref[Category], Budget_Ref[Monthly Budget], 0), 0)</f>
        <v>300</v>
      </c>
      <c r="I553" t="str">
        <f>IF(Table1_1[[#This Row],[Type]]="Expense", IF(Table1_1[[#This Row],[Amount]]&gt;Table1_1[[#This Row],[Monthly Budget]], "Over Budget", "OK"), "-")</f>
        <v>Over Budget</v>
      </c>
      <c r="J553">
        <f>IF(Table1_1[[#This Row],[Type]]="Income", Table1_1[[#This Row],[Amount]], -Table1_1[[#This Row],[Amount]])</f>
        <v>-504.06</v>
      </c>
    </row>
    <row r="554" spans="1:10" x14ac:dyDescent="0.25">
      <c r="A554" s="1">
        <v>44538</v>
      </c>
      <c r="B554" t="s">
        <v>569</v>
      </c>
      <c r="C554" t="s">
        <v>9</v>
      </c>
      <c r="D554" s="2">
        <v>1628.82</v>
      </c>
      <c r="E554" t="s">
        <v>7</v>
      </c>
      <c r="F554" t="s">
        <v>1542</v>
      </c>
      <c r="G554">
        <v>2021</v>
      </c>
      <c r="H554">
        <f>IF(Table1_1[[#This Row],[Type]]="Expense", _xlfn.XLOOKUP(Table1_1[[#This Row],[Category]], Budget_Ref[Category], Budget_Ref[Monthly Budget], 0), 0)</f>
        <v>150</v>
      </c>
      <c r="I554" t="str">
        <f>IF(Table1_1[[#This Row],[Type]]="Expense", IF(Table1_1[[#This Row],[Amount]]&gt;Table1_1[[#This Row],[Monthly Budget]], "Over Budget", "OK"), "-")</f>
        <v>Over Budget</v>
      </c>
      <c r="J554">
        <f>IF(Table1_1[[#This Row],[Type]]="Income", Table1_1[[#This Row],[Amount]], -Table1_1[[#This Row],[Amount]])</f>
        <v>-1628.82</v>
      </c>
    </row>
    <row r="555" spans="1:10" x14ac:dyDescent="0.25">
      <c r="A555" s="1">
        <v>44539</v>
      </c>
      <c r="B555" t="s">
        <v>570</v>
      </c>
      <c r="C555" t="s">
        <v>25</v>
      </c>
      <c r="D555" s="2">
        <v>387.77</v>
      </c>
      <c r="E555" t="s">
        <v>7</v>
      </c>
      <c r="F555" t="s">
        <v>1542</v>
      </c>
      <c r="G555">
        <v>2021</v>
      </c>
      <c r="H555">
        <f>IF(Table1_1[[#This Row],[Type]]="Expense", _xlfn.XLOOKUP(Table1_1[[#This Row],[Category]], Budget_Ref[Category], Budget_Ref[Monthly Budget], 0), 0)</f>
        <v>150</v>
      </c>
      <c r="I555" t="str">
        <f>IF(Table1_1[[#This Row],[Type]]="Expense", IF(Table1_1[[#This Row],[Amount]]&gt;Table1_1[[#This Row],[Monthly Budget]], "Over Budget", "OK"), "-")</f>
        <v>Over Budget</v>
      </c>
      <c r="J555">
        <f>IF(Table1_1[[#This Row],[Type]]="Income", Table1_1[[#This Row],[Amount]], -Table1_1[[#This Row],[Amount]])</f>
        <v>-387.77</v>
      </c>
    </row>
    <row r="556" spans="1:10" x14ac:dyDescent="0.25">
      <c r="A556" s="1">
        <v>44539</v>
      </c>
      <c r="B556" t="s">
        <v>571</v>
      </c>
      <c r="C556" t="s">
        <v>20</v>
      </c>
      <c r="D556" s="2">
        <v>4585</v>
      </c>
      <c r="E556" t="s">
        <v>14</v>
      </c>
      <c r="F556" t="s">
        <v>1542</v>
      </c>
      <c r="G556">
        <v>2021</v>
      </c>
      <c r="H556">
        <f>IF(Table1_1[[#This Row],[Type]]="Expense", _xlfn.XLOOKUP(Table1_1[[#This Row],[Category]], Budget_Ref[Category], Budget_Ref[Monthly Budget], 0), 0)</f>
        <v>0</v>
      </c>
      <c r="I556" t="str">
        <f>IF(Table1_1[[#This Row],[Type]]="Expense", IF(Table1_1[[#This Row],[Amount]]&gt;Table1_1[[#This Row],[Monthly Budget]], "Over Budget", "OK"), "-")</f>
        <v>-</v>
      </c>
      <c r="J556">
        <f>IF(Table1_1[[#This Row],[Type]]="Income", Table1_1[[#This Row],[Amount]], -Table1_1[[#This Row],[Amount]])</f>
        <v>4585</v>
      </c>
    </row>
    <row r="557" spans="1:10" x14ac:dyDescent="0.25">
      <c r="A557" s="1">
        <v>44541</v>
      </c>
      <c r="B557" t="s">
        <v>572</v>
      </c>
      <c r="C557" t="s">
        <v>27</v>
      </c>
      <c r="D557" s="2">
        <v>56.12</v>
      </c>
      <c r="E557" t="s">
        <v>14</v>
      </c>
      <c r="F557" t="s">
        <v>1542</v>
      </c>
      <c r="G557">
        <v>2021</v>
      </c>
      <c r="H557">
        <f>IF(Table1_1[[#This Row],[Type]]="Expense", _xlfn.XLOOKUP(Table1_1[[#This Row],[Category]], Budget_Ref[Category], Budget_Ref[Monthly Budget], 0), 0)</f>
        <v>0</v>
      </c>
      <c r="I557" t="str">
        <f>IF(Table1_1[[#This Row],[Type]]="Expense", IF(Table1_1[[#This Row],[Amount]]&gt;Table1_1[[#This Row],[Monthly Budget]], "Over Budget", "OK"), "-")</f>
        <v>-</v>
      </c>
      <c r="J557">
        <f>IF(Table1_1[[#This Row],[Type]]="Income", Table1_1[[#This Row],[Amount]], -Table1_1[[#This Row],[Amount]])</f>
        <v>56.12</v>
      </c>
    </row>
    <row r="558" spans="1:10" x14ac:dyDescent="0.25">
      <c r="A558" s="1">
        <v>44542</v>
      </c>
      <c r="B558" t="s">
        <v>573</v>
      </c>
      <c r="C558" t="s">
        <v>27</v>
      </c>
      <c r="D558" s="2">
        <v>1933.71</v>
      </c>
      <c r="E558" t="s">
        <v>14</v>
      </c>
      <c r="F558" t="s">
        <v>1542</v>
      </c>
      <c r="G558">
        <v>2021</v>
      </c>
      <c r="H558">
        <f>IF(Table1_1[[#This Row],[Type]]="Expense", _xlfn.XLOOKUP(Table1_1[[#This Row],[Category]], Budget_Ref[Category], Budget_Ref[Monthly Budget], 0), 0)</f>
        <v>0</v>
      </c>
      <c r="I558" t="str">
        <f>IF(Table1_1[[#This Row],[Type]]="Expense", IF(Table1_1[[#This Row],[Amount]]&gt;Table1_1[[#This Row],[Monthly Budget]], "Over Budget", "OK"), "-")</f>
        <v>-</v>
      </c>
      <c r="J558">
        <f>IF(Table1_1[[#This Row],[Type]]="Income", Table1_1[[#This Row],[Amount]], -Table1_1[[#This Row],[Amount]])</f>
        <v>1933.71</v>
      </c>
    </row>
    <row r="559" spans="1:10" x14ac:dyDescent="0.25">
      <c r="A559" s="1">
        <v>44543</v>
      </c>
      <c r="B559" t="s">
        <v>574</v>
      </c>
      <c r="C559" t="s">
        <v>25</v>
      </c>
      <c r="D559" s="2">
        <v>106.83</v>
      </c>
      <c r="E559" t="s">
        <v>7</v>
      </c>
      <c r="F559" t="s">
        <v>1542</v>
      </c>
      <c r="G559">
        <v>2021</v>
      </c>
      <c r="H559">
        <f>IF(Table1_1[[#This Row],[Type]]="Expense", _xlfn.XLOOKUP(Table1_1[[#This Row],[Category]], Budget_Ref[Category], Budget_Ref[Monthly Budget], 0), 0)</f>
        <v>150</v>
      </c>
      <c r="I559" t="str">
        <f>IF(Table1_1[[#This Row],[Type]]="Expense", IF(Table1_1[[#This Row],[Amount]]&gt;Table1_1[[#This Row],[Monthly Budget]], "Over Budget", "OK"), "-")</f>
        <v>OK</v>
      </c>
      <c r="J559">
        <f>IF(Table1_1[[#This Row],[Type]]="Income", Table1_1[[#This Row],[Amount]], -Table1_1[[#This Row],[Amount]])</f>
        <v>-106.83</v>
      </c>
    </row>
    <row r="560" spans="1:10" x14ac:dyDescent="0.25">
      <c r="A560" s="1">
        <v>44543</v>
      </c>
      <c r="B560" t="s">
        <v>575</v>
      </c>
      <c r="C560" t="s">
        <v>27</v>
      </c>
      <c r="D560" s="2">
        <v>578.64</v>
      </c>
      <c r="E560" t="s">
        <v>14</v>
      </c>
      <c r="F560" t="s">
        <v>1542</v>
      </c>
      <c r="G560">
        <v>2021</v>
      </c>
      <c r="H560">
        <f>IF(Table1_1[[#This Row],[Type]]="Expense", _xlfn.XLOOKUP(Table1_1[[#This Row],[Category]], Budget_Ref[Category], Budget_Ref[Monthly Budget], 0), 0)</f>
        <v>0</v>
      </c>
      <c r="I560" t="str">
        <f>IF(Table1_1[[#This Row],[Type]]="Expense", IF(Table1_1[[#This Row],[Amount]]&gt;Table1_1[[#This Row],[Monthly Budget]], "Over Budget", "OK"), "-")</f>
        <v>-</v>
      </c>
      <c r="J560">
        <f>IF(Table1_1[[#This Row],[Type]]="Income", Table1_1[[#This Row],[Amount]], -Table1_1[[#This Row],[Amount]])</f>
        <v>578.64</v>
      </c>
    </row>
    <row r="561" spans="1:10" x14ac:dyDescent="0.25">
      <c r="A561" s="1">
        <v>44545</v>
      </c>
      <c r="B561" t="s">
        <v>576</v>
      </c>
      <c r="C561" t="s">
        <v>13</v>
      </c>
      <c r="D561" s="2">
        <v>4030</v>
      </c>
      <c r="E561" t="s">
        <v>14</v>
      </c>
      <c r="F561" t="s">
        <v>1542</v>
      </c>
      <c r="G561">
        <v>2021</v>
      </c>
      <c r="H561">
        <f>IF(Table1_1[[#This Row],[Type]]="Expense", _xlfn.XLOOKUP(Table1_1[[#This Row],[Category]], Budget_Ref[Category], Budget_Ref[Monthly Budget], 0), 0)</f>
        <v>0</v>
      </c>
      <c r="I561" t="str">
        <f>IF(Table1_1[[#This Row],[Type]]="Expense", IF(Table1_1[[#This Row],[Amount]]&gt;Table1_1[[#This Row],[Monthly Budget]], "Over Budget", "OK"), "-")</f>
        <v>-</v>
      </c>
      <c r="J561">
        <f>IF(Table1_1[[#This Row],[Type]]="Income", Table1_1[[#This Row],[Amount]], -Table1_1[[#This Row],[Amount]])</f>
        <v>4030</v>
      </c>
    </row>
    <row r="562" spans="1:10" x14ac:dyDescent="0.25">
      <c r="A562" s="1">
        <v>44545</v>
      </c>
      <c r="B562" t="s">
        <v>577</v>
      </c>
      <c r="C562" t="s">
        <v>20</v>
      </c>
      <c r="D562" s="2">
        <v>3496</v>
      </c>
      <c r="E562" t="s">
        <v>14</v>
      </c>
      <c r="F562" t="s">
        <v>1542</v>
      </c>
      <c r="G562">
        <v>2021</v>
      </c>
      <c r="H562">
        <f>IF(Table1_1[[#This Row],[Type]]="Expense", _xlfn.XLOOKUP(Table1_1[[#This Row],[Category]], Budget_Ref[Category], Budget_Ref[Monthly Budget], 0), 0)</f>
        <v>0</v>
      </c>
      <c r="I562" t="str">
        <f>IF(Table1_1[[#This Row],[Type]]="Expense", IF(Table1_1[[#This Row],[Amount]]&gt;Table1_1[[#This Row],[Monthly Budget]], "Over Budget", "OK"), "-")</f>
        <v>-</v>
      </c>
      <c r="J562">
        <f>IF(Table1_1[[#This Row],[Type]]="Income", Table1_1[[#This Row],[Amount]], -Table1_1[[#This Row],[Amount]])</f>
        <v>3496</v>
      </c>
    </row>
    <row r="563" spans="1:10" x14ac:dyDescent="0.25">
      <c r="A563" s="1">
        <v>44546</v>
      </c>
      <c r="B563" t="s">
        <v>578</v>
      </c>
      <c r="C563" t="s">
        <v>25</v>
      </c>
      <c r="D563" s="2">
        <v>100.03</v>
      </c>
      <c r="E563" t="s">
        <v>7</v>
      </c>
      <c r="F563" t="s">
        <v>1542</v>
      </c>
      <c r="G563">
        <v>2021</v>
      </c>
      <c r="H563">
        <f>IF(Table1_1[[#This Row],[Type]]="Expense", _xlfn.XLOOKUP(Table1_1[[#This Row],[Category]], Budget_Ref[Category], Budget_Ref[Monthly Budget], 0), 0)</f>
        <v>150</v>
      </c>
      <c r="I563" t="str">
        <f>IF(Table1_1[[#This Row],[Type]]="Expense", IF(Table1_1[[#This Row],[Amount]]&gt;Table1_1[[#This Row],[Monthly Budget]], "Over Budget", "OK"), "-")</f>
        <v>OK</v>
      </c>
      <c r="J563">
        <f>IF(Table1_1[[#This Row],[Type]]="Income", Table1_1[[#This Row],[Amount]], -Table1_1[[#This Row],[Amount]])</f>
        <v>-100.03</v>
      </c>
    </row>
    <row r="564" spans="1:10" x14ac:dyDescent="0.25">
      <c r="A564" s="1">
        <v>44549</v>
      </c>
      <c r="B564" t="s">
        <v>579</v>
      </c>
      <c r="C564" t="s">
        <v>13</v>
      </c>
      <c r="D564" s="2">
        <v>3469</v>
      </c>
      <c r="E564" t="s">
        <v>14</v>
      </c>
      <c r="F564" t="s">
        <v>1542</v>
      </c>
      <c r="G564">
        <v>2021</v>
      </c>
      <c r="H564">
        <f>IF(Table1_1[[#This Row],[Type]]="Expense", _xlfn.XLOOKUP(Table1_1[[#This Row],[Category]], Budget_Ref[Category], Budget_Ref[Monthly Budget], 0), 0)</f>
        <v>0</v>
      </c>
      <c r="I564" t="str">
        <f>IF(Table1_1[[#This Row],[Type]]="Expense", IF(Table1_1[[#This Row],[Amount]]&gt;Table1_1[[#This Row],[Monthly Budget]], "Over Budget", "OK"), "-")</f>
        <v>-</v>
      </c>
      <c r="J564">
        <f>IF(Table1_1[[#This Row],[Type]]="Income", Table1_1[[#This Row],[Amount]], -Table1_1[[#This Row],[Amount]])</f>
        <v>3469</v>
      </c>
    </row>
    <row r="565" spans="1:10" x14ac:dyDescent="0.25">
      <c r="A565" s="1">
        <v>44550</v>
      </c>
      <c r="B565" t="s">
        <v>580</v>
      </c>
      <c r="C565" t="s">
        <v>11</v>
      </c>
      <c r="D565" s="2">
        <v>778.83</v>
      </c>
      <c r="E565" t="s">
        <v>7</v>
      </c>
      <c r="F565" t="s">
        <v>1542</v>
      </c>
      <c r="G565">
        <v>2021</v>
      </c>
      <c r="H565">
        <f>IF(Table1_1[[#This Row],[Type]]="Expense", _xlfn.XLOOKUP(Table1_1[[#This Row],[Category]], Budget_Ref[Category], Budget_Ref[Monthly Budget], 0), 0)</f>
        <v>1500</v>
      </c>
      <c r="I565" t="str">
        <f>IF(Table1_1[[#This Row],[Type]]="Expense", IF(Table1_1[[#This Row],[Amount]]&gt;Table1_1[[#This Row],[Monthly Budget]], "Over Budget", "OK"), "-")</f>
        <v>OK</v>
      </c>
      <c r="J565">
        <f>IF(Table1_1[[#This Row],[Type]]="Income", Table1_1[[#This Row],[Amount]], -Table1_1[[#This Row],[Amount]])</f>
        <v>-778.83</v>
      </c>
    </row>
    <row r="566" spans="1:10" x14ac:dyDescent="0.25">
      <c r="A566" s="1">
        <v>44550</v>
      </c>
      <c r="B566" t="s">
        <v>581</v>
      </c>
      <c r="C566" t="s">
        <v>35</v>
      </c>
      <c r="D566" s="2">
        <v>1652.37</v>
      </c>
      <c r="E566" t="s">
        <v>7</v>
      </c>
      <c r="F566" t="s">
        <v>1542</v>
      </c>
      <c r="G566">
        <v>2021</v>
      </c>
      <c r="H566">
        <f>IF(Table1_1[[#This Row],[Type]]="Expense", _xlfn.XLOOKUP(Table1_1[[#This Row],[Category]], Budget_Ref[Category], Budget_Ref[Monthly Budget], 0), 0)</f>
        <v>200</v>
      </c>
      <c r="I566" t="str">
        <f>IF(Table1_1[[#This Row],[Type]]="Expense", IF(Table1_1[[#This Row],[Amount]]&gt;Table1_1[[#This Row],[Monthly Budget]], "Over Budget", "OK"), "-")</f>
        <v>Over Budget</v>
      </c>
      <c r="J566">
        <f>IF(Table1_1[[#This Row],[Type]]="Income", Table1_1[[#This Row],[Amount]], -Table1_1[[#This Row],[Amount]])</f>
        <v>-1652.37</v>
      </c>
    </row>
    <row r="567" spans="1:10" x14ac:dyDescent="0.25">
      <c r="A567" s="1">
        <v>44553</v>
      </c>
      <c r="B567" t="s">
        <v>582</v>
      </c>
      <c r="C567" t="s">
        <v>11</v>
      </c>
      <c r="D567" s="2">
        <v>266.04000000000002</v>
      </c>
      <c r="E567" t="s">
        <v>7</v>
      </c>
      <c r="F567" t="s">
        <v>1542</v>
      </c>
      <c r="G567">
        <v>2021</v>
      </c>
      <c r="H567">
        <f>IF(Table1_1[[#This Row],[Type]]="Expense", _xlfn.XLOOKUP(Table1_1[[#This Row],[Category]], Budget_Ref[Category], Budget_Ref[Monthly Budget], 0), 0)</f>
        <v>1500</v>
      </c>
      <c r="I567" t="str">
        <f>IF(Table1_1[[#This Row],[Type]]="Expense", IF(Table1_1[[#This Row],[Amount]]&gt;Table1_1[[#This Row],[Monthly Budget]], "Over Budget", "OK"), "-")</f>
        <v>OK</v>
      </c>
      <c r="J567">
        <f>IF(Table1_1[[#This Row],[Type]]="Income", Table1_1[[#This Row],[Amount]], -Table1_1[[#This Row],[Amount]])</f>
        <v>-266.04000000000002</v>
      </c>
    </row>
    <row r="568" spans="1:10" x14ac:dyDescent="0.25">
      <c r="A568" s="1">
        <v>44554</v>
      </c>
      <c r="B568" t="s">
        <v>583</v>
      </c>
      <c r="C568" t="s">
        <v>20</v>
      </c>
      <c r="D568" s="2">
        <v>3277</v>
      </c>
      <c r="E568" t="s">
        <v>14</v>
      </c>
      <c r="F568" t="s">
        <v>1542</v>
      </c>
      <c r="G568">
        <v>2021</v>
      </c>
      <c r="H568">
        <f>IF(Table1_1[[#This Row],[Type]]="Expense", _xlfn.XLOOKUP(Table1_1[[#This Row],[Category]], Budget_Ref[Category], Budget_Ref[Monthly Budget], 0), 0)</f>
        <v>0</v>
      </c>
      <c r="I568" t="str">
        <f>IF(Table1_1[[#This Row],[Type]]="Expense", IF(Table1_1[[#This Row],[Amount]]&gt;Table1_1[[#This Row],[Monthly Budget]], "Over Budget", "OK"), "-")</f>
        <v>-</v>
      </c>
      <c r="J568">
        <f>IF(Table1_1[[#This Row],[Type]]="Income", Table1_1[[#This Row],[Amount]], -Table1_1[[#This Row],[Amount]])</f>
        <v>3277</v>
      </c>
    </row>
    <row r="569" spans="1:10" x14ac:dyDescent="0.25">
      <c r="A569" s="1">
        <v>44556</v>
      </c>
      <c r="B569" t="s">
        <v>584</v>
      </c>
      <c r="C569" t="s">
        <v>25</v>
      </c>
      <c r="D569" s="2">
        <v>1512.38</v>
      </c>
      <c r="E569" t="s">
        <v>7</v>
      </c>
      <c r="F569" t="s">
        <v>1542</v>
      </c>
      <c r="G569">
        <v>2021</v>
      </c>
      <c r="H569">
        <f>IF(Table1_1[[#This Row],[Type]]="Expense", _xlfn.XLOOKUP(Table1_1[[#This Row],[Category]], Budget_Ref[Category], Budget_Ref[Monthly Budget], 0), 0)</f>
        <v>150</v>
      </c>
      <c r="I569" t="str">
        <f>IF(Table1_1[[#This Row],[Type]]="Expense", IF(Table1_1[[#This Row],[Amount]]&gt;Table1_1[[#This Row],[Monthly Budget]], "Over Budget", "OK"), "-")</f>
        <v>Over Budget</v>
      </c>
      <c r="J569">
        <f>IF(Table1_1[[#This Row],[Type]]="Income", Table1_1[[#This Row],[Amount]], -Table1_1[[#This Row],[Amount]])</f>
        <v>-1512.38</v>
      </c>
    </row>
    <row r="570" spans="1:10" x14ac:dyDescent="0.25">
      <c r="A570" s="1">
        <v>44558</v>
      </c>
      <c r="B570" t="s">
        <v>585</v>
      </c>
      <c r="C570" t="s">
        <v>20</v>
      </c>
      <c r="D570" s="2">
        <v>4596</v>
      </c>
      <c r="E570" t="s">
        <v>14</v>
      </c>
      <c r="F570" t="s">
        <v>1542</v>
      </c>
      <c r="G570">
        <v>2021</v>
      </c>
      <c r="H570">
        <f>IF(Table1_1[[#This Row],[Type]]="Expense", _xlfn.XLOOKUP(Table1_1[[#This Row],[Category]], Budget_Ref[Category], Budget_Ref[Monthly Budget], 0), 0)</f>
        <v>0</v>
      </c>
      <c r="I570" t="str">
        <f>IF(Table1_1[[#This Row],[Type]]="Expense", IF(Table1_1[[#This Row],[Amount]]&gt;Table1_1[[#This Row],[Monthly Budget]], "Over Budget", "OK"), "-")</f>
        <v>-</v>
      </c>
      <c r="J570">
        <f>IF(Table1_1[[#This Row],[Type]]="Income", Table1_1[[#This Row],[Amount]], -Table1_1[[#This Row],[Amount]])</f>
        <v>4596</v>
      </c>
    </row>
    <row r="571" spans="1:10" x14ac:dyDescent="0.25">
      <c r="A571" s="1">
        <v>44561</v>
      </c>
      <c r="B571" t="s">
        <v>586</v>
      </c>
      <c r="C571" t="s">
        <v>13</v>
      </c>
      <c r="D571" s="2">
        <v>1622</v>
      </c>
      <c r="E571" t="s">
        <v>14</v>
      </c>
      <c r="F571" t="s">
        <v>1542</v>
      </c>
      <c r="G571">
        <v>2021</v>
      </c>
      <c r="H571">
        <f>IF(Table1_1[[#This Row],[Type]]="Expense", _xlfn.XLOOKUP(Table1_1[[#This Row],[Category]], Budget_Ref[Category], Budget_Ref[Monthly Budget], 0), 0)</f>
        <v>0</v>
      </c>
      <c r="I571" t="str">
        <f>IF(Table1_1[[#This Row],[Type]]="Expense", IF(Table1_1[[#This Row],[Amount]]&gt;Table1_1[[#This Row],[Monthly Budget]], "Over Budget", "OK"), "-")</f>
        <v>-</v>
      </c>
      <c r="J571">
        <f>IF(Table1_1[[#This Row],[Type]]="Income", Table1_1[[#This Row],[Amount]], -Table1_1[[#This Row],[Amount]])</f>
        <v>1622</v>
      </c>
    </row>
    <row r="572" spans="1:10" x14ac:dyDescent="0.25">
      <c r="A572" s="1">
        <v>44562</v>
      </c>
      <c r="B572" t="s">
        <v>587</v>
      </c>
      <c r="C572" t="s">
        <v>27</v>
      </c>
      <c r="D572" s="2">
        <v>1043.47</v>
      </c>
      <c r="E572" t="s">
        <v>14</v>
      </c>
      <c r="F572" t="s">
        <v>1543</v>
      </c>
      <c r="G572">
        <v>2022</v>
      </c>
      <c r="H572">
        <f>IF(Table1_1[[#This Row],[Type]]="Expense", _xlfn.XLOOKUP(Table1_1[[#This Row],[Category]], Budget_Ref[Category], Budget_Ref[Monthly Budget], 0), 0)</f>
        <v>0</v>
      </c>
      <c r="I572" t="str">
        <f>IF(Table1_1[[#This Row],[Type]]="Expense", IF(Table1_1[[#This Row],[Amount]]&gt;Table1_1[[#This Row],[Monthly Budget]], "Over Budget", "OK"), "-")</f>
        <v>-</v>
      </c>
      <c r="J572">
        <f>IF(Table1_1[[#This Row],[Type]]="Income", Table1_1[[#This Row],[Amount]], -Table1_1[[#This Row],[Amount]])</f>
        <v>1043.47</v>
      </c>
    </row>
    <row r="573" spans="1:10" x14ac:dyDescent="0.25">
      <c r="A573" s="1">
        <v>44564</v>
      </c>
      <c r="B573" t="s">
        <v>588</v>
      </c>
      <c r="C573" t="s">
        <v>13</v>
      </c>
      <c r="D573" s="2">
        <v>3186</v>
      </c>
      <c r="E573" t="s">
        <v>14</v>
      </c>
      <c r="F573" t="s">
        <v>1543</v>
      </c>
      <c r="G573">
        <v>2022</v>
      </c>
      <c r="H573">
        <f>IF(Table1_1[[#This Row],[Type]]="Expense", _xlfn.XLOOKUP(Table1_1[[#This Row],[Category]], Budget_Ref[Category], Budget_Ref[Monthly Budget], 0), 0)</f>
        <v>0</v>
      </c>
      <c r="I573" t="str">
        <f>IF(Table1_1[[#This Row],[Type]]="Expense", IF(Table1_1[[#This Row],[Amount]]&gt;Table1_1[[#This Row],[Monthly Budget]], "Over Budget", "OK"), "-")</f>
        <v>-</v>
      </c>
      <c r="J573">
        <f>IF(Table1_1[[#This Row],[Type]]="Income", Table1_1[[#This Row],[Amount]], -Table1_1[[#This Row],[Amount]])</f>
        <v>3186</v>
      </c>
    </row>
    <row r="574" spans="1:10" x14ac:dyDescent="0.25">
      <c r="A574" s="1">
        <v>44564</v>
      </c>
      <c r="B574" t="s">
        <v>589</v>
      </c>
      <c r="C574" t="s">
        <v>25</v>
      </c>
      <c r="D574" s="2">
        <v>333.38</v>
      </c>
      <c r="E574" t="s">
        <v>7</v>
      </c>
      <c r="F574" t="s">
        <v>1543</v>
      </c>
      <c r="G574">
        <v>2022</v>
      </c>
      <c r="H574">
        <f>IF(Table1_1[[#This Row],[Type]]="Expense", _xlfn.XLOOKUP(Table1_1[[#This Row],[Category]], Budget_Ref[Category], Budget_Ref[Monthly Budget], 0), 0)</f>
        <v>150</v>
      </c>
      <c r="I574" t="str">
        <f>IF(Table1_1[[#This Row],[Type]]="Expense", IF(Table1_1[[#This Row],[Amount]]&gt;Table1_1[[#This Row],[Monthly Budget]], "Over Budget", "OK"), "-")</f>
        <v>Over Budget</v>
      </c>
      <c r="J574">
        <f>IF(Table1_1[[#This Row],[Type]]="Income", Table1_1[[#This Row],[Amount]], -Table1_1[[#This Row],[Amount]])</f>
        <v>-333.38</v>
      </c>
    </row>
    <row r="575" spans="1:10" x14ac:dyDescent="0.25">
      <c r="A575" s="1">
        <v>44564</v>
      </c>
      <c r="B575" t="s">
        <v>590</v>
      </c>
      <c r="C575" t="s">
        <v>35</v>
      </c>
      <c r="D575" s="2">
        <v>1191.51</v>
      </c>
      <c r="E575" t="s">
        <v>7</v>
      </c>
      <c r="F575" t="s">
        <v>1543</v>
      </c>
      <c r="G575">
        <v>2022</v>
      </c>
      <c r="H575">
        <f>IF(Table1_1[[#This Row],[Type]]="Expense", _xlfn.XLOOKUP(Table1_1[[#This Row],[Category]], Budget_Ref[Category], Budget_Ref[Monthly Budget], 0), 0)</f>
        <v>200</v>
      </c>
      <c r="I575" t="str">
        <f>IF(Table1_1[[#This Row],[Type]]="Expense", IF(Table1_1[[#This Row],[Amount]]&gt;Table1_1[[#This Row],[Monthly Budget]], "Over Budget", "OK"), "-")</f>
        <v>Over Budget</v>
      </c>
      <c r="J575">
        <f>IF(Table1_1[[#This Row],[Type]]="Income", Table1_1[[#This Row],[Amount]], -Table1_1[[#This Row],[Amount]])</f>
        <v>-1191.51</v>
      </c>
    </row>
    <row r="576" spans="1:10" x14ac:dyDescent="0.25">
      <c r="A576" s="1">
        <v>44565</v>
      </c>
      <c r="B576" t="s">
        <v>591</v>
      </c>
      <c r="C576" t="s">
        <v>27</v>
      </c>
      <c r="D576" s="2">
        <v>1420.39</v>
      </c>
      <c r="E576" t="s">
        <v>14</v>
      </c>
      <c r="F576" t="s">
        <v>1543</v>
      </c>
      <c r="G576">
        <v>2022</v>
      </c>
      <c r="H576">
        <f>IF(Table1_1[[#This Row],[Type]]="Expense", _xlfn.XLOOKUP(Table1_1[[#This Row],[Category]], Budget_Ref[Category], Budget_Ref[Monthly Budget], 0), 0)</f>
        <v>0</v>
      </c>
      <c r="I576" t="str">
        <f>IF(Table1_1[[#This Row],[Type]]="Expense", IF(Table1_1[[#This Row],[Amount]]&gt;Table1_1[[#This Row],[Monthly Budget]], "Over Budget", "OK"), "-")</f>
        <v>-</v>
      </c>
      <c r="J576">
        <f>IF(Table1_1[[#This Row],[Type]]="Income", Table1_1[[#This Row],[Amount]], -Table1_1[[#This Row],[Amount]])</f>
        <v>1420.39</v>
      </c>
    </row>
    <row r="577" spans="1:10" x14ac:dyDescent="0.25">
      <c r="A577" s="1">
        <v>44566</v>
      </c>
      <c r="B577" t="s">
        <v>592</v>
      </c>
      <c r="C577" t="s">
        <v>6</v>
      </c>
      <c r="D577" s="2">
        <v>743.03</v>
      </c>
      <c r="E577" t="s">
        <v>7</v>
      </c>
      <c r="F577" t="s">
        <v>1543</v>
      </c>
      <c r="G577">
        <v>2022</v>
      </c>
      <c r="H577">
        <f>IF(Table1_1[[#This Row],[Type]]="Expense", _xlfn.XLOOKUP(Table1_1[[#This Row],[Category]], Budget_Ref[Category], Budget_Ref[Monthly Budget], 0), 0)</f>
        <v>500</v>
      </c>
      <c r="I577" t="str">
        <f>IF(Table1_1[[#This Row],[Type]]="Expense", IF(Table1_1[[#This Row],[Amount]]&gt;Table1_1[[#This Row],[Monthly Budget]], "Over Budget", "OK"), "-")</f>
        <v>Over Budget</v>
      </c>
      <c r="J577">
        <f>IF(Table1_1[[#This Row],[Type]]="Income", Table1_1[[#This Row],[Amount]], -Table1_1[[#This Row],[Amount]])</f>
        <v>-743.03</v>
      </c>
    </row>
    <row r="578" spans="1:10" x14ac:dyDescent="0.25">
      <c r="A578" s="1">
        <v>44567</v>
      </c>
      <c r="B578" t="s">
        <v>593</v>
      </c>
      <c r="C578" t="s">
        <v>17</v>
      </c>
      <c r="D578" s="2">
        <v>1171.57</v>
      </c>
      <c r="E578" t="s">
        <v>7</v>
      </c>
      <c r="F578" t="s">
        <v>1543</v>
      </c>
      <c r="G578">
        <v>2022</v>
      </c>
      <c r="H578">
        <f>IF(Table1_1[[#This Row],[Type]]="Expense", _xlfn.XLOOKUP(Table1_1[[#This Row],[Category]], Budget_Ref[Category], Budget_Ref[Monthly Budget], 0), 0)</f>
        <v>300</v>
      </c>
      <c r="I578" t="str">
        <f>IF(Table1_1[[#This Row],[Type]]="Expense", IF(Table1_1[[#This Row],[Amount]]&gt;Table1_1[[#This Row],[Monthly Budget]], "Over Budget", "OK"), "-")</f>
        <v>Over Budget</v>
      </c>
      <c r="J578">
        <f>IF(Table1_1[[#This Row],[Type]]="Income", Table1_1[[#This Row],[Amount]], -Table1_1[[#This Row],[Amount]])</f>
        <v>-1171.57</v>
      </c>
    </row>
    <row r="579" spans="1:10" x14ac:dyDescent="0.25">
      <c r="A579" s="1">
        <v>44569</v>
      </c>
      <c r="B579" t="s">
        <v>594</v>
      </c>
      <c r="C579" t="s">
        <v>6</v>
      </c>
      <c r="D579" s="2">
        <v>1197.8499999999999</v>
      </c>
      <c r="E579" t="s">
        <v>7</v>
      </c>
      <c r="F579" t="s">
        <v>1543</v>
      </c>
      <c r="G579">
        <v>2022</v>
      </c>
      <c r="H579">
        <f>IF(Table1_1[[#This Row],[Type]]="Expense", _xlfn.XLOOKUP(Table1_1[[#This Row],[Category]], Budget_Ref[Category], Budget_Ref[Monthly Budget], 0), 0)</f>
        <v>500</v>
      </c>
      <c r="I579" t="str">
        <f>IF(Table1_1[[#This Row],[Type]]="Expense", IF(Table1_1[[#This Row],[Amount]]&gt;Table1_1[[#This Row],[Monthly Budget]], "Over Budget", "OK"), "-")</f>
        <v>Over Budget</v>
      </c>
      <c r="J579">
        <f>IF(Table1_1[[#This Row],[Type]]="Income", Table1_1[[#This Row],[Amount]], -Table1_1[[#This Row],[Amount]])</f>
        <v>-1197.8499999999999</v>
      </c>
    </row>
    <row r="580" spans="1:10" x14ac:dyDescent="0.25">
      <c r="A580" s="1">
        <v>44570</v>
      </c>
      <c r="B580" t="s">
        <v>595</v>
      </c>
      <c r="C580" t="s">
        <v>22</v>
      </c>
      <c r="D580" s="2">
        <v>1445.59</v>
      </c>
      <c r="E580" t="s">
        <v>7</v>
      </c>
      <c r="F580" t="s">
        <v>1543</v>
      </c>
      <c r="G580">
        <v>2022</v>
      </c>
      <c r="H580">
        <f>IF(Table1_1[[#This Row],[Type]]="Expense", _xlfn.XLOOKUP(Table1_1[[#This Row],[Category]], Budget_Ref[Category], Budget_Ref[Monthly Budget], 0), 0)</f>
        <v>200</v>
      </c>
      <c r="I580" t="str">
        <f>IF(Table1_1[[#This Row],[Type]]="Expense", IF(Table1_1[[#This Row],[Amount]]&gt;Table1_1[[#This Row],[Monthly Budget]], "Over Budget", "OK"), "-")</f>
        <v>Over Budget</v>
      </c>
      <c r="J580">
        <f>IF(Table1_1[[#This Row],[Type]]="Income", Table1_1[[#This Row],[Amount]], -Table1_1[[#This Row],[Amount]])</f>
        <v>-1445.59</v>
      </c>
    </row>
    <row r="581" spans="1:10" x14ac:dyDescent="0.25">
      <c r="A581" s="1">
        <v>44574</v>
      </c>
      <c r="B581" t="s">
        <v>596</v>
      </c>
      <c r="C581" t="s">
        <v>9</v>
      </c>
      <c r="D581" s="2">
        <v>1053.22</v>
      </c>
      <c r="E581" t="s">
        <v>7</v>
      </c>
      <c r="F581" t="s">
        <v>1543</v>
      </c>
      <c r="G581">
        <v>2022</v>
      </c>
      <c r="H581">
        <f>IF(Table1_1[[#This Row],[Type]]="Expense", _xlfn.XLOOKUP(Table1_1[[#This Row],[Category]], Budget_Ref[Category], Budget_Ref[Monthly Budget], 0), 0)</f>
        <v>150</v>
      </c>
      <c r="I581" t="str">
        <f>IF(Table1_1[[#This Row],[Type]]="Expense", IF(Table1_1[[#This Row],[Amount]]&gt;Table1_1[[#This Row],[Monthly Budget]], "Over Budget", "OK"), "-")</f>
        <v>Over Budget</v>
      </c>
      <c r="J581">
        <f>IF(Table1_1[[#This Row],[Type]]="Income", Table1_1[[#This Row],[Amount]], -Table1_1[[#This Row],[Amount]])</f>
        <v>-1053.22</v>
      </c>
    </row>
    <row r="582" spans="1:10" x14ac:dyDescent="0.25">
      <c r="A582" s="1">
        <v>44574</v>
      </c>
      <c r="B582" t="s">
        <v>597</v>
      </c>
      <c r="C582" t="s">
        <v>17</v>
      </c>
      <c r="D582" s="2">
        <v>304.07</v>
      </c>
      <c r="E582" t="s">
        <v>7</v>
      </c>
      <c r="F582" t="s">
        <v>1543</v>
      </c>
      <c r="G582">
        <v>2022</v>
      </c>
      <c r="H582">
        <f>IF(Table1_1[[#This Row],[Type]]="Expense", _xlfn.XLOOKUP(Table1_1[[#This Row],[Category]], Budget_Ref[Category], Budget_Ref[Monthly Budget], 0), 0)</f>
        <v>300</v>
      </c>
      <c r="I582" t="str">
        <f>IF(Table1_1[[#This Row],[Type]]="Expense", IF(Table1_1[[#This Row],[Amount]]&gt;Table1_1[[#This Row],[Monthly Budget]], "Over Budget", "OK"), "-")</f>
        <v>Over Budget</v>
      </c>
      <c r="J582">
        <f>IF(Table1_1[[#This Row],[Type]]="Income", Table1_1[[#This Row],[Amount]], -Table1_1[[#This Row],[Amount]])</f>
        <v>-304.07</v>
      </c>
    </row>
    <row r="583" spans="1:10" x14ac:dyDescent="0.25">
      <c r="A583" s="1">
        <v>44575</v>
      </c>
      <c r="B583" t="s">
        <v>598</v>
      </c>
      <c r="C583" t="s">
        <v>6</v>
      </c>
      <c r="D583" s="2">
        <v>1149.4100000000001</v>
      </c>
      <c r="E583" t="s">
        <v>7</v>
      </c>
      <c r="F583" t="s">
        <v>1543</v>
      </c>
      <c r="G583">
        <v>2022</v>
      </c>
      <c r="H583">
        <f>IF(Table1_1[[#This Row],[Type]]="Expense", _xlfn.XLOOKUP(Table1_1[[#This Row],[Category]], Budget_Ref[Category], Budget_Ref[Monthly Budget], 0), 0)</f>
        <v>500</v>
      </c>
      <c r="I583" t="str">
        <f>IF(Table1_1[[#This Row],[Type]]="Expense", IF(Table1_1[[#This Row],[Amount]]&gt;Table1_1[[#This Row],[Monthly Budget]], "Over Budget", "OK"), "-")</f>
        <v>Over Budget</v>
      </c>
      <c r="J583">
        <f>IF(Table1_1[[#This Row],[Type]]="Income", Table1_1[[#This Row],[Amount]], -Table1_1[[#This Row],[Amount]])</f>
        <v>-1149.4100000000001</v>
      </c>
    </row>
    <row r="584" spans="1:10" x14ac:dyDescent="0.25">
      <c r="A584" s="1">
        <v>44577</v>
      </c>
      <c r="B584" t="s">
        <v>599</v>
      </c>
      <c r="C584" t="s">
        <v>22</v>
      </c>
      <c r="D584" s="2">
        <v>47.69</v>
      </c>
      <c r="E584" t="s">
        <v>7</v>
      </c>
      <c r="F584" t="s">
        <v>1543</v>
      </c>
      <c r="G584">
        <v>2022</v>
      </c>
      <c r="H584">
        <f>IF(Table1_1[[#This Row],[Type]]="Expense", _xlfn.XLOOKUP(Table1_1[[#This Row],[Category]], Budget_Ref[Category], Budget_Ref[Monthly Budget], 0), 0)</f>
        <v>200</v>
      </c>
      <c r="I584" t="str">
        <f>IF(Table1_1[[#This Row],[Type]]="Expense", IF(Table1_1[[#This Row],[Amount]]&gt;Table1_1[[#This Row],[Monthly Budget]], "Over Budget", "OK"), "-")</f>
        <v>OK</v>
      </c>
      <c r="J584">
        <f>IF(Table1_1[[#This Row],[Type]]="Income", Table1_1[[#This Row],[Amount]], -Table1_1[[#This Row],[Amount]])</f>
        <v>-47.69</v>
      </c>
    </row>
    <row r="585" spans="1:10" x14ac:dyDescent="0.25">
      <c r="A585" s="1">
        <v>44577</v>
      </c>
      <c r="B585" t="s">
        <v>600</v>
      </c>
      <c r="C585" t="s">
        <v>9</v>
      </c>
      <c r="D585" s="2">
        <v>831.79</v>
      </c>
      <c r="E585" t="s">
        <v>7</v>
      </c>
      <c r="F585" t="s">
        <v>1543</v>
      </c>
      <c r="G585">
        <v>2022</v>
      </c>
      <c r="H585">
        <f>IF(Table1_1[[#This Row],[Type]]="Expense", _xlfn.XLOOKUP(Table1_1[[#This Row],[Category]], Budget_Ref[Category], Budget_Ref[Monthly Budget], 0), 0)</f>
        <v>150</v>
      </c>
      <c r="I585" t="str">
        <f>IF(Table1_1[[#This Row],[Type]]="Expense", IF(Table1_1[[#This Row],[Amount]]&gt;Table1_1[[#This Row],[Monthly Budget]], "Over Budget", "OK"), "-")</f>
        <v>Over Budget</v>
      </c>
      <c r="J585">
        <f>IF(Table1_1[[#This Row],[Type]]="Income", Table1_1[[#This Row],[Amount]], -Table1_1[[#This Row],[Amount]])</f>
        <v>-831.79</v>
      </c>
    </row>
    <row r="586" spans="1:10" x14ac:dyDescent="0.25">
      <c r="A586" s="1">
        <v>44579</v>
      </c>
      <c r="B586" t="s">
        <v>601</v>
      </c>
      <c r="C586" t="s">
        <v>27</v>
      </c>
      <c r="D586" s="2">
        <v>1746.91</v>
      </c>
      <c r="E586" t="s">
        <v>14</v>
      </c>
      <c r="F586" t="s">
        <v>1543</v>
      </c>
      <c r="G586">
        <v>2022</v>
      </c>
      <c r="H586">
        <f>IF(Table1_1[[#This Row],[Type]]="Expense", _xlfn.XLOOKUP(Table1_1[[#This Row],[Category]], Budget_Ref[Category], Budget_Ref[Monthly Budget], 0), 0)</f>
        <v>0</v>
      </c>
      <c r="I586" t="str">
        <f>IF(Table1_1[[#This Row],[Type]]="Expense", IF(Table1_1[[#This Row],[Amount]]&gt;Table1_1[[#This Row],[Monthly Budget]], "Over Budget", "OK"), "-")</f>
        <v>-</v>
      </c>
      <c r="J586">
        <f>IF(Table1_1[[#This Row],[Type]]="Income", Table1_1[[#This Row],[Amount]], -Table1_1[[#This Row],[Amount]])</f>
        <v>1746.91</v>
      </c>
    </row>
    <row r="587" spans="1:10" x14ac:dyDescent="0.25">
      <c r="A587" s="1">
        <v>44579</v>
      </c>
      <c r="B587" t="s">
        <v>602</v>
      </c>
      <c r="C587" t="s">
        <v>6</v>
      </c>
      <c r="D587" s="2">
        <v>1414.49</v>
      </c>
      <c r="E587" t="s">
        <v>7</v>
      </c>
      <c r="F587" t="s">
        <v>1543</v>
      </c>
      <c r="G587">
        <v>2022</v>
      </c>
      <c r="H587">
        <f>IF(Table1_1[[#This Row],[Type]]="Expense", _xlfn.XLOOKUP(Table1_1[[#This Row],[Category]], Budget_Ref[Category], Budget_Ref[Monthly Budget], 0), 0)</f>
        <v>500</v>
      </c>
      <c r="I587" t="str">
        <f>IF(Table1_1[[#This Row],[Type]]="Expense", IF(Table1_1[[#This Row],[Amount]]&gt;Table1_1[[#This Row],[Monthly Budget]], "Over Budget", "OK"), "-")</f>
        <v>Over Budget</v>
      </c>
      <c r="J587">
        <f>IF(Table1_1[[#This Row],[Type]]="Income", Table1_1[[#This Row],[Amount]], -Table1_1[[#This Row],[Amount]])</f>
        <v>-1414.49</v>
      </c>
    </row>
    <row r="588" spans="1:10" x14ac:dyDescent="0.25">
      <c r="A588" s="1">
        <v>44582</v>
      </c>
      <c r="B588" t="s">
        <v>603</v>
      </c>
      <c r="C588" t="s">
        <v>25</v>
      </c>
      <c r="D588" s="2">
        <v>1996.26</v>
      </c>
      <c r="E588" t="s">
        <v>7</v>
      </c>
      <c r="F588" t="s">
        <v>1543</v>
      </c>
      <c r="G588">
        <v>2022</v>
      </c>
      <c r="H588">
        <f>IF(Table1_1[[#This Row],[Type]]="Expense", _xlfn.XLOOKUP(Table1_1[[#This Row],[Category]], Budget_Ref[Category], Budget_Ref[Monthly Budget], 0), 0)</f>
        <v>150</v>
      </c>
      <c r="I588" t="str">
        <f>IF(Table1_1[[#This Row],[Type]]="Expense", IF(Table1_1[[#This Row],[Amount]]&gt;Table1_1[[#This Row],[Monthly Budget]], "Over Budget", "OK"), "-")</f>
        <v>Over Budget</v>
      </c>
      <c r="J588">
        <f>IF(Table1_1[[#This Row],[Type]]="Income", Table1_1[[#This Row],[Amount]], -Table1_1[[#This Row],[Amount]])</f>
        <v>-1996.26</v>
      </c>
    </row>
    <row r="589" spans="1:10" x14ac:dyDescent="0.25">
      <c r="A589" s="1">
        <v>44582</v>
      </c>
      <c r="B589" t="s">
        <v>604</v>
      </c>
      <c r="C589" t="s">
        <v>17</v>
      </c>
      <c r="D589" s="2">
        <v>634.37</v>
      </c>
      <c r="E589" t="s">
        <v>7</v>
      </c>
      <c r="F589" t="s">
        <v>1543</v>
      </c>
      <c r="G589">
        <v>2022</v>
      </c>
      <c r="H589">
        <f>IF(Table1_1[[#This Row],[Type]]="Expense", _xlfn.XLOOKUP(Table1_1[[#This Row],[Category]], Budget_Ref[Category], Budget_Ref[Monthly Budget], 0), 0)</f>
        <v>300</v>
      </c>
      <c r="I589" t="str">
        <f>IF(Table1_1[[#This Row],[Type]]="Expense", IF(Table1_1[[#This Row],[Amount]]&gt;Table1_1[[#This Row],[Monthly Budget]], "Over Budget", "OK"), "-")</f>
        <v>Over Budget</v>
      </c>
      <c r="J589">
        <f>IF(Table1_1[[#This Row],[Type]]="Income", Table1_1[[#This Row],[Amount]], -Table1_1[[#This Row],[Amount]])</f>
        <v>-634.37</v>
      </c>
    </row>
    <row r="590" spans="1:10" x14ac:dyDescent="0.25">
      <c r="A590" s="1">
        <v>44583</v>
      </c>
      <c r="B590" t="s">
        <v>605</v>
      </c>
      <c r="C590" t="s">
        <v>20</v>
      </c>
      <c r="D590" s="2">
        <v>4975</v>
      </c>
      <c r="E590" t="s">
        <v>14</v>
      </c>
      <c r="F590" t="s">
        <v>1543</v>
      </c>
      <c r="G590">
        <v>2022</v>
      </c>
      <c r="H590">
        <f>IF(Table1_1[[#This Row],[Type]]="Expense", _xlfn.XLOOKUP(Table1_1[[#This Row],[Category]], Budget_Ref[Category], Budget_Ref[Monthly Budget], 0), 0)</f>
        <v>0</v>
      </c>
      <c r="I590" t="str">
        <f>IF(Table1_1[[#This Row],[Type]]="Expense", IF(Table1_1[[#This Row],[Amount]]&gt;Table1_1[[#This Row],[Monthly Budget]], "Over Budget", "OK"), "-")</f>
        <v>-</v>
      </c>
      <c r="J590">
        <f>IF(Table1_1[[#This Row],[Type]]="Income", Table1_1[[#This Row],[Amount]], -Table1_1[[#This Row],[Amount]])</f>
        <v>4975</v>
      </c>
    </row>
    <row r="591" spans="1:10" x14ac:dyDescent="0.25">
      <c r="A591" s="1">
        <v>44584</v>
      </c>
      <c r="B591" t="s">
        <v>606</v>
      </c>
      <c r="C591" t="s">
        <v>35</v>
      </c>
      <c r="D591" s="2">
        <v>1224.05</v>
      </c>
      <c r="E591" t="s">
        <v>7</v>
      </c>
      <c r="F591" t="s">
        <v>1543</v>
      </c>
      <c r="G591">
        <v>2022</v>
      </c>
      <c r="H591">
        <f>IF(Table1_1[[#This Row],[Type]]="Expense", _xlfn.XLOOKUP(Table1_1[[#This Row],[Category]], Budget_Ref[Category], Budget_Ref[Monthly Budget], 0), 0)</f>
        <v>200</v>
      </c>
      <c r="I591" t="str">
        <f>IF(Table1_1[[#This Row],[Type]]="Expense", IF(Table1_1[[#This Row],[Amount]]&gt;Table1_1[[#This Row],[Monthly Budget]], "Over Budget", "OK"), "-")</f>
        <v>Over Budget</v>
      </c>
      <c r="J591">
        <f>IF(Table1_1[[#This Row],[Type]]="Income", Table1_1[[#This Row],[Amount]], -Table1_1[[#This Row],[Amount]])</f>
        <v>-1224.05</v>
      </c>
    </row>
    <row r="592" spans="1:10" x14ac:dyDescent="0.25">
      <c r="A592" s="1">
        <v>44585</v>
      </c>
      <c r="B592" t="s">
        <v>607</v>
      </c>
      <c r="C592" t="s">
        <v>13</v>
      </c>
      <c r="D592" s="2">
        <v>2785</v>
      </c>
      <c r="E592" t="s">
        <v>14</v>
      </c>
      <c r="F592" t="s">
        <v>1543</v>
      </c>
      <c r="G592">
        <v>2022</v>
      </c>
      <c r="H592">
        <f>IF(Table1_1[[#This Row],[Type]]="Expense", _xlfn.XLOOKUP(Table1_1[[#This Row],[Category]], Budget_Ref[Category], Budget_Ref[Monthly Budget], 0), 0)</f>
        <v>0</v>
      </c>
      <c r="I592" t="str">
        <f>IF(Table1_1[[#This Row],[Type]]="Expense", IF(Table1_1[[#This Row],[Amount]]&gt;Table1_1[[#This Row],[Monthly Budget]], "Over Budget", "OK"), "-")</f>
        <v>-</v>
      </c>
      <c r="J592">
        <f>IF(Table1_1[[#This Row],[Type]]="Income", Table1_1[[#This Row],[Amount]], -Table1_1[[#This Row],[Amount]])</f>
        <v>2785</v>
      </c>
    </row>
    <row r="593" spans="1:10" x14ac:dyDescent="0.25">
      <c r="A593" s="1">
        <v>44589</v>
      </c>
      <c r="B593" t="s">
        <v>608</v>
      </c>
      <c r="C593" t="s">
        <v>22</v>
      </c>
      <c r="D593" s="2">
        <v>1883.56</v>
      </c>
      <c r="E593" t="s">
        <v>7</v>
      </c>
      <c r="F593" t="s">
        <v>1543</v>
      </c>
      <c r="G593">
        <v>2022</v>
      </c>
      <c r="H593">
        <f>IF(Table1_1[[#This Row],[Type]]="Expense", _xlfn.XLOOKUP(Table1_1[[#This Row],[Category]], Budget_Ref[Category], Budget_Ref[Monthly Budget], 0), 0)</f>
        <v>200</v>
      </c>
      <c r="I593" t="str">
        <f>IF(Table1_1[[#This Row],[Type]]="Expense", IF(Table1_1[[#This Row],[Amount]]&gt;Table1_1[[#This Row],[Monthly Budget]], "Over Budget", "OK"), "-")</f>
        <v>Over Budget</v>
      </c>
      <c r="J593">
        <f>IF(Table1_1[[#This Row],[Type]]="Income", Table1_1[[#This Row],[Amount]], -Table1_1[[#This Row],[Amount]])</f>
        <v>-1883.56</v>
      </c>
    </row>
    <row r="594" spans="1:10" x14ac:dyDescent="0.25">
      <c r="A594" s="1">
        <v>44593</v>
      </c>
      <c r="B594" t="s">
        <v>609</v>
      </c>
      <c r="C594" t="s">
        <v>35</v>
      </c>
      <c r="D594" s="2">
        <v>1412.75</v>
      </c>
      <c r="E594" t="s">
        <v>7</v>
      </c>
      <c r="F594" t="s">
        <v>1544</v>
      </c>
      <c r="G594">
        <v>2022</v>
      </c>
      <c r="H594">
        <f>IF(Table1_1[[#This Row],[Type]]="Expense", _xlfn.XLOOKUP(Table1_1[[#This Row],[Category]], Budget_Ref[Category], Budget_Ref[Monthly Budget], 0), 0)</f>
        <v>200</v>
      </c>
      <c r="I594" t="str">
        <f>IF(Table1_1[[#This Row],[Type]]="Expense", IF(Table1_1[[#This Row],[Amount]]&gt;Table1_1[[#This Row],[Monthly Budget]], "Over Budget", "OK"), "-")</f>
        <v>Over Budget</v>
      </c>
      <c r="J594">
        <f>IF(Table1_1[[#This Row],[Type]]="Income", Table1_1[[#This Row],[Amount]], -Table1_1[[#This Row],[Amount]])</f>
        <v>-1412.75</v>
      </c>
    </row>
    <row r="595" spans="1:10" x14ac:dyDescent="0.25">
      <c r="A595" s="1">
        <v>44594</v>
      </c>
      <c r="B595" t="s">
        <v>610</v>
      </c>
      <c r="C595" t="s">
        <v>27</v>
      </c>
      <c r="D595" s="2">
        <v>640.91</v>
      </c>
      <c r="E595" t="s">
        <v>14</v>
      </c>
      <c r="F595" t="s">
        <v>1544</v>
      </c>
      <c r="G595">
        <v>2022</v>
      </c>
      <c r="H595">
        <f>IF(Table1_1[[#This Row],[Type]]="Expense", _xlfn.XLOOKUP(Table1_1[[#This Row],[Category]], Budget_Ref[Category], Budget_Ref[Monthly Budget], 0), 0)</f>
        <v>0</v>
      </c>
      <c r="I595" t="str">
        <f>IF(Table1_1[[#This Row],[Type]]="Expense", IF(Table1_1[[#This Row],[Amount]]&gt;Table1_1[[#This Row],[Monthly Budget]], "Over Budget", "OK"), "-")</f>
        <v>-</v>
      </c>
      <c r="J595">
        <f>IF(Table1_1[[#This Row],[Type]]="Income", Table1_1[[#This Row],[Amount]], -Table1_1[[#This Row],[Amount]])</f>
        <v>640.91</v>
      </c>
    </row>
    <row r="596" spans="1:10" x14ac:dyDescent="0.25">
      <c r="A596" s="1">
        <v>44597</v>
      </c>
      <c r="B596" t="s">
        <v>611</v>
      </c>
      <c r="C596" t="s">
        <v>35</v>
      </c>
      <c r="D596" s="2">
        <v>582.70000000000005</v>
      </c>
      <c r="E596" t="s">
        <v>7</v>
      </c>
      <c r="F596" t="s">
        <v>1544</v>
      </c>
      <c r="G596">
        <v>2022</v>
      </c>
      <c r="H596">
        <f>IF(Table1_1[[#This Row],[Type]]="Expense", _xlfn.XLOOKUP(Table1_1[[#This Row],[Category]], Budget_Ref[Category], Budget_Ref[Monthly Budget], 0), 0)</f>
        <v>200</v>
      </c>
      <c r="I596" t="str">
        <f>IF(Table1_1[[#This Row],[Type]]="Expense", IF(Table1_1[[#This Row],[Amount]]&gt;Table1_1[[#This Row],[Monthly Budget]], "Over Budget", "OK"), "-")</f>
        <v>Over Budget</v>
      </c>
      <c r="J596">
        <f>IF(Table1_1[[#This Row],[Type]]="Income", Table1_1[[#This Row],[Amount]], -Table1_1[[#This Row],[Amount]])</f>
        <v>-582.70000000000005</v>
      </c>
    </row>
    <row r="597" spans="1:10" x14ac:dyDescent="0.25">
      <c r="A597" s="1">
        <v>44597</v>
      </c>
      <c r="B597" t="s">
        <v>612</v>
      </c>
      <c r="C597" t="s">
        <v>17</v>
      </c>
      <c r="D597" s="2">
        <v>1792.56</v>
      </c>
      <c r="E597" t="s">
        <v>7</v>
      </c>
      <c r="F597" t="s">
        <v>1544</v>
      </c>
      <c r="G597">
        <v>2022</v>
      </c>
      <c r="H597">
        <f>IF(Table1_1[[#This Row],[Type]]="Expense", _xlfn.XLOOKUP(Table1_1[[#This Row],[Category]], Budget_Ref[Category], Budget_Ref[Monthly Budget], 0), 0)</f>
        <v>300</v>
      </c>
      <c r="I597" t="str">
        <f>IF(Table1_1[[#This Row],[Type]]="Expense", IF(Table1_1[[#This Row],[Amount]]&gt;Table1_1[[#This Row],[Monthly Budget]], "Over Budget", "OK"), "-")</f>
        <v>Over Budget</v>
      </c>
      <c r="J597">
        <f>IF(Table1_1[[#This Row],[Type]]="Income", Table1_1[[#This Row],[Amount]], -Table1_1[[#This Row],[Amount]])</f>
        <v>-1792.56</v>
      </c>
    </row>
    <row r="598" spans="1:10" x14ac:dyDescent="0.25">
      <c r="A598" s="1">
        <v>44598</v>
      </c>
      <c r="B598" t="s">
        <v>613</v>
      </c>
      <c r="C598" t="s">
        <v>25</v>
      </c>
      <c r="D598" s="2">
        <v>1909.67</v>
      </c>
      <c r="E598" t="s">
        <v>7</v>
      </c>
      <c r="F598" t="s">
        <v>1544</v>
      </c>
      <c r="G598">
        <v>2022</v>
      </c>
      <c r="H598">
        <f>IF(Table1_1[[#This Row],[Type]]="Expense", _xlfn.XLOOKUP(Table1_1[[#This Row],[Category]], Budget_Ref[Category], Budget_Ref[Monthly Budget], 0), 0)</f>
        <v>150</v>
      </c>
      <c r="I598" t="str">
        <f>IF(Table1_1[[#This Row],[Type]]="Expense", IF(Table1_1[[#This Row],[Amount]]&gt;Table1_1[[#This Row],[Monthly Budget]], "Over Budget", "OK"), "-")</f>
        <v>Over Budget</v>
      </c>
      <c r="J598">
        <f>IF(Table1_1[[#This Row],[Type]]="Income", Table1_1[[#This Row],[Amount]], -Table1_1[[#This Row],[Amount]])</f>
        <v>-1909.67</v>
      </c>
    </row>
    <row r="599" spans="1:10" x14ac:dyDescent="0.25">
      <c r="A599" s="1">
        <v>44600</v>
      </c>
      <c r="B599" t="s">
        <v>614</v>
      </c>
      <c r="C599" t="s">
        <v>35</v>
      </c>
      <c r="D599" s="2">
        <v>93.71</v>
      </c>
      <c r="E599" t="s">
        <v>7</v>
      </c>
      <c r="F599" t="s">
        <v>1544</v>
      </c>
      <c r="G599">
        <v>2022</v>
      </c>
      <c r="H599">
        <f>IF(Table1_1[[#This Row],[Type]]="Expense", _xlfn.XLOOKUP(Table1_1[[#This Row],[Category]], Budget_Ref[Category], Budget_Ref[Monthly Budget], 0), 0)</f>
        <v>200</v>
      </c>
      <c r="I599" t="str">
        <f>IF(Table1_1[[#This Row],[Type]]="Expense", IF(Table1_1[[#This Row],[Amount]]&gt;Table1_1[[#This Row],[Monthly Budget]], "Over Budget", "OK"), "-")</f>
        <v>OK</v>
      </c>
      <c r="J599">
        <f>IF(Table1_1[[#This Row],[Type]]="Income", Table1_1[[#This Row],[Amount]], -Table1_1[[#This Row],[Amount]])</f>
        <v>-93.71</v>
      </c>
    </row>
    <row r="600" spans="1:10" x14ac:dyDescent="0.25">
      <c r="A600" s="1">
        <v>44600</v>
      </c>
      <c r="B600" t="s">
        <v>615</v>
      </c>
      <c r="C600" t="s">
        <v>11</v>
      </c>
      <c r="D600" s="2">
        <v>699.26</v>
      </c>
      <c r="E600" t="s">
        <v>7</v>
      </c>
      <c r="F600" t="s">
        <v>1544</v>
      </c>
      <c r="G600">
        <v>2022</v>
      </c>
      <c r="H600">
        <f>IF(Table1_1[[#This Row],[Type]]="Expense", _xlfn.XLOOKUP(Table1_1[[#This Row],[Category]], Budget_Ref[Category], Budget_Ref[Monthly Budget], 0), 0)</f>
        <v>1500</v>
      </c>
      <c r="I600" t="str">
        <f>IF(Table1_1[[#This Row],[Type]]="Expense", IF(Table1_1[[#This Row],[Amount]]&gt;Table1_1[[#This Row],[Monthly Budget]], "Over Budget", "OK"), "-")</f>
        <v>OK</v>
      </c>
      <c r="J600">
        <f>IF(Table1_1[[#This Row],[Type]]="Income", Table1_1[[#This Row],[Amount]], -Table1_1[[#This Row],[Amount]])</f>
        <v>-699.26</v>
      </c>
    </row>
    <row r="601" spans="1:10" x14ac:dyDescent="0.25">
      <c r="A601" s="1">
        <v>44601</v>
      </c>
      <c r="B601" t="s">
        <v>616</v>
      </c>
      <c r="C601" t="s">
        <v>35</v>
      </c>
      <c r="D601" s="2">
        <v>1497.2</v>
      </c>
      <c r="E601" t="s">
        <v>7</v>
      </c>
      <c r="F601" t="s">
        <v>1544</v>
      </c>
      <c r="G601">
        <v>2022</v>
      </c>
      <c r="H601">
        <f>IF(Table1_1[[#This Row],[Type]]="Expense", _xlfn.XLOOKUP(Table1_1[[#This Row],[Category]], Budget_Ref[Category], Budget_Ref[Monthly Budget], 0), 0)</f>
        <v>200</v>
      </c>
      <c r="I601" t="str">
        <f>IF(Table1_1[[#This Row],[Type]]="Expense", IF(Table1_1[[#This Row],[Amount]]&gt;Table1_1[[#This Row],[Monthly Budget]], "Over Budget", "OK"), "-")</f>
        <v>Over Budget</v>
      </c>
      <c r="J601">
        <f>IF(Table1_1[[#This Row],[Type]]="Income", Table1_1[[#This Row],[Amount]], -Table1_1[[#This Row],[Amount]])</f>
        <v>-1497.2</v>
      </c>
    </row>
    <row r="602" spans="1:10" x14ac:dyDescent="0.25">
      <c r="A602" s="1">
        <v>44602</v>
      </c>
      <c r="B602" t="s">
        <v>617</v>
      </c>
      <c r="C602" t="s">
        <v>35</v>
      </c>
      <c r="D602" s="2">
        <v>1866.72</v>
      </c>
      <c r="E602" t="s">
        <v>7</v>
      </c>
      <c r="F602" t="s">
        <v>1544</v>
      </c>
      <c r="G602">
        <v>2022</v>
      </c>
      <c r="H602">
        <f>IF(Table1_1[[#This Row],[Type]]="Expense", _xlfn.XLOOKUP(Table1_1[[#This Row],[Category]], Budget_Ref[Category], Budget_Ref[Monthly Budget], 0), 0)</f>
        <v>200</v>
      </c>
      <c r="I602" t="str">
        <f>IF(Table1_1[[#This Row],[Type]]="Expense", IF(Table1_1[[#This Row],[Amount]]&gt;Table1_1[[#This Row],[Monthly Budget]], "Over Budget", "OK"), "-")</f>
        <v>Over Budget</v>
      </c>
      <c r="J602">
        <f>IF(Table1_1[[#This Row],[Type]]="Income", Table1_1[[#This Row],[Amount]], -Table1_1[[#This Row],[Amount]])</f>
        <v>-1866.72</v>
      </c>
    </row>
    <row r="603" spans="1:10" x14ac:dyDescent="0.25">
      <c r="A603" s="1">
        <v>44602</v>
      </c>
      <c r="B603" t="s">
        <v>618</v>
      </c>
      <c r="C603" t="s">
        <v>9</v>
      </c>
      <c r="D603" s="2">
        <v>227.36</v>
      </c>
      <c r="E603" t="s">
        <v>7</v>
      </c>
      <c r="F603" t="s">
        <v>1544</v>
      </c>
      <c r="G603">
        <v>2022</v>
      </c>
      <c r="H603">
        <f>IF(Table1_1[[#This Row],[Type]]="Expense", _xlfn.XLOOKUP(Table1_1[[#This Row],[Category]], Budget_Ref[Category], Budget_Ref[Monthly Budget], 0), 0)</f>
        <v>150</v>
      </c>
      <c r="I603" t="str">
        <f>IF(Table1_1[[#This Row],[Type]]="Expense", IF(Table1_1[[#This Row],[Amount]]&gt;Table1_1[[#This Row],[Monthly Budget]], "Over Budget", "OK"), "-")</f>
        <v>Over Budget</v>
      </c>
      <c r="J603">
        <f>IF(Table1_1[[#This Row],[Type]]="Income", Table1_1[[#This Row],[Amount]], -Table1_1[[#This Row],[Amount]])</f>
        <v>-227.36</v>
      </c>
    </row>
    <row r="604" spans="1:10" x14ac:dyDescent="0.25">
      <c r="A604" s="1">
        <v>44602</v>
      </c>
      <c r="B604" t="s">
        <v>619</v>
      </c>
      <c r="C604" t="s">
        <v>22</v>
      </c>
      <c r="D604" s="2">
        <v>492.49</v>
      </c>
      <c r="E604" t="s">
        <v>7</v>
      </c>
      <c r="F604" t="s">
        <v>1544</v>
      </c>
      <c r="G604">
        <v>2022</v>
      </c>
      <c r="H604">
        <f>IF(Table1_1[[#This Row],[Type]]="Expense", _xlfn.XLOOKUP(Table1_1[[#This Row],[Category]], Budget_Ref[Category], Budget_Ref[Monthly Budget], 0), 0)</f>
        <v>200</v>
      </c>
      <c r="I604" t="str">
        <f>IF(Table1_1[[#This Row],[Type]]="Expense", IF(Table1_1[[#This Row],[Amount]]&gt;Table1_1[[#This Row],[Monthly Budget]], "Over Budget", "OK"), "-")</f>
        <v>Over Budget</v>
      </c>
      <c r="J604">
        <f>IF(Table1_1[[#This Row],[Type]]="Income", Table1_1[[#This Row],[Amount]], -Table1_1[[#This Row],[Amount]])</f>
        <v>-492.49</v>
      </c>
    </row>
    <row r="605" spans="1:10" x14ac:dyDescent="0.25">
      <c r="A605" s="1">
        <v>44602</v>
      </c>
      <c r="B605" t="s">
        <v>620</v>
      </c>
      <c r="C605" t="s">
        <v>22</v>
      </c>
      <c r="D605" s="2">
        <v>1279.51</v>
      </c>
      <c r="E605" t="s">
        <v>7</v>
      </c>
      <c r="F605" t="s">
        <v>1544</v>
      </c>
      <c r="G605">
        <v>2022</v>
      </c>
      <c r="H605">
        <f>IF(Table1_1[[#This Row],[Type]]="Expense", _xlfn.XLOOKUP(Table1_1[[#This Row],[Category]], Budget_Ref[Category], Budget_Ref[Monthly Budget], 0), 0)</f>
        <v>200</v>
      </c>
      <c r="I605" t="str">
        <f>IF(Table1_1[[#This Row],[Type]]="Expense", IF(Table1_1[[#This Row],[Amount]]&gt;Table1_1[[#This Row],[Monthly Budget]], "Over Budget", "OK"), "-")</f>
        <v>Over Budget</v>
      </c>
      <c r="J605">
        <f>IF(Table1_1[[#This Row],[Type]]="Income", Table1_1[[#This Row],[Amount]], -Table1_1[[#This Row],[Amount]])</f>
        <v>-1279.51</v>
      </c>
    </row>
    <row r="606" spans="1:10" x14ac:dyDescent="0.25">
      <c r="A606" s="1">
        <v>44603</v>
      </c>
      <c r="B606" t="s">
        <v>621</v>
      </c>
      <c r="C606" t="s">
        <v>20</v>
      </c>
      <c r="D606" s="2">
        <v>3205</v>
      </c>
      <c r="E606" t="s">
        <v>14</v>
      </c>
      <c r="F606" t="s">
        <v>1544</v>
      </c>
      <c r="G606">
        <v>2022</v>
      </c>
      <c r="H606">
        <f>IF(Table1_1[[#This Row],[Type]]="Expense", _xlfn.XLOOKUP(Table1_1[[#This Row],[Category]], Budget_Ref[Category], Budget_Ref[Monthly Budget], 0), 0)</f>
        <v>0</v>
      </c>
      <c r="I606" t="str">
        <f>IF(Table1_1[[#This Row],[Type]]="Expense", IF(Table1_1[[#This Row],[Amount]]&gt;Table1_1[[#This Row],[Monthly Budget]], "Over Budget", "OK"), "-")</f>
        <v>-</v>
      </c>
      <c r="J606">
        <f>IF(Table1_1[[#This Row],[Type]]="Income", Table1_1[[#This Row],[Amount]], -Table1_1[[#This Row],[Amount]])</f>
        <v>3205</v>
      </c>
    </row>
    <row r="607" spans="1:10" x14ac:dyDescent="0.25">
      <c r="A607" s="1">
        <v>44606</v>
      </c>
      <c r="B607" t="s">
        <v>622</v>
      </c>
      <c r="C607" t="s">
        <v>11</v>
      </c>
      <c r="D607" s="2">
        <v>1365.57</v>
      </c>
      <c r="E607" t="s">
        <v>7</v>
      </c>
      <c r="F607" t="s">
        <v>1544</v>
      </c>
      <c r="G607">
        <v>2022</v>
      </c>
      <c r="H607">
        <f>IF(Table1_1[[#This Row],[Type]]="Expense", _xlfn.XLOOKUP(Table1_1[[#This Row],[Category]], Budget_Ref[Category], Budget_Ref[Monthly Budget], 0), 0)</f>
        <v>1500</v>
      </c>
      <c r="I607" t="str">
        <f>IF(Table1_1[[#This Row],[Type]]="Expense", IF(Table1_1[[#This Row],[Amount]]&gt;Table1_1[[#This Row],[Monthly Budget]], "Over Budget", "OK"), "-")</f>
        <v>OK</v>
      </c>
      <c r="J607">
        <f>IF(Table1_1[[#This Row],[Type]]="Income", Table1_1[[#This Row],[Amount]], -Table1_1[[#This Row],[Amount]])</f>
        <v>-1365.57</v>
      </c>
    </row>
    <row r="608" spans="1:10" x14ac:dyDescent="0.25">
      <c r="A608" s="1">
        <v>44609</v>
      </c>
      <c r="B608" t="s">
        <v>623</v>
      </c>
      <c r="C608" t="s">
        <v>13</v>
      </c>
      <c r="D608" s="2">
        <v>3833</v>
      </c>
      <c r="E608" t="s">
        <v>14</v>
      </c>
      <c r="F608" t="s">
        <v>1544</v>
      </c>
      <c r="G608">
        <v>2022</v>
      </c>
      <c r="H608">
        <f>IF(Table1_1[[#This Row],[Type]]="Expense", _xlfn.XLOOKUP(Table1_1[[#This Row],[Category]], Budget_Ref[Category], Budget_Ref[Monthly Budget], 0), 0)</f>
        <v>0</v>
      </c>
      <c r="I608" t="str">
        <f>IF(Table1_1[[#This Row],[Type]]="Expense", IF(Table1_1[[#This Row],[Amount]]&gt;Table1_1[[#This Row],[Monthly Budget]], "Over Budget", "OK"), "-")</f>
        <v>-</v>
      </c>
      <c r="J608">
        <f>IF(Table1_1[[#This Row],[Type]]="Income", Table1_1[[#This Row],[Amount]], -Table1_1[[#This Row],[Amount]])</f>
        <v>3833</v>
      </c>
    </row>
    <row r="609" spans="1:10" x14ac:dyDescent="0.25">
      <c r="A609" s="1">
        <v>44609</v>
      </c>
      <c r="B609" t="s">
        <v>624</v>
      </c>
      <c r="C609" t="s">
        <v>27</v>
      </c>
      <c r="D609" s="2">
        <v>960.12</v>
      </c>
      <c r="E609" t="s">
        <v>14</v>
      </c>
      <c r="F609" t="s">
        <v>1544</v>
      </c>
      <c r="G609">
        <v>2022</v>
      </c>
      <c r="H609">
        <f>IF(Table1_1[[#This Row],[Type]]="Expense", _xlfn.XLOOKUP(Table1_1[[#This Row],[Category]], Budget_Ref[Category], Budget_Ref[Monthly Budget], 0), 0)</f>
        <v>0</v>
      </c>
      <c r="I609" t="str">
        <f>IF(Table1_1[[#This Row],[Type]]="Expense", IF(Table1_1[[#This Row],[Amount]]&gt;Table1_1[[#This Row],[Monthly Budget]], "Over Budget", "OK"), "-")</f>
        <v>-</v>
      </c>
      <c r="J609">
        <f>IF(Table1_1[[#This Row],[Type]]="Income", Table1_1[[#This Row],[Amount]], -Table1_1[[#This Row],[Amount]])</f>
        <v>960.12</v>
      </c>
    </row>
    <row r="610" spans="1:10" x14ac:dyDescent="0.25">
      <c r="A610" s="1">
        <v>44609</v>
      </c>
      <c r="B610" t="s">
        <v>625</v>
      </c>
      <c r="C610" t="s">
        <v>20</v>
      </c>
      <c r="D610" s="2">
        <v>3131</v>
      </c>
      <c r="E610" t="s">
        <v>14</v>
      </c>
      <c r="F610" t="s">
        <v>1544</v>
      </c>
      <c r="G610">
        <v>2022</v>
      </c>
      <c r="H610">
        <f>IF(Table1_1[[#This Row],[Type]]="Expense", _xlfn.XLOOKUP(Table1_1[[#This Row],[Category]], Budget_Ref[Category], Budget_Ref[Monthly Budget], 0), 0)</f>
        <v>0</v>
      </c>
      <c r="I610" t="str">
        <f>IF(Table1_1[[#This Row],[Type]]="Expense", IF(Table1_1[[#This Row],[Amount]]&gt;Table1_1[[#This Row],[Monthly Budget]], "Over Budget", "OK"), "-")</f>
        <v>-</v>
      </c>
      <c r="J610">
        <f>IF(Table1_1[[#This Row],[Type]]="Income", Table1_1[[#This Row],[Amount]], -Table1_1[[#This Row],[Amount]])</f>
        <v>3131</v>
      </c>
    </row>
    <row r="611" spans="1:10" x14ac:dyDescent="0.25">
      <c r="A611" s="1">
        <v>44609</v>
      </c>
      <c r="B611" t="s">
        <v>626</v>
      </c>
      <c r="C611" t="s">
        <v>6</v>
      </c>
      <c r="D611" s="2">
        <v>1816.79</v>
      </c>
      <c r="E611" t="s">
        <v>7</v>
      </c>
      <c r="F611" t="s">
        <v>1544</v>
      </c>
      <c r="G611">
        <v>2022</v>
      </c>
      <c r="H611">
        <f>IF(Table1_1[[#This Row],[Type]]="Expense", _xlfn.XLOOKUP(Table1_1[[#This Row],[Category]], Budget_Ref[Category], Budget_Ref[Monthly Budget], 0), 0)</f>
        <v>500</v>
      </c>
      <c r="I611" t="str">
        <f>IF(Table1_1[[#This Row],[Type]]="Expense", IF(Table1_1[[#This Row],[Amount]]&gt;Table1_1[[#This Row],[Monthly Budget]], "Over Budget", "OK"), "-")</f>
        <v>Over Budget</v>
      </c>
      <c r="J611">
        <f>IF(Table1_1[[#This Row],[Type]]="Income", Table1_1[[#This Row],[Amount]], -Table1_1[[#This Row],[Amount]])</f>
        <v>-1816.79</v>
      </c>
    </row>
    <row r="612" spans="1:10" x14ac:dyDescent="0.25">
      <c r="A612" s="1">
        <v>44610</v>
      </c>
      <c r="B612" t="s">
        <v>627</v>
      </c>
      <c r="C612" t="s">
        <v>13</v>
      </c>
      <c r="D612" s="2">
        <v>4883</v>
      </c>
      <c r="E612" t="s">
        <v>14</v>
      </c>
      <c r="F612" t="s">
        <v>1544</v>
      </c>
      <c r="G612">
        <v>2022</v>
      </c>
      <c r="H612">
        <f>IF(Table1_1[[#This Row],[Type]]="Expense", _xlfn.XLOOKUP(Table1_1[[#This Row],[Category]], Budget_Ref[Category], Budget_Ref[Monthly Budget], 0), 0)</f>
        <v>0</v>
      </c>
      <c r="I612" t="str">
        <f>IF(Table1_1[[#This Row],[Type]]="Expense", IF(Table1_1[[#This Row],[Amount]]&gt;Table1_1[[#This Row],[Monthly Budget]], "Over Budget", "OK"), "-")</f>
        <v>-</v>
      </c>
      <c r="J612">
        <f>IF(Table1_1[[#This Row],[Type]]="Income", Table1_1[[#This Row],[Amount]], -Table1_1[[#This Row],[Amount]])</f>
        <v>4883</v>
      </c>
    </row>
    <row r="613" spans="1:10" x14ac:dyDescent="0.25">
      <c r="A613" s="1">
        <v>44613</v>
      </c>
      <c r="B613" t="s">
        <v>628</v>
      </c>
      <c r="C613" t="s">
        <v>6</v>
      </c>
      <c r="D613" s="2">
        <v>1827.33</v>
      </c>
      <c r="E613" t="s">
        <v>7</v>
      </c>
      <c r="F613" t="s">
        <v>1544</v>
      </c>
      <c r="G613">
        <v>2022</v>
      </c>
      <c r="H613">
        <f>IF(Table1_1[[#This Row],[Type]]="Expense", _xlfn.XLOOKUP(Table1_1[[#This Row],[Category]], Budget_Ref[Category], Budget_Ref[Monthly Budget], 0), 0)</f>
        <v>500</v>
      </c>
      <c r="I613" t="str">
        <f>IF(Table1_1[[#This Row],[Type]]="Expense", IF(Table1_1[[#This Row],[Amount]]&gt;Table1_1[[#This Row],[Monthly Budget]], "Over Budget", "OK"), "-")</f>
        <v>Over Budget</v>
      </c>
      <c r="J613">
        <f>IF(Table1_1[[#This Row],[Type]]="Income", Table1_1[[#This Row],[Amount]], -Table1_1[[#This Row],[Amount]])</f>
        <v>-1827.33</v>
      </c>
    </row>
    <row r="614" spans="1:10" x14ac:dyDescent="0.25">
      <c r="A614" s="1">
        <v>44614</v>
      </c>
      <c r="B614" t="s">
        <v>629</v>
      </c>
      <c r="C614" t="s">
        <v>13</v>
      </c>
      <c r="D614" s="2">
        <v>797</v>
      </c>
      <c r="E614" t="s">
        <v>14</v>
      </c>
      <c r="F614" t="s">
        <v>1544</v>
      </c>
      <c r="G614">
        <v>2022</v>
      </c>
      <c r="H614">
        <f>IF(Table1_1[[#This Row],[Type]]="Expense", _xlfn.XLOOKUP(Table1_1[[#This Row],[Category]], Budget_Ref[Category], Budget_Ref[Monthly Budget], 0), 0)</f>
        <v>0</v>
      </c>
      <c r="I614" t="str">
        <f>IF(Table1_1[[#This Row],[Type]]="Expense", IF(Table1_1[[#This Row],[Amount]]&gt;Table1_1[[#This Row],[Monthly Budget]], "Over Budget", "OK"), "-")</f>
        <v>-</v>
      </c>
      <c r="J614">
        <f>IF(Table1_1[[#This Row],[Type]]="Income", Table1_1[[#This Row],[Amount]], -Table1_1[[#This Row],[Amount]])</f>
        <v>797</v>
      </c>
    </row>
    <row r="615" spans="1:10" x14ac:dyDescent="0.25">
      <c r="A615" s="1">
        <v>44614</v>
      </c>
      <c r="B615" t="s">
        <v>630</v>
      </c>
      <c r="C615" t="s">
        <v>17</v>
      </c>
      <c r="D615" s="2">
        <v>1578.04</v>
      </c>
      <c r="E615" t="s">
        <v>7</v>
      </c>
      <c r="F615" t="s">
        <v>1544</v>
      </c>
      <c r="G615">
        <v>2022</v>
      </c>
      <c r="H615">
        <f>IF(Table1_1[[#This Row],[Type]]="Expense", _xlfn.XLOOKUP(Table1_1[[#This Row],[Category]], Budget_Ref[Category], Budget_Ref[Monthly Budget], 0), 0)</f>
        <v>300</v>
      </c>
      <c r="I615" t="str">
        <f>IF(Table1_1[[#This Row],[Type]]="Expense", IF(Table1_1[[#This Row],[Amount]]&gt;Table1_1[[#This Row],[Monthly Budget]], "Over Budget", "OK"), "-")</f>
        <v>Over Budget</v>
      </c>
      <c r="J615">
        <f>IF(Table1_1[[#This Row],[Type]]="Income", Table1_1[[#This Row],[Amount]], -Table1_1[[#This Row],[Amount]])</f>
        <v>-1578.04</v>
      </c>
    </row>
    <row r="616" spans="1:10" x14ac:dyDescent="0.25">
      <c r="A616" s="1">
        <v>44617</v>
      </c>
      <c r="B616" t="s">
        <v>631</v>
      </c>
      <c r="C616" t="s">
        <v>20</v>
      </c>
      <c r="D616" s="2">
        <v>806</v>
      </c>
      <c r="E616" t="s">
        <v>14</v>
      </c>
      <c r="F616" t="s">
        <v>1544</v>
      </c>
      <c r="G616">
        <v>2022</v>
      </c>
      <c r="H616">
        <f>IF(Table1_1[[#This Row],[Type]]="Expense", _xlfn.XLOOKUP(Table1_1[[#This Row],[Category]], Budget_Ref[Category], Budget_Ref[Monthly Budget], 0), 0)</f>
        <v>0</v>
      </c>
      <c r="I616" t="str">
        <f>IF(Table1_1[[#This Row],[Type]]="Expense", IF(Table1_1[[#This Row],[Amount]]&gt;Table1_1[[#This Row],[Monthly Budget]], "Over Budget", "OK"), "-")</f>
        <v>-</v>
      </c>
      <c r="J616">
        <f>IF(Table1_1[[#This Row],[Type]]="Income", Table1_1[[#This Row],[Amount]], -Table1_1[[#This Row],[Amount]])</f>
        <v>806</v>
      </c>
    </row>
    <row r="617" spans="1:10" x14ac:dyDescent="0.25">
      <c r="A617" s="1">
        <v>44619</v>
      </c>
      <c r="B617" t="s">
        <v>632</v>
      </c>
      <c r="C617" t="s">
        <v>13</v>
      </c>
      <c r="D617" s="2">
        <v>3244</v>
      </c>
      <c r="E617" t="s">
        <v>14</v>
      </c>
      <c r="F617" t="s">
        <v>1544</v>
      </c>
      <c r="G617">
        <v>2022</v>
      </c>
      <c r="H617">
        <f>IF(Table1_1[[#This Row],[Type]]="Expense", _xlfn.XLOOKUP(Table1_1[[#This Row],[Category]], Budget_Ref[Category], Budget_Ref[Monthly Budget], 0), 0)</f>
        <v>0</v>
      </c>
      <c r="I617" t="str">
        <f>IF(Table1_1[[#This Row],[Type]]="Expense", IF(Table1_1[[#This Row],[Amount]]&gt;Table1_1[[#This Row],[Monthly Budget]], "Over Budget", "OK"), "-")</f>
        <v>-</v>
      </c>
      <c r="J617">
        <f>IF(Table1_1[[#This Row],[Type]]="Income", Table1_1[[#This Row],[Amount]], -Table1_1[[#This Row],[Amount]])</f>
        <v>3244</v>
      </c>
    </row>
    <row r="618" spans="1:10" x14ac:dyDescent="0.25">
      <c r="A618" s="1">
        <v>44621</v>
      </c>
      <c r="B618" t="s">
        <v>633</v>
      </c>
      <c r="C618" t="s">
        <v>27</v>
      </c>
      <c r="D618" s="2">
        <v>1779.63</v>
      </c>
      <c r="E618" t="s">
        <v>14</v>
      </c>
      <c r="F618" t="s">
        <v>1545</v>
      </c>
      <c r="G618">
        <v>2022</v>
      </c>
      <c r="H618">
        <f>IF(Table1_1[[#This Row],[Type]]="Expense", _xlfn.XLOOKUP(Table1_1[[#This Row],[Category]], Budget_Ref[Category], Budget_Ref[Monthly Budget], 0), 0)</f>
        <v>0</v>
      </c>
      <c r="I618" t="str">
        <f>IF(Table1_1[[#This Row],[Type]]="Expense", IF(Table1_1[[#This Row],[Amount]]&gt;Table1_1[[#This Row],[Monthly Budget]], "Over Budget", "OK"), "-")</f>
        <v>-</v>
      </c>
      <c r="J618">
        <f>IF(Table1_1[[#This Row],[Type]]="Income", Table1_1[[#This Row],[Amount]], -Table1_1[[#This Row],[Amount]])</f>
        <v>1779.63</v>
      </c>
    </row>
    <row r="619" spans="1:10" x14ac:dyDescent="0.25">
      <c r="A619" s="1">
        <v>44622</v>
      </c>
      <c r="B619" t="s">
        <v>634</v>
      </c>
      <c r="C619" t="s">
        <v>20</v>
      </c>
      <c r="D619" s="2">
        <v>2735</v>
      </c>
      <c r="E619" t="s">
        <v>14</v>
      </c>
      <c r="F619" t="s">
        <v>1545</v>
      </c>
      <c r="G619">
        <v>2022</v>
      </c>
      <c r="H619">
        <f>IF(Table1_1[[#This Row],[Type]]="Expense", _xlfn.XLOOKUP(Table1_1[[#This Row],[Category]], Budget_Ref[Category], Budget_Ref[Monthly Budget], 0), 0)</f>
        <v>0</v>
      </c>
      <c r="I619" t="str">
        <f>IF(Table1_1[[#This Row],[Type]]="Expense", IF(Table1_1[[#This Row],[Amount]]&gt;Table1_1[[#This Row],[Monthly Budget]], "Over Budget", "OK"), "-")</f>
        <v>-</v>
      </c>
      <c r="J619">
        <f>IF(Table1_1[[#This Row],[Type]]="Income", Table1_1[[#This Row],[Amount]], -Table1_1[[#This Row],[Amount]])</f>
        <v>2735</v>
      </c>
    </row>
    <row r="620" spans="1:10" x14ac:dyDescent="0.25">
      <c r="A620" s="1">
        <v>44624</v>
      </c>
      <c r="B620" t="s">
        <v>635</v>
      </c>
      <c r="C620" t="s">
        <v>13</v>
      </c>
      <c r="D620" s="2">
        <v>3208</v>
      </c>
      <c r="E620" t="s">
        <v>14</v>
      </c>
      <c r="F620" t="s">
        <v>1545</v>
      </c>
      <c r="G620">
        <v>2022</v>
      </c>
      <c r="H620">
        <f>IF(Table1_1[[#This Row],[Type]]="Expense", _xlfn.XLOOKUP(Table1_1[[#This Row],[Category]], Budget_Ref[Category], Budget_Ref[Monthly Budget], 0), 0)</f>
        <v>0</v>
      </c>
      <c r="I620" t="str">
        <f>IF(Table1_1[[#This Row],[Type]]="Expense", IF(Table1_1[[#This Row],[Amount]]&gt;Table1_1[[#This Row],[Monthly Budget]], "Over Budget", "OK"), "-")</f>
        <v>-</v>
      </c>
      <c r="J620">
        <f>IF(Table1_1[[#This Row],[Type]]="Income", Table1_1[[#This Row],[Amount]], -Table1_1[[#This Row],[Amount]])</f>
        <v>3208</v>
      </c>
    </row>
    <row r="621" spans="1:10" x14ac:dyDescent="0.25">
      <c r="A621" s="1">
        <v>44625</v>
      </c>
      <c r="B621" t="s">
        <v>636</v>
      </c>
      <c r="C621" t="s">
        <v>20</v>
      </c>
      <c r="D621" s="2">
        <v>2607</v>
      </c>
      <c r="E621" t="s">
        <v>14</v>
      </c>
      <c r="F621" t="s">
        <v>1545</v>
      </c>
      <c r="G621">
        <v>2022</v>
      </c>
      <c r="H621">
        <f>IF(Table1_1[[#This Row],[Type]]="Expense", _xlfn.XLOOKUP(Table1_1[[#This Row],[Category]], Budget_Ref[Category], Budget_Ref[Monthly Budget], 0), 0)</f>
        <v>0</v>
      </c>
      <c r="I621" t="str">
        <f>IF(Table1_1[[#This Row],[Type]]="Expense", IF(Table1_1[[#This Row],[Amount]]&gt;Table1_1[[#This Row],[Monthly Budget]], "Over Budget", "OK"), "-")</f>
        <v>-</v>
      </c>
      <c r="J621">
        <f>IF(Table1_1[[#This Row],[Type]]="Income", Table1_1[[#This Row],[Amount]], -Table1_1[[#This Row],[Amount]])</f>
        <v>2607</v>
      </c>
    </row>
    <row r="622" spans="1:10" x14ac:dyDescent="0.25">
      <c r="A622" s="1">
        <v>44627</v>
      </c>
      <c r="B622" t="s">
        <v>637</v>
      </c>
      <c r="C622" t="s">
        <v>6</v>
      </c>
      <c r="D622" s="2">
        <v>1475.87</v>
      </c>
      <c r="E622" t="s">
        <v>7</v>
      </c>
      <c r="F622" t="s">
        <v>1545</v>
      </c>
      <c r="G622">
        <v>2022</v>
      </c>
      <c r="H622">
        <f>IF(Table1_1[[#This Row],[Type]]="Expense", _xlfn.XLOOKUP(Table1_1[[#This Row],[Category]], Budget_Ref[Category], Budget_Ref[Monthly Budget], 0), 0)</f>
        <v>500</v>
      </c>
      <c r="I622" t="str">
        <f>IF(Table1_1[[#This Row],[Type]]="Expense", IF(Table1_1[[#This Row],[Amount]]&gt;Table1_1[[#This Row],[Monthly Budget]], "Over Budget", "OK"), "-")</f>
        <v>Over Budget</v>
      </c>
      <c r="J622">
        <f>IF(Table1_1[[#This Row],[Type]]="Income", Table1_1[[#This Row],[Amount]], -Table1_1[[#This Row],[Amount]])</f>
        <v>-1475.87</v>
      </c>
    </row>
    <row r="623" spans="1:10" x14ac:dyDescent="0.25">
      <c r="A623" s="1">
        <v>44627</v>
      </c>
      <c r="B623" t="s">
        <v>638</v>
      </c>
      <c r="C623" t="s">
        <v>22</v>
      </c>
      <c r="D623" s="2">
        <v>359.23</v>
      </c>
      <c r="E623" t="s">
        <v>7</v>
      </c>
      <c r="F623" t="s">
        <v>1545</v>
      </c>
      <c r="G623">
        <v>2022</v>
      </c>
      <c r="H623">
        <f>IF(Table1_1[[#This Row],[Type]]="Expense", _xlfn.XLOOKUP(Table1_1[[#This Row],[Category]], Budget_Ref[Category], Budget_Ref[Monthly Budget], 0), 0)</f>
        <v>200</v>
      </c>
      <c r="I623" t="str">
        <f>IF(Table1_1[[#This Row],[Type]]="Expense", IF(Table1_1[[#This Row],[Amount]]&gt;Table1_1[[#This Row],[Monthly Budget]], "Over Budget", "OK"), "-")</f>
        <v>Over Budget</v>
      </c>
      <c r="J623">
        <f>IF(Table1_1[[#This Row],[Type]]="Income", Table1_1[[#This Row],[Amount]], -Table1_1[[#This Row],[Amount]])</f>
        <v>-359.23</v>
      </c>
    </row>
    <row r="624" spans="1:10" x14ac:dyDescent="0.25">
      <c r="A624" s="1">
        <v>44632</v>
      </c>
      <c r="B624" t="s">
        <v>639</v>
      </c>
      <c r="C624" t="s">
        <v>17</v>
      </c>
      <c r="D624" s="2">
        <v>1655.71</v>
      </c>
      <c r="E624" t="s">
        <v>7</v>
      </c>
      <c r="F624" t="s">
        <v>1545</v>
      </c>
      <c r="G624">
        <v>2022</v>
      </c>
      <c r="H624">
        <f>IF(Table1_1[[#This Row],[Type]]="Expense", _xlfn.XLOOKUP(Table1_1[[#This Row],[Category]], Budget_Ref[Category], Budget_Ref[Monthly Budget], 0), 0)</f>
        <v>300</v>
      </c>
      <c r="I624" t="str">
        <f>IF(Table1_1[[#This Row],[Type]]="Expense", IF(Table1_1[[#This Row],[Amount]]&gt;Table1_1[[#This Row],[Monthly Budget]], "Over Budget", "OK"), "-")</f>
        <v>Over Budget</v>
      </c>
      <c r="J624">
        <f>IF(Table1_1[[#This Row],[Type]]="Income", Table1_1[[#This Row],[Amount]], -Table1_1[[#This Row],[Amount]])</f>
        <v>-1655.71</v>
      </c>
    </row>
    <row r="625" spans="1:10" x14ac:dyDescent="0.25">
      <c r="A625" s="1">
        <v>44634</v>
      </c>
      <c r="B625" t="s">
        <v>640</v>
      </c>
      <c r="C625" t="s">
        <v>11</v>
      </c>
      <c r="D625" s="2">
        <v>807.66</v>
      </c>
      <c r="E625" t="s">
        <v>7</v>
      </c>
      <c r="F625" t="s">
        <v>1545</v>
      </c>
      <c r="G625">
        <v>2022</v>
      </c>
      <c r="H625">
        <f>IF(Table1_1[[#This Row],[Type]]="Expense", _xlfn.XLOOKUP(Table1_1[[#This Row],[Category]], Budget_Ref[Category], Budget_Ref[Monthly Budget], 0), 0)</f>
        <v>1500</v>
      </c>
      <c r="I625" t="str">
        <f>IF(Table1_1[[#This Row],[Type]]="Expense", IF(Table1_1[[#This Row],[Amount]]&gt;Table1_1[[#This Row],[Monthly Budget]], "Over Budget", "OK"), "-")</f>
        <v>OK</v>
      </c>
      <c r="J625">
        <f>IF(Table1_1[[#This Row],[Type]]="Income", Table1_1[[#This Row],[Amount]], -Table1_1[[#This Row],[Amount]])</f>
        <v>-807.66</v>
      </c>
    </row>
    <row r="626" spans="1:10" x14ac:dyDescent="0.25">
      <c r="A626" s="1">
        <v>44637</v>
      </c>
      <c r="B626" t="s">
        <v>641</v>
      </c>
      <c r="C626" t="s">
        <v>13</v>
      </c>
      <c r="D626" s="2">
        <v>4411</v>
      </c>
      <c r="E626" t="s">
        <v>14</v>
      </c>
      <c r="F626" t="s">
        <v>1545</v>
      </c>
      <c r="G626">
        <v>2022</v>
      </c>
      <c r="H626">
        <f>IF(Table1_1[[#This Row],[Type]]="Expense", _xlfn.XLOOKUP(Table1_1[[#This Row],[Category]], Budget_Ref[Category], Budget_Ref[Monthly Budget], 0), 0)</f>
        <v>0</v>
      </c>
      <c r="I626" t="str">
        <f>IF(Table1_1[[#This Row],[Type]]="Expense", IF(Table1_1[[#This Row],[Amount]]&gt;Table1_1[[#This Row],[Monthly Budget]], "Over Budget", "OK"), "-")</f>
        <v>-</v>
      </c>
      <c r="J626">
        <f>IF(Table1_1[[#This Row],[Type]]="Income", Table1_1[[#This Row],[Amount]], -Table1_1[[#This Row],[Amount]])</f>
        <v>4411</v>
      </c>
    </row>
    <row r="627" spans="1:10" x14ac:dyDescent="0.25">
      <c r="A627" s="1">
        <v>44637</v>
      </c>
      <c r="B627" t="s">
        <v>642</v>
      </c>
      <c r="C627" t="s">
        <v>22</v>
      </c>
      <c r="D627" s="2">
        <v>23.59</v>
      </c>
      <c r="E627" t="s">
        <v>7</v>
      </c>
      <c r="F627" t="s">
        <v>1545</v>
      </c>
      <c r="G627">
        <v>2022</v>
      </c>
      <c r="H627">
        <f>IF(Table1_1[[#This Row],[Type]]="Expense", _xlfn.XLOOKUP(Table1_1[[#This Row],[Category]], Budget_Ref[Category], Budget_Ref[Monthly Budget], 0), 0)</f>
        <v>200</v>
      </c>
      <c r="I627" t="str">
        <f>IF(Table1_1[[#This Row],[Type]]="Expense", IF(Table1_1[[#This Row],[Amount]]&gt;Table1_1[[#This Row],[Monthly Budget]], "Over Budget", "OK"), "-")</f>
        <v>OK</v>
      </c>
      <c r="J627">
        <f>IF(Table1_1[[#This Row],[Type]]="Income", Table1_1[[#This Row],[Amount]], -Table1_1[[#This Row],[Amount]])</f>
        <v>-23.59</v>
      </c>
    </row>
    <row r="628" spans="1:10" x14ac:dyDescent="0.25">
      <c r="A628" s="1">
        <v>44638</v>
      </c>
      <c r="B628" t="s">
        <v>643</v>
      </c>
      <c r="C628" t="s">
        <v>27</v>
      </c>
      <c r="D628" s="2">
        <v>1509.98</v>
      </c>
      <c r="E628" t="s">
        <v>14</v>
      </c>
      <c r="F628" t="s">
        <v>1545</v>
      </c>
      <c r="G628">
        <v>2022</v>
      </c>
      <c r="H628">
        <f>IF(Table1_1[[#This Row],[Type]]="Expense", _xlfn.XLOOKUP(Table1_1[[#This Row],[Category]], Budget_Ref[Category], Budget_Ref[Monthly Budget], 0), 0)</f>
        <v>0</v>
      </c>
      <c r="I628" t="str">
        <f>IF(Table1_1[[#This Row],[Type]]="Expense", IF(Table1_1[[#This Row],[Amount]]&gt;Table1_1[[#This Row],[Monthly Budget]], "Over Budget", "OK"), "-")</f>
        <v>-</v>
      </c>
      <c r="J628">
        <f>IF(Table1_1[[#This Row],[Type]]="Income", Table1_1[[#This Row],[Amount]], -Table1_1[[#This Row],[Amount]])</f>
        <v>1509.98</v>
      </c>
    </row>
    <row r="629" spans="1:10" x14ac:dyDescent="0.25">
      <c r="A629" s="1">
        <v>44638</v>
      </c>
      <c r="B629" t="s">
        <v>644</v>
      </c>
      <c r="C629" t="s">
        <v>35</v>
      </c>
      <c r="D629" s="2">
        <v>1169.0999999999999</v>
      </c>
      <c r="E629" t="s">
        <v>7</v>
      </c>
      <c r="F629" t="s">
        <v>1545</v>
      </c>
      <c r="G629">
        <v>2022</v>
      </c>
      <c r="H629">
        <f>IF(Table1_1[[#This Row],[Type]]="Expense", _xlfn.XLOOKUP(Table1_1[[#This Row],[Category]], Budget_Ref[Category], Budget_Ref[Monthly Budget], 0), 0)</f>
        <v>200</v>
      </c>
      <c r="I629" t="str">
        <f>IF(Table1_1[[#This Row],[Type]]="Expense", IF(Table1_1[[#This Row],[Amount]]&gt;Table1_1[[#This Row],[Monthly Budget]], "Over Budget", "OK"), "-")</f>
        <v>Over Budget</v>
      </c>
      <c r="J629">
        <f>IF(Table1_1[[#This Row],[Type]]="Income", Table1_1[[#This Row],[Amount]], -Table1_1[[#This Row],[Amount]])</f>
        <v>-1169.0999999999999</v>
      </c>
    </row>
    <row r="630" spans="1:10" x14ac:dyDescent="0.25">
      <c r="A630" s="1">
        <v>44638</v>
      </c>
      <c r="B630" t="s">
        <v>645</v>
      </c>
      <c r="C630" t="s">
        <v>35</v>
      </c>
      <c r="D630" s="2">
        <v>1310.83</v>
      </c>
      <c r="E630" t="s">
        <v>7</v>
      </c>
      <c r="F630" t="s">
        <v>1545</v>
      </c>
      <c r="G630">
        <v>2022</v>
      </c>
      <c r="H630">
        <f>IF(Table1_1[[#This Row],[Type]]="Expense", _xlfn.XLOOKUP(Table1_1[[#This Row],[Category]], Budget_Ref[Category], Budget_Ref[Monthly Budget], 0), 0)</f>
        <v>200</v>
      </c>
      <c r="I630" t="str">
        <f>IF(Table1_1[[#This Row],[Type]]="Expense", IF(Table1_1[[#This Row],[Amount]]&gt;Table1_1[[#This Row],[Monthly Budget]], "Over Budget", "OK"), "-")</f>
        <v>Over Budget</v>
      </c>
      <c r="J630">
        <f>IF(Table1_1[[#This Row],[Type]]="Income", Table1_1[[#This Row],[Amount]], -Table1_1[[#This Row],[Amount]])</f>
        <v>-1310.83</v>
      </c>
    </row>
    <row r="631" spans="1:10" x14ac:dyDescent="0.25">
      <c r="A631" s="1">
        <v>44640</v>
      </c>
      <c r="B631" t="s">
        <v>646</v>
      </c>
      <c r="C631" t="s">
        <v>6</v>
      </c>
      <c r="D631" s="2">
        <v>1338.89</v>
      </c>
      <c r="E631" t="s">
        <v>7</v>
      </c>
      <c r="F631" t="s">
        <v>1545</v>
      </c>
      <c r="G631">
        <v>2022</v>
      </c>
      <c r="H631">
        <f>IF(Table1_1[[#This Row],[Type]]="Expense", _xlfn.XLOOKUP(Table1_1[[#This Row],[Category]], Budget_Ref[Category], Budget_Ref[Monthly Budget], 0), 0)</f>
        <v>500</v>
      </c>
      <c r="I631" t="str">
        <f>IF(Table1_1[[#This Row],[Type]]="Expense", IF(Table1_1[[#This Row],[Amount]]&gt;Table1_1[[#This Row],[Monthly Budget]], "Over Budget", "OK"), "-")</f>
        <v>Over Budget</v>
      </c>
      <c r="J631">
        <f>IF(Table1_1[[#This Row],[Type]]="Income", Table1_1[[#This Row],[Amount]], -Table1_1[[#This Row],[Amount]])</f>
        <v>-1338.89</v>
      </c>
    </row>
    <row r="632" spans="1:10" x14ac:dyDescent="0.25">
      <c r="A632" s="1">
        <v>44640</v>
      </c>
      <c r="B632" t="s">
        <v>647</v>
      </c>
      <c r="C632" t="s">
        <v>9</v>
      </c>
      <c r="D632" s="2">
        <v>816.78</v>
      </c>
      <c r="E632" t="s">
        <v>7</v>
      </c>
      <c r="F632" t="s">
        <v>1545</v>
      </c>
      <c r="G632">
        <v>2022</v>
      </c>
      <c r="H632">
        <f>IF(Table1_1[[#This Row],[Type]]="Expense", _xlfn.XLOOKUP(Table1_1[[#This Row],[Category]], Budget_Ref[Category], Budget_Ref[Monthly Budget], 0), 0)</f>
        <v>150</v>
      </c>
      <c r="I632" t="str">
        <f>IF(Table1_1[[#This Row],[Type]]="Expense", IF(Table1_1[[#This Row],[Amount]]&gt;Table1_1[[#This Row],[Monthly Budget]], "Over Budget", "OK"), "-")</f>
        <v>Over Budget</v>
      </c>
      <c r="J632">
        <f>IF(Table1_1[[#This Row],[Type]]="Income", Table1_1[[#This Row],[Amount]], -Table1_1[[#This Row],[Amount]])</f>
        <v>-816.78</v>
      </c>
    </row>
    <row r="633" spans="1:10" x14ac:dyDescent="0.25">
      <c r="A633" s="1">
        <v>44642</v>
      </c>
      <c r="B633" t="s">
        <v>648</v>
      </c>
      <c r="C633" t="s">
        <v>35</v>
      </c>
      <c r="D633" s="2">
        <v>1383.68</v>
      </c>
      <c r="E633" t="s">
        <v>7</v>
      </c>
      <c r="F633" t="s">
        <v>1545</v>
      </c>
      <c r="G633">
        <v>2022</v>
      </c>
      <c r="H633">
        <f>IF(Table1_1[[#This Row],[Type]]="Expense", _xlfn.XLOOKUP(Table1_1[[#This Row],[Category]], Budget_Ref[Category], Budget_Ref[Monthly Budget], 0), 0)</f>
        <v>200</v>
      </c>
      <c r="I633" t="str">
        <f>IF(Table1_1[[#This Row],[Type]]="Expense", IF(Table1_1[[#This Row],[Amount]]&gt;Table1_1[[#This Row],[Monthly Budget]], "Over Budget", "OK"), "-")</f>
        <v>Over Budget</v>
      </c>
      <c r="J633">
        <f>IF(Table1_1[[#This Row],[Type]]="Income", Table1_1[[#This Row],[Amount]], -Table1_1[[#This Row],[Amount]])</f>
        <v>-1383.68</v>
      </c>
    </row>
    <row r="634" spans="1:10" x14ac:dyDescent="0.25">
      <c r="A634" s="1">
        <v>44643</v>
      </c>
      <c r="B634" t="s">
        <v>649</v>
      </c>
      <c r="C634" t="s">
        <v>35</v>
      </c>
      <c r="D634" s="2">
        <v>741.41</v>
      </c>
      <c r="E634" t="s">
        <v>7</v>
      </c>
      <c r="F634" t="s">
        <v>1545</v>
      </c>
      <c r="G634">
        <v>2022</v>
      </c>
      <c r="H634">
        <f>IF(Table1_1[[#This Row],[Type]]="Expense", _xlfn.XLOOKUP(Table1_1[[#This Row],[Category]], Budget_Ref[Category], Budget_Ref[Monthly Budget], 0), 0)</f>
        <v>200</v>
      </c>
      <c r="I634" t="str">
        <f>IF(Table1_1[[#This Row],[Type]]="Expense", IF(Table1_1[[#This Row],[Amount]]&gt;Table1_1[[#This Row],[Monthly Budget]], "Over Budget", "OK"), "-")</f>
        <v>Over Budget</v>
      </c>
      <c r="J634">
        <f>IF(Table1_1[[#This Row],[Type]]="Income", Table1_1[[#This Row],[Amount]], -Table1_1[[#This Row],[Amount]])</f>
        <v>-741.41</v>
      </c>
    </row>
    <row r="635" spans="1:10" x14ac:dyDescent="0.25">
      <c r="A635" s="1">
        <v>44643</v>
      </c>
      <c r="B635" t="s">
        <v>650</v>
      </c>
      <c r="C635" t="s">
        <v>9</v>
      </c>
      <c r="D635" s="2">
        <v>961.58</v>
      </c>
      <c r="E635" t="s">
        <v>7</v>
      </c>
      <c r="F635" t="s">
        <v>1545</v>
      </c>
      <c r="G635">
        <v>2022</v>
      </c>
      <c r="H635">
        <f>IF(Table1_1[[#This Row],[Type]]="Expense", _xlfn.XLOOKUP(Table1_1[[#This Row],[Category]], Budget_Ref[Category], Budget_Ref[Monthly Budget], 0), 0)</f>
        <v>150</v>
      </c>
      <c r="I635" t="str">
        <f>IF(Table1_1[[#This Row],[Type]]="Expense", IF(Table1_1[[#This Row],[Amount]]&gt;Table1_1[[#This Row],[Monthly Budget]], "Over Budget", "OK"), "-")</f>
        <v>Over Budget</v>
      </c>
      <c r="J635">
        <f>IF(Table1_1[[#This Row],[Type]]="Income", Table1_1[[#This Row],[Amount]], -Table1_1[[#This Row],[Amount]])</f>
        <v>-961.58</v>
      </c>
    </row>
    <row r="636" spans="1:10" x14ac:dyDescent="0.25">
      <c r="A636" s="1">
        <v>44644</v>
      </c>
      <c r="B636" t="s">
        <v>651</v>
      </c>
      <c r="C636" t="s">
        <v>25</v>
      </c>
      <c r="D636" s="2">
        <v>837.53</v>
      </c>
      <c r="E636" t="s">
        <v>7</v>
      </c>
      <c r="F636" t="s">
        <v>1545</v>
      </c>
      <c r="G636">
        <v>2022</v>
      </c>
      <c r="H636">
        <f>IF(Table1_1[[#This Row],[Type]]="Expense", _xlfn.XLOOKUP(Table1_1[[#This Row],[Category]], Budget_Ref[Category], Budget_Ref[Monthly Budget], 0), 0)</f>
        <v>150</v>
      </c>
      <c r="I636" t="str">
        <f>IF(Table1_1[[#This Row],[Type]]="Expense", IF(Table1_1[[#This Row],[Amount]]&gt;Table1_1[[#This Row],[Monthly Budget]], "Over Budget", "OK"), "-")</f>
        <v>Over Budget</v>
      </c>
      <c r="J636">
        <f>IF(Table1_1[[#This Row],[Type]]="Income", Table1_1[[#This Row],[Amount]], -Table1_1[[#This Row],[Amount]])</f>
        <v>-837.53</v>
      </c>
    </row>
    <row r="637" spans="1:10" x14ac:dyDescent="0.25">
      <c r="A637" s="1">
        <v>44645</v>
      </c>
      <c r="B637" t="s">
        <v>652</v>
      </c>
      <c r="C637" t="s">
        <v>27</v>
      </c>
      <c r="D637" s="2">
        <v>1517.13</v>
      </c>
      <c r="E637" t="s">
        <v>14</v>
      </c>
      <c r="F637" t="s">
        <v>1545</v>
      </c>
      <c r="G637">
        <v>2022</v>
      </c>
      <c r="H637">
        <f>IF(Table1_1[[#This Row],[Type]]="Expense", _xlfn.XLOOKUP(Table1_1[[#This Row],[Category]], Budget_Ref[Category], Budget_Ref[Monthly Budget], 0), 0)</f>
        <v>0</v>
      </c>
      <c r="I637" t="str">
        <f>IF(Table1_1[[#This Row],[Type]]="Expense", IF(Table1_1[[#This Row],[Amount]]&gt;Table1_1[[#This Row],[Monthly Budget]], "Over Budget", "OK"), "-")</f>
        <v>-</v>
      </c>
      <c r="J637">
        <f>IF(Table1_1[[#This Row],[Type]]="Income", Table1_1[[#This Row],[Amount]], -Table1_1[[#This Row],[Amount]])</f>
        <v>1517.13</v>
      </c>
    </row>
    <row r="638" spans="1:10" x14ac:dyDescent="0.25">
      <c r="A638" s="1">
        <v>44646</v>
      </c>
      <c r="B638" t="s">
        <v>653</v>
      </c>
      <c r="C638" t="s">
        <v>22</v>
      </c>
      <c r="D638" s="2">
        <v>1526.1</v>
      </c>
      <c r="E638" t="s">
        <v>7</v>
      </c>
      <c r="F638" t="s">
        <v>1545</v>
      </c>
      <c r="G638">
        <v>2022</v>
      </c>
      <c r="H638">
        <f>IF(Table1_1[[#This Row],[Type]]="Expense", _xlfn.XLOOKUP(Table1_1[[#This Row],[Category]], Budget_Ref[Category], Budget_Ref[Monthly Budget], 0), 0)</f>
        <v>200</v>
      </c>
      <c r="I638" t="str">
        <f>IF(Table1_1[[#This Row],[Type]]="Expense", IF(Table1_1[[#This Row],[Amount]]&gt;Table1_1[[#This Row],[Monthly Budget]], "Over Budget", "OK"), "-")</f>
        <v>Over Budget</v>
      </c>
      <c r="J638">
        <f>IF(Table1_1[[#This Row],[Type]]="Income", Table1_1[[#This Row],[Amount]], -Table1_1[[#This Row],[Amount]])</f>
        <v>-1526.1</v>
      </c>
    </row>
    <row r="639" spans="1:10" x14ac:dyDescent="0.25">
      <c r="A639" s="1">
        <v>44647</v>
      </c>
      <c r="B639" t="s">
        <v>654</v>
      </c>
      <c r="C639" t="s">
        <v>11</v>
      </c>
      <c r="D639" s="2">
        <v>1055.76</v>
      </c>
      <c r="E639" t="s">
        <v>7</v>
      </c>
      <c r="F639" t="s">
        <v>1545</v>
      </c>
      <c r="G639">
        <v>2022</v>
      </c>
      <c r="H639">
        <f>IF(Table1_1[[#This Row],[Type]]="Expense", _xlfn.XLOOKUP(Table1_1[[#This Row],[Category]], Budget_Ref[Category], Budget_Ref[Monthly Budget], 0), 0)</f>
        <v>1500</v>
      </c>
      <c r="I639" t="str">
        <f>IF(Table1_1[[#This Row],[Type]]="Expense", IF(Table1_1[[#This Row],[Amount]]&gt;Table1_1[[#This Row],[Monthly Budget]], "Over Budget", "OK"), "-")</f>
        <v>OK</v>
      </c>
      <c r="J639">
        <f>IF(Table1_1[[#This Row],[Type]]="Income", Table1_1[[#This Row],[Amount]], -Table1_1[[#This Row],[Amount]])</f>
        <v>-1055.76</v>
      </c>
    </row>
    <row r="640" spans="1:10" x14ac:dyDescent="0.25">
      <c r="A640" s="1">
        <v>44648</v>
      </c>
      <c r="B640" t="s">
        <v>655</v>
      </c>
      <c r="C640" t="s">
        <v>25</v>
      </c>
      <c r="D640" s="2">
        <v>165.42</v>
      </c>
      <c r="E640" t="s">
        <v>7</v>
      </c>
      <c r="F640" t="s">
        <v>1545</v>
      </c>
      <c r="G640">
        <v>2022</v>
      </c>
      <c r="H640">
        <f>IF(Table1_1[[#This Row],[Type]]="Expense", _xlfn.XLOOKUP(Table1_1[[#This Row],[Category]], Budget_Ref[Category], Budget_Ref[Monthly Budget], 0), 0)</f>
        <v>150</v>
      </c>
      <c r="I640" t="str">
        <f>IF(Table1_1[[#This Row],[Type]]="Expense", IF(Table1_1[[#This Row],[Amount]]&gt;Table1_1[[#This Row],[Monthly Budget]], "Over Budget", "OK"), "-")</f>
        <v>Over Budget</v>
      </c>
      <c r="J640">
        <f>IF(Table1_1[[#This Row],[Type]]="Income", Table1_1[[#This Row],[Amount]], -Table1_1[[#This Row],[Amount]])</f>
        <v>-165.42</v>
      </c>
    </row>
    <row r="641" spans="1:10" x14ac:dyDescent="0.25">
      <c r="A641" s="1">
        <v>44648</v>
      </c>
      <c r="B641" t="s">
        <v>656</v>
      </c>
      <c r="C641" t="s">
        <v>6</v>
      </c>
      <c r="D641" s="2">
        <v>1659.26</v>
      </c>
      <c r="E641" t="s">
        <v>7</v>
      </c>
      <c r="F641" t="s">
        <v>1545</v>
      </c>
      <c r="G641">
        <v>2022</v>
      </c>
      <c r="H641">
        <f>IF(Table1_1[[#This Row],[Type]]="Expense", _xlfn.XLOOKUP(Table1_1[[#This Row],[Category]], Budget_Ref[Category], Budget_Ref[Monthly Budget], 0), 0)</f>
        <v>500</v>
      </c>
      <c r="I641" t="str">
        <f>IF(Table1_1[[#This Row],[Type]]="Expense", IF(Table1_1[[#This Row],[Amount]]&gt;Table1_1[[#This Row],[Monthly Budget]], "Over Budget", "OK"), "-")</f>
        <v>Over Budget</v>
      </c>
      <c r="J641">
        <f>IF(Table1_1[[#This Row],[Type]]="Income", Table1_1[[#This Row],[Amount]], -Table1_1[[#This Row],[Amount]])</f>
        <v>-1659.26</v>
      </c>
    </row>
    <row r="642" spans="1:10" x14ac:dyDescent="0.25">
      <c r="A642" s="1">
        <v>44648</v>
      </c>
      <c r="B642" t="s">
        <v>657</v>
      </c>
      <c r="C642" t="s">
        <v>22</v>
      </c>
      <c r="D642" s="2">
        <v>1149.68</v>
      </c>
      <c r="E642" t="s">
        <v>7</v>
      </c>
      <c r="F642" t="s">
        <v>1545</v>
      </c>
      <c r="G642">
        <v>2022</v>
      </c>
      <c r="H642">
        <f>IF(Table1_1[[#This Row],[Type]]="Expense", _xlfn.XLOOKUP(Table1_1[[#This Row],[Category]], Budget_Ref[Category], Budget_Ref[Monthly Budget], 0), 0)</f>
        <v>200</v>
      </c>
      <c r="I642" t="str">
        <f>IF(Table1_1[[#This Row],[Type]]="Expense", IF(Table1_1[[#This Row],[Amount]]&gt;Table1_1[[#This Row],[Monthly Budget]], "Over Budget", "OK"), "-")</f>
        <v>Over Budget</v>
      </c>
      <c r="J642">
        <f>IF(Table1_1[[#This Row],[Type]]="Income", Table1_1[[#This Row],[Amount]], -Table1_1[[#This Row],[Amount]])</f>
        <v>-1149.68</v>
      </c>
    </row>
    <row r="643" spans="1:10" x14ac:dyDescent="0.25">
      <c r="A643" s="1">
        <v>44648</v>
      </c>
      <c r="B643" t="s">
        <v>658</v>
      </c>
      <c r="C643" t="s">
        <v>20</v>
      </c>
      <c r="D643" s="2">
        <v>4762</v>
      </c>
      <c r="E643" t="s">
        <v>14</v>
      </c>
      <c r="F643" t="s">
        <v>1545</v>
      </c>
      <c r="G643">
        <v>2022</v>
      </c>
      <c r="H643">
        <f>IF(Table1_1[[#This Row],[Type]]="Expense", _xlfn.XLOOKUP(Table1_1[[#This Row],[Category]], Budget_Ref[Category], Budget_Ref[Monthly Budget], 0), 0)</f>
        <v>0</v>
      </c>
      <c r="I643" t="str">
        <f>IF(Table1_1[[#This Row],[Type]]="Expense", IF(Table1_1[[#This Row],[Amount]]&gt;Table1_1[[#This Row],[Monthly Budget]], "Over Budget", "OK"), "-")</f>
        <v>-</v>
      </c>
      <c r="J643">
        <f>IF(Table1_1[[#This Row],[Type]]="Income", Table1_1[[#This Row],[Amount]], -Table1_1[[#This Row],[Amount]])</f>
        <v>4762</v>
      </c>
    </row>
    <row r="644" spans="1:10" x14ac:dyDescent="0.25">
      <c r="A644" s="1">
        <v>44649</v>
      </c>
      <c r="B644" t="s">
        <v>659</v>
      </c>
      <c r="C644" t="s">
        <v>22</v>
      </c>
      <c r="D644" s="2">
        <v>1436.67</v>
      </c>
      <c r="E644" t="s">
        <v>7</v>
      </c>
      <c r="F644" t="s">
        <v>1545</v>
      </c>
      <c r="G644">
        <v>2022</v>
      </c>
      <c r="H644">
        <f>IF(Table1_1[[#This Row],[Type]]="Expense", _xlfn.XLOOKUP(Table1_1[[#This Row],[Category]], Budget_Ref[Category], Budget_Ref[Monthly Budget], 0), 0)</f>
        <v>200</v>
      </c>
      <c r="I644" t="str">
        <f>IF(Table1_1[[#This Row],[Type]]="Expense", IF(Table1_1[[#This Row],[Amount]]&gt;Table1_1[[#This Row],[Monthly Budget]], "Over Budget", "OK"), "-")</f>
        <v>Over Budget</v>
      </c>
      <c r="J644">
        <f>IF(Table1_1[[#This Row],[Type]]="Income", Table1_1[[#This Row],[Amount]], -Table1_1[[#This Row],[Amount]])</f>
        <v>-1436.67</v>
      </c>
    </row>
    <row r="645" spans="1:10" x14ac:dyDescent="0.25">
      <c r="A645" s="1">
        <v>44649</v>
      </c>
      <c r="B645" t="s">
        <v>660</v>
      </c>
      <c r="C645" t="s">
        <v>27</v>
      </c>
      <c r="D645" s="2">
        <v>1619.3</v>
      </c>
      <c r="E645" t="s">
        <v>14</v>
      </c>
      <c r="F645" t="s">
        <v>1545</v>
      </c>
      <c r="G645">
        <v>2022</v>
      </c>
      <c r="H645">
        <f>IF(Table1_1[[#This Row],[Type]]="Expense", _xlfn.XLOOKUP(Table1_1[[#This Row],[Category]], Budget_Ref[Category], Budget_Ref[Monthly Budget], 0), 0)</f>
        <v>0</v>
      </c>
      <c r="I645" t="str">
        <f>IF(Table1_1[[#This Row],[Type]]="Expense", IF(Table1_1[[#This Row],[Amount]]&gt;Table1_1[[#This Row],[Monthly Budget]], "Over Budget", "OK"), "-")</f>
        <v>-</v>
      </c>
      <c r="J645">
        <f>IF(Table1_1[[#This Row],[Type]]="Income", Table1_1[[#This Row],[Amount]], -Table1_1[[#This Row],[Amount]])</f>
        <v>1619.3</v>
      </c>
    </row>
    <row r="646" spans="1:10" x14ac:dyDescent="0.25">
      <c r="A646" s="1">
        <v>44651</v>
      </c>
      <c r="B646" t="s">
        <v>661</v>
      </c>
      <c r="C646" t="s">
        <v>17</v>
      </c>
      <c r="D646" s="2">
        <v>919.03</v>
      </c>
      <c r="E646" t="s">
        <v>7</v>
      </c>
      <c r="F646" t="s">
        <v>1545</v>
      </c>
      <c r="G646">
        <v>2022</v>
      </c>
      <c r="H646">
        <f>IF(Table1_1[[#This Row],[Type]]="Expense", _xlfn.XLOOKUP(Table1_1[[#This Row],[Category]], Budget_Ref[Category], Budget_Ref[Monthly Budget], 0), 0)</f>
        <v>300</v>
      </c>
      <c r="I646" t="str">
        <f>IF(Table1_1[[#This Row],[Type]]="Expense", IF(Table1_1[[#This Row],[Amount]]&gt;Table1_1[[#This Row],[Monthly Budget]], "Over Budget", "OK"), "-")</f>
        <v>Over Budget</v>
      </c>
      <c r="J646">
        <f>IF(Table1_1[[#This Row],[Type]]="Income", Table1_1[[#This Row],[Amount]], -Table1_1[[#This Row],[Amount]])</f>
        <v>-919.03</v>
      </c>
    </row>
    <row r="647" spans="1:10" x14ac:dyDescent="0.25">
      <c r="A647" s="1">
        <v>44651</v>
      </c>
      <c r="B647" t="s">
        <v>662</v>
      </c>
      <c r="C647" t="s">
        <v>20</v>
      </c>
      <c r="D647" s="2">
        <v>3024</v>
      </c>
      <c r="E647" t="s">
        <v>14</v>
      </c>
      <c r="F647" t="s">
        <v>1545</v>
      </c>
      <c r="G647">
        <v>2022</v>
      </c>
      <c r="H647">
        <f>IF(Table1_1[[#This Row],[Type]]="Expense", _xlfn.XLOOKUP(Table1_1[[#This Row],[Category]], Budget_Ref[Category], Budget_Ref[Monthly Budget], 0), 0)</f>
        <v>0</v>
      </c>
      <c r="I647" t="str">
        <f>IF(Table1_1[[#This Row],[Type]]="Expense", IF(Table1_1[[#This Row],[Amount]]&gt;Table1_1[[#This Row],[Monthly Budget]], "Over Budget", "OK"), "-")</f>
        <v>-</v>
      </c>
      <c r="J647">
        <f>IF(Table1_1[[#This Row],[Type]]="Income", Table1_1[[#This Row],[Amount]], -Table1_1[[#This Row],[Amount]])</f>
        <v>3024</v>
      </c>
    </row>
    <row r="648" spans="1:10" x14ac:dyDescent="0.25">
      <c r="A648" s="1">
        <v>44651</v>
      </c>
      <c r="B648" t="s">
        <v>663</v>
      </c>
      <c r="C648" t="s">
        <v>17</v>
      </c>
      <c r="D648" s="2">
        <v>516.37</v>
      </c>
      <c r="E648" t="s">
        <v>7</v>
      </c>
      <c r="F648" t="s">
        <v>1545</v>
      </c>
      <c r="G648">
        <v>2022</v>
      </c>
      <c r="H648">
        <f>IF(Table1_1[[#This Row],[Type]]="Expense", _xlfn.XLOOKUP(Table1_1[[#This Row],[Category]], Budget_Ref[Category], Budget_Ref[Monthly Budget], 0), 0)</f>
        <v>300</v>
      </c>
      <c r="I648" t="str">
        <f>IF(Table1_1[[#This Row],[Type]]="Expense", IF(Table1_1[[#This Row],[Amount]]&gt;Table1_1[[#This Row],[Monthly Budget]], "Over Budget", "OK"), "-")</f>
        <v>Over Budget</v>
      </c>
      <c r="J648">
        <f>IF(Table1_1[[#This Row],[Type]]="Income", Table1_1[[#This Row],[Amount]], -Table1_1[[#This Row],[Amount]])</f>
        <v>-516.37</v>
      </c>
    </row>
    <row r="649" spans="1:10" x14ac:dyDescent="0.25">
      <c r="A649" s="1">
        <v>44652</v>
      </c>
      <c r="B649" t="s">
        <v>664</v>
      </c>
      <c r="C649" t="s">
        <v>13</v>
      </c>
      <c r="D649" s="2">
        <v>1098</v>
      </c>
      <c r="E649" t="s">
        <v>14</v>
      </c>
      <c r="F649" t="s">
        <v>1546</v>
      </c>
      <c r="G649">
        <v>2022</v>
      </c>
      <c r="H649">
        <f>IF(Table1_1[[#This Row],[Type]]="Expense", _xlfn.XLOOKUP(Table1_1[[#This Row],[Category]], Budget_Ref[Category], Budget_Ref[Monthly Budget], 0), 0)</f>
        <v>0</v>
      </c>
      <c r="I649" t="str">
        <f>IF(Table1_1[[#This Row],[Type]]="Expense", IF(Table1_1[[#This Row],[Amount]]&gt;Table1_1[[#This Row],[Monthly Budget]], "Over Budget", "OK"), "-")</f>
        <v>-</v>
      </c>
      <c r="J649">
        <f>IF(Table1_1[[#This Row],[Type]]="Income", Table1_1[[#This Row],[Amount]], -Table1_1[[#This Row],[Amount]])</f>
        <v>1098</v>
      </c>
    </row>
    <row r="650" spans="1:10" x14ac:dyDescent="0.25">
      <c r="A650" s="1">
        <v>44652</v>
      </c>
      <c r="B650" t="s">
        <v>665</v>
      </c>
      <c r="C650" t="s">
        <v>20</v>
      </c>
      <c r="D650" s="2">
        <v>1022</v>
      </c>
      <c r="E650" t="s">
        <v>14</v>
      </c>
      <c r="F650" t="s">
        <v>1546</v>
      </c>
      <c r="G650">
        <v>2022</v>
      </c>
      <c r="H650">
        <f>IF(Table1_1[[#This Row],[Type]]="Expense", _xlfn.XLOOKUP(Table1_1[[#This Row],[Category]], Budget_Ref[Category], Budget_Ref[Monthly Budget], 0), 0)</f>
        <v>0</v>
      </c>
      <c r="I650" t="str">
        <f>IF(Table1_1[[#This Row],[Type]]="Expense", IF(Table1_1[[#This Row],[Amount]]&gt;Table1_1[[#This Row],[Monthly Budget]], "Over Budget", "OK"), "-")</f>
        <v>-</v>
      </c>
      <c r="J650">
        <f>IF(Table1_1[[#This Row],[Type]]="Income", Table1_1[[#This Row],[Amount]], -Table1_1[[#This Row],[Amount]])</f>
        <v>1022</v>
      </c>
    </row>
    <row r="651" spans="1:10" x14ac:dyDescent="0.25">
      <c r="A651" s="1">
        <v>44652</v>
      </c>
      <c r="B651" t="s">
        <v>666</v>
      </c>
      <c r="C651" t="s">
        <v>6</v>
      </c>
      <c r="D651" s="2">
        <v>1869.82</v>
      </c>
      <c r="E651" t="s">
        <v>7</v>
      </c>
      <c r="F651" t="s">
        <v>1546</v>
      </c>
      <c r="G651">
        <v>2022</v>
      </c>
      <c r="H651">
        <f>IF(Table1_1[[#This Row],[Type]]="Expense", _xlfn.XLOOKUP(Table1_1[[#This Row],[Category]], Budget_Ref[Category], Budget_Ref[Monthly Budget], 0), 0)</f>
        <v>500</v>
      </c>
      <c r="I651" t="str">
        <f>IF(Table1_1[[#This Row],[Type]]="Expense", IF(Table1_1[[#This Row],[Amount]]&gt;Table1_1[[#This Row],[Monthly Budget]], "Over Budget", "OK"), "-")</f>
        <v>Over Budget</v>
      </c>
      <c r="J651">
        <f>IF(Table1_1[[#This Row],[Type]]="Income", Table1_1[[#This Row],[Amount]], -Table1_1[[#This Row],[Amount]])</f>
        <v>-1869.82</v>
      </c>
    </row>
    <row r="652" spans="1:10" x14ac:dyDescent="0.25">
      <c r="A652" s="1">
        <v>44652</v>
      </c>
      <c r="B652" t="s">
        <v>667</v>
      </c>
      <c r="C652" t="s">
        <v>20</v>
      </c>
      <c r="D652" s="2">
        <v>759</v>
      </c>
      <c r="E652" t="s">
        <v>14</v>
      </c>
      <c r="F652" t="s">
        <v>1546</v>
      </c>
      <c r="G652">
        <v>2022</v>
      </c>
      <c r="H652">
        <f>IF(Table1_1[[#This Row],[Type]]="Expense", _xlfn.XLOOKUP(Table1_1[[#This Row],[Category]], Budget_Ref[Category], Budget_Ref[Monthly Budget], 0), 0)</f>
        <v>0</v>
      </c>
      <c r="I652" t="str">
        <f>IF(Table1_1[[#This Row],[Type]]="Expense", IF(Table1_1[[#This Row],[Amount]]&gt;Table1_1[[#This Row],[Monthly Budget]], "Over Budget", "OK"), "-")</f>
        <v>-</v>
      </c>
      <c r="J652">
        <f>IF(Table1_1[[#This Row],[Type]]="Income", Table1_1[[#This Row],[Amount]], -Table1_1[[#This Row],[Amount]])</f>
        <v>759</v>
      </c>
    </row>
    <row r="653" spans="1:10" x14ac:dyDescent="0.25">
      <c r="A653" s="1">
        <v>44653</v>
      </c>
      <c r="B653" t="s">
        <v>668</v>
      </c>
      <c r="C653" t="s">
        <v>9</v>
      </c>
      <c r="D653" s="2">
        <v>1540.25</v>
      </c>
      <c r="E653" t="s">
        <v>7</v>
      </c>
      <c r="F653" t="s">
        <v>1546</v>
      </c>
      <c r="G653">
        <v>2022</v>
      </c>
      <c r="H653">
        <f>IF(Table1_1[[#This Row],[Type]]="Expense", _xlfn.XLOOKUP(Table1_1[[#This Row],[Category]], Budget_Ref[Category], Budget_Ref[Monthly Budget], 0), 0)</f>
        <v>150</v>
      </c>
      <c r="I653" t="str">
        <f>IF(Table1_1[[#This Row],[Type]]="Expense", IF(Table1_1[[#This Row],[Amount]]&gt;Table1_1[[#This Row],[Monthly Budget]], "Over Budget", "OK"), "-")</f>
        <v>Over Budget</v>
      </c>
      <c r="J653">
        <f>IF(Table1_1[[#This Row],[Type]]="Income", Table1_1[[#This Row],[Amount]], -Table1_1[[#This Row],[Amount]])</f>
        <v>-1540.25</v>
      </c>
    </row>
    <row r="654" spans="1:10" x14ac:dyDescent="0.25">
      <c r="A654" s="1">
        <v>44653</v>
      </c>
      <c r="B654" t="s">
        <v>669</v>
      </c>
      <c r="C654" t="s">
        <v>17</v>
      </c>
      <c r="D654" s="2">
        <v>755.18</v>
      </c>
      <c r="E654" t="s">
        <v>7</v>
      </c>
      <c r="F654" t="s">
        <v>1546</v>
      </c>
      <c r="G654">
        <v>2022</v>
      </c>
      <c r="H654">
        <f>IF(Table1_1[[#This Row],[Type]]="Expense", _xlfn.XLOOKUP(Table1_1[[#This Row],[Category]], Budget_Ref[Category], Budget_Ref[Monthly Budget], 0), 0)</f>
        <v>300</v>
      </c>
      <c r="I654" t="str">
        <f>IF(Table1_1[[#This Row],[Type]]="Expense", IF(Table1_1[[#This Row],[Amount]]&gt;Table1_1[[#This Row],[Monthly Budget]], "Over Budget", "OK"), "-")</f>
        <v>Over Budget</v>
      </c>
      <c r="J654">
        <f>IF(Table1_1[[#This Row],[Type]]="Income", Table1_1[[#This Row],[Amount]], -Table1_1[[#This Row],[Amount]])</f>
        <v>-755.18</v>
      </c>
    </row>
    <row r="655" spans="1:10" x14ac:dyDescent="0.25">
      <c r="A655" s="1">
        <v>44654</v>
      </c>
      <c r="B655" t="s">
        <v>670</v>
      </c>
      <c r="C655" t="s">
        <v>27</v>
      </c>
      <c r="D655" s="2">
        <v>1740.54</v>
      </c>
      <c r="E655" t="s">
        <v>14</v>
      </c>
      <c r="F655" t="s">
        <v>1546</v>
      </c>
      <c r="G655">
        <v>2022</v>
      </c>
      <c r="H655">
        <f>IF(Table1_1[[#This Row],[Type]]="Expense", _xlfn.XLOOKUP(Table1_1[[#This Row],[Category]], Budget_Ref[Category], Budget_Ref[Monthly Budget], 0), 0)</f>
        <v>0</v>
      </c>
      <c r="I655" t="str">
        <f>IF(Table1_1[[#This Row],[Type]]="Expense", IF(Table1_1[[#This Row],[Amount]]&gt;Table1_1[[#This Row],[Monthly Budget]], "Over Budget", "OK"), "-")</f>
        <v>-</v>
      </c>
      <c r="J655">
        <f>IF(Table1_1[[#This Row],[Type]]="Income", Table1_1[[#This Row],[Amount]], -Table1_1[[#This Row],[Amount]])</f>
        <v>1740.54</v>
      </c>
    </row>
    <row r="656" spans="1:10" x14ac:dyDescent="0.25">
      <c r="A656" s="1">
        <v>44654</v>
      </c>
      <c r="B656" t="s">
        <v>671</v>
      </c>
      <c r="C656" t="s">
        <v>17</v>
      </c>
      <c r="D656" s="2">
        <v>169.7</v>
      </c>
      <c r="E656" t="s">
        <v>7</v>
      </c>
      <c r="F656" t="s">
        <v>1546</v>
      </c>
      <c r="G656">
        <v>2022</v>
      </c>
      <c r="H656">
        <f>IF(Table1_1[[#This Row],[Type]]="Expense", _xlfn.XLOOKUP(Table1_1[[#This Row],[Category]], Budget_Ref[Category], Budget_Ref[Monthly Budget], 0), 0)</f>
        <v>300</v>
      </c>
      <c r="I656" t="str">
        <f>IF(Table1_1[[#This Row],[Type]]="Expense", IF(Table1_1[[#This Row],[Amount]]&gt;Table1_1[[#This Row],[Monthly Budget]], "Over Budget", "OK"), "-")</f>
        <v>OK</v>
      </c>
      <c r="J656">
        <f>IF(Table1_1[[#This Row],[Type]]="Income", Table1_1[[#This Row],[Amount]], -Table1_1[[#This Row],[Amount]])</f>
        <v>-169.7</v>
      </c>
    </row>
    <row r="657" spans="1:10" x14ac:dyDescent="0.25">
      <c r="A657" s="1">
        <v>44655</v>
      </c>
      <c r="B657" t="s">
        <v>672</v>
      </c>
      <c r="C657" t="s">
        <v>9</v>
      </c>
      <c r="D657" s="2">
        <v>1310.53</v>
      </c>
      <c r="E657" t="s">
        <v>7</v>
      </c>
      <c r="F657" t="s">
        <v>1546</v>
      </c>
      <c r="G657">
        <v>2022</v>
      </c>
      <c r="H657">
        <f>IF(Table1_1[[#This Row],[Type]]="Expense", _xlfn.XLOOKUP(Table1_1[[#This Row],[Category]], Budget_Ref[Category], Budget_Ref[Monthly Budget], 0), 0)</f>
        <v>150</v>
      </c>
      <c r="I657" t="str">
        <f>IF(Table1_1[[#This Row],[Type]]="Expense", IF(Table1_1[[#This Row],[Amount]]&gt;Table1_1[[#This Row],[Monthly Budget]], "Over Budget", "OK"), "-")</f>
        <v>Over Budget</v>
      </c>
      <c r="J657">
        <f>IF(Table1_1[[#This Row],[Type]]="Income", Table1_1[[#This Row],[Amount]], -Table1_1[[#This Row],[Amount]])</f>
        <v>-1310.53</v>
      </c>
    </row>
    <row r="658" spans="1:10" x14ac:dyDescent="0.25">
      <c r="A658" s="1">
        <v>44656</v>
      </c>
      <c r="B658" t="s">
        <v>673</v>
      </c>
      <c r="C658" t="s">
        <v>9</v>
      </c>
      <c r="D658" s="2">
        <v>1985.77</v>
      </c>
      <c r="E658" t="s">
        <v>7</v>
      </c>
      <c r="F658" t="s">
        <v>1546</v>
      </c>
      <c r="G658">
        <v>2022</v>
      </c>
      <c r="H658">
        <f>IF(Table1_1[[#This Row],[Type]]="Expense", _xlfn.XLOOKUP(Table1_1[[#This Row],[Category]], Budget_Ref[Category], Budget_Ref[Monthly Budget], 0), 0)</f>
        <v>150</v>
      </c>
      <c r="I658" t="str">
        <f>IF(Table1_1[[#This Row],[Type]]="Expense", IF(Table1_1[[#This Row],[Amount]]&gt;Table1_1[[#This Row],[Monthly Budget]], "Over Budget", "OK"), "-")</f>
        <v>Over Budget</v>
      </c>
      <c r="J658">
        <f>IF(Table1_1[[#This Row],[Type]]="Income", Table1_1[[#This Row],[Amount]], -Table1_1[[#This Row],[Amount]])</f>
        <v>-1985.77</v>
      </c>
    </row>
    <row r="659" spans="1:10" x14ac:dyDescent="0.25">
      <c r="A659" s="1">
        <v>44659</v>
      </c>
      <c r="B659" t="s">
        <v>674</v>
      </c>
      <c r="C659" t="s">
        <v>9</v>
      </c>
      <c r="D659" s="2">
        <v>1458.44</v>
      </c>
      <c r="E659" t="s">
        <v>7</v>
      </c>
      <c r="F659" t="s">
        <v>1546</v>
      </c>
      <c r="G659">
        <v>2022</v>
      </c>
      <c r="H659">
        <f>IF(Table1_1[[#This Row],[Type]]="Expense", _xlfn.XLOOKUP(Table1_1[[#This Row],[Category]], Budget_Ref[Category], Budget_Ref[Monthly Budget], 0), 0)</f>
        <v>150</v>
      </c>
      <c r="I659" t="str">
        <f>IF(Table1_1[[#This Row],[Type]]="Expense", IF(Table1_1[[#This Row],[Amount]]&gt;Table1_1[[#This Row],[Monthly Budget]], "Over Budget", "OK"), "-")</f>
        <v>Over Budget</v>
      </c>
      <c r="J659">
        <f>IF(Table1_1[[#This Row],[Type]]="Income", Table1_1[[#This Row],[Amount]], -Table1_1[[#This Row],[Amount]])</f>
        <v>-1458.44</v>
      </c>
    </row>
    <row r="660" spans="1:10" x14ac:dyDescent="0.25">
      <c r="A660" s="1">
        <v>44660</v>
      </c>
      <c r="B660" t="s">
        <v>675</v>
      </c>
      <c r="C660" t="s">
        <v>6</v>
      </c>
      <c r="D660" s="2">
        <v>1514.8</v>
      </c>
      <c r="E660" t="s">
        <v>7</v>
      </c>
      <c r="F660" t="s">
        <v>1546</v>
      </c>
      <c r="G660">
        <v>2022</v>
      </c>
      <c r="H660">
        <f>IF(Table1_1[[#This Row],[Type]]="Expense", _xlfn.XLOOKUP(Table1_1[[#This Row],[Category]], Budget_Ref[Category], Budget_Ref[Monthly Budget], 0), 0)</f>
        <v>500</v>
      </c>
      <c r="I660" t="str">
        <f>IF(Table1_1[[#This Row],[Type]]="Expense", IF(Table1_1[[#This Row],[Amount]]&gt;Table1_1[[#This Row],[Monthly Budget]], "Over Budget", "OK"), "-")</f>
        <v>Over Budget</v>
      </c>
      <c r="J660">
        <f>IF(Table1_1[[#This Row],[Type]]="Income", Table1_1[[#This Row],[Amount]], -Table1_1[[#This Row],[Amount]])</f>
        <v>-1514.8</v>
      </c>
    </row>
    <row r="661" spans="1:10" x14ac:dyDescent="0.25">
      <c r="A661" s="1">
        <v>44660</v>
      </c>
      <c r="B661" t="s">
        <v>676</v>
      </c>
      <c r="C661" t="s">
        <v>27</v>
      </c>
      <c r="D661" s="2">
        <v>1350.26</v>
      </c>
      <c r="E661" t="s">
        <v>14</v>
      </c>
      <c r="F661" t="s">
        <v>1546</v>
      </c>
      <c r="G661">
        <v>2022</v>
      </c>
      <c r="H661">
        <f>IF(Table1_1[[#This Row],[Type]]="Expense", _xlfn.XLOOKUP(Table1_1[[#This Row],[Category]], Budget_Ref[Category], Budget_Ref[Monthly Budget], 0), 0)</f>
        <v>0</v>
      </c>
      <c r="I661" t="str">
        <f>IF(Table1_1[[#This Row],[Type]]="Expense", IF(Table1_1[[#This Row],[Amount]]&gt;Table1_1[[#This Row],[Monthly Budget]], "Over Budget", "OK"), "-")</f>
        <v>-</v>
      </c>
      <c r="J661">
        <f>IF(Table1_1[[#This Row],[Type]]="Income", Table1_1[[#This Row],[Amount]], -Table1_1[[#This Row],[Amount]])</f>
        <v>1350.26</v>
      </c>
    </row>
    <row r="662" spans="1:10" x14ac:dyDescent="0.25">
      <c r="A662" s="1">
        <v>44661</v>
      </c>
      <c r="B662" t="s">
        <v>677</v>
      </c>
      <c r="C662" t="s">
        <v>17</v>
      </c>
      <c r="D662" s="2">
        <v>1648.49</v>
      </c>
      <c r="E662" t="s">
        <v>7</v>
      </c>
      <c r="F662" t="s">
        <v>1546</v>
      </c>
      <c r="G662">
        <v>2022</v>
      </c>
      <c r="H662">
        <f>IF(Table1_1[[#This Row],[Type]]="Expense", _xlfn.XLOOKUP(Table1_1[[#This Row],[Category]], Budget_Ref[Category], Budget_Ref[Monthly Budget], 0), 0)</f>
        <v>300</v>
      </c>
      <c r="I662" t="str">
        <f>IF(Table1_1[[#This Row],[Type]]="Expense", IF(Table1_1[[#This Row],[Amount]]&gt;Table1_1[[#This Row],[Monthly Budget]], "Over Budget", "OK"), "-")</f>
        <v>Over Budget</v>
      </c>
      <c r="J662">
        <f>IF(Table1_1[[#This Row],[Type]]="Income", Table1_1[[#This Row],[Amount]], -Table1_1[[#This Row],[Amount]])</f>
        <v>-1648.49</v>
      </c>
    </row>
    <row r="663" spans="1:10" x14ac:dyDescent="0.25">
      <c r="A663" s="1">
        <v>44661</v>
      </c>
      <c r="B663" t="s">
        <v>678</v>
      </c>
      <c r="C663" t="s">
        <v>25</v>
      </c>
      <c r="D663" s="2">
        <v>318.69</v>
      </c>
      <c r="E663" t="s">
        <v>7</v>
      </c>
      <c r="F663" t="s">
        <v>1546</v>
      </c>
      <c r="G663">
        <v>2022</v>
      </c>
      <c r="H663">
        <f>IF(Table1_1[[#This Row],[Type]]="Expense", _xlfn.XLOOKUP(Table1_1[[#This Row],[Category]], Budget_Ref[Category], Budget_Ref[Monthly Budget], 0), 0)</f>
        <v>150</v>
      </c>
      <c r="I663" t="str">
        <f>IF(Table1_1[[#This Row],[Type]]="Expense", IF(Table1_1[[#This Row],[Amount]]&gt;Table1_1[[#This Row],[Monthly Budget]], "Over Budget", "OK"), "-")</f>
        <v>Over Budget</v>
      </c>
      <c r="J663">
        <f>IF(Table1_1[[#This Row],[Type]]="Income", Table1_1[[#This Row],[Amount]], -Table1_1[[#This Row],[Amount]])</f>
        <v>-318.69</v>
      </c>
    </row>
    <row r="664" spans="1:10" x14ac:dyDescent="0.25">
      <c r="A664" s="1">
        <v>44667</v>
      </c>
      <c r="B664" t="s">
        <v>679</v>
      </c>
      <c r="C664" t="s">
        <v>13</v>
      </c>
      <c r="D664" s="2">
        <v>763</v>
      </c>
      <c r="E664" t="s">
        <v>14</v>
      </c>
      <c r="F664" t="s">
        <v>1546</v>
      </c>
      <c r="G664">
        <v>2022</v>
      </c>
      <c r="H664">
        <f>IF(Table1_1[[#This Row],[Type]]="Expense", _xlfn.XLOOKUP(Table1_1[[#This Row],[Category]], Budget_Ref[Category], Budget_Ref[Monthly Budget], 0), 0)</f>
        <v>0</v>
      </c>
      <c r="I664" t="str">
        <f>IF(Table1_1[[#This Row],[Type]]="Expense", IF(Table1_1[[#This Row],[Amount]]&gt;Table1_1[[#This Row],[Monthly Budget]], "Over Budget", "OK"), "-")</f>
        <v>-</v>
      </c>
      <c r="J664">
        <f>IF(Table1_1[[#This Row],[Type]]="Income", Table1_1[[#This Row],[Amount]], -Table1_1[[#This Row],[Amount]])</f>
        <v>763</v>
      </c>
    </row>
    <row r="665" spans="1:10" x14ac:dyDescent="0.25">
      <c r="A665" s="1">
        <v>44669</v>
      </c>
      <c r="B665" t="s">
        <v>680</v>
      </c>
      <c r="C665" t="s">
        <v>17</v>
      </c>
      <c r="D665" s="2">
        <v>1233.7</v>
      </c>
      <c r="E665" t="s">
        <v>7</v>
      </c>
      <c r="F665" t="s">
        <v>1546</v>
      </c>
      <c r="G665">
        <v>2022</v>
      </c>
      <c r="H665">
        <f>IF(Table1_1[[#This Row],[Type]]="Expense", _xlfn.XLOOKUP(Table1_1[[#This Row],[Category]], Budget_Ref[Category], Budget_Ref[Monthly Budget], 0), 0)</f>
        <v>300</v>
      </c>
      <c r="I665" t="str">
        <f>IF(Table1_1[[#This Row],[Type]]="Expense", IF(Table1_1[[#This Row],[Amount]]&gt;Table1_1[[#This Row],[Monthly Budget]], "Over Budget", "OK"), "-")</f>
        <v>Over Budget</v>
      </c>
      <c r="J665">
        <f>IF(Table1_1[[#This Row],[Type]]="Income", Table1_1[[#This Row],[Amount]], -Table1_1[[#This Row],[Amount]])</f>
        <v>-1233.7</v>
      </c>
    </row>
    <row r="666" spans="1:10" x14ac:dyDescent="0.25">
      <c r="A666" s="1">
        <v>44669</v>
      </c>
      <c r="B666" t="s">
        <v>681</v>
      </c>
      <c r="C666" t="s">
        <v>6</v>
      </c>
      <c r="D666" s="2">
        <v>488.93</v>
      </c>
      <c r="E666" t="s">
        <v>7</v>
      </c>
      <c r="F666" t="s">
        <v>1546</v>
      </c>
      <c r="G666">
        <v>2022</v>
      </c>
      <c r="H666">
        <f>IF(Table1_1[[#This Row],[Type]]="Expense", _xlfn.XLOOKUP(Table1_1[[#This Row],[Category]], Budget_Ref[Category], Budget_Ref[Monthly Budget], 0), 0)</f>
        <v>500</v>
      </c>
      <c r="I666" t="str">
        <f>IF(Table1_1[[#This Row],[Type]]="Expense", IF(Table1_1[[#This Row],[Amount]]&gt;Table1_1[[#This Row],[Monthly Budget]], "Over Budget", "OK"), "-")</f>
        <v>OK</v>
      </c>
      <c r="J666">
        <f>IF(Table1_1[[#This Row],[Type]]="Income", Table1_1[[#This Row],[Amount]], -Table1_1[[#This Row],[Amount]])</f>
        <v>-488.93</v>
      </c>
    </row>
    <row r="667" spans="1:10" x14ac:dyDescent="0.25">
      <c r="A667" s="1">
        <v>44672</v>
      </c>
      <c r="B667" t="s">
        <v>682</v>
      </c>
      <c r="C667" t="s">
        <v>13</v>
      </c>
      <c r="D667" s="2">
        <v>4157</v>
      </c>
      <c r="E667" t="s">
        <v>14</v>
      </c>
      <c r="F667" t="s">
        <v>1546</v>
      </c>
      <c r="G667">
        <v>2022</v>
      </c>
      <c r="H667">
        <f>IF(Table1_1[[#This Row],[Type]]="Expense", _xlfn.XLOOKUP(Table1_1[[#This Row],[Category]], Budget_Ref[Category], Budget_Ref[Monthly Budget], 0), 0)</f>
        <v>0</v>
      </c>
      <c r="I667" t="str">
        <f>IF(Table1_1[[#This Row],[Type]]="Expense", IF(Table1_1[[#This Row],[Amount]]&gt;Table1_1[[#This Row],[Monthly Budget]], "Over Budget", "OK"), "-")</f>
        <v>-</v>
      </c>
      <c r="J667">
        <f>IF(Table1_1[[#This Row],[Type]]="Income", Table1_1[[#This Row],[Amount]], -Table1_1[[#This Row],[Amount]])</f>
        <v>4157</v>
      </c>
    </row>
    <row r="668" spans="1:10" x14ac:dyDescent="0.25">
      <c r="A668" s="1">
        <v>44673</v>
      </c>
      <c r="B668" t="s">
        <v>683</v>
      </c>
      <c r="C668" t="s">
        <v>6</v>
      </c>
      <c r="D668" s="2">
        <v>497.02</v>
      </c>
      <c r="E668" t="s">
        <v>7</v>
      </c>
      <c r="F668" t="s">
        <v>1546</v>
      </c>
      <c r="G668">
        <v>2022</v>
      </c>
      <c r="H668">
        <f>IF(Table1_1[[#This Row],[Type]]="Expense", _xlfn.XLOOKUP(Table1_1[[#This Row],[Category]], Budget_Ref[Category], Budget_Ref[Monthly Budget], 0), 0)</f>
        <v>500</v>
      </c>
      <c r="I668" t="str">
        <f>IF(Table1_1[[#This Row],[Type]]="Expense", IF(Table1_1[[#This Row],[Amount]]&gt;Table1_1[[#This Row],[Monthly Budget]], "Over Budget", "OK"), "-")</f>
        <v>OK</v>
      </c>
      <c r="J668">
        <f>IF(Table1_1[[#This Row],[Type]]="Income", Table1_1[[#This Row],[Amount]], -Table1_1[[#This Row],[Amount]])</f>
        <v>-497.02</v>
      </c>
    </row>
    <row r="669" spans="1:10" x14ac:dyDescent="0.25">
      <c r="A669" s="1">
        <v>44673</v>
      </c>
      <c r="B669" t="s">
        <v>684</v>
      </c>
      <c r="C669" t="s">
        <v>20</v>
      </c>
      <c r="D669" s="2">
        <v>2419</v>
      </c>
      <c r="E669" t="s">
        <v>14</v>
      </c>
      <c r="F669" t="s">
        <v>1546</v>
      </c>
      <c r="G669">
        <v>2022</v>
      </c>
      <c r="H669">
        <f>IF(Table1_1[[#This Row],[Type]]="Expense", _xlfn.XLOOKUP(Table1_1[[#This Row],[Category]], Budget_Ref[Category], Budget_Ref[Monthly Budget], 0), 0)</f>
        <v>0</v>
      </c>
      <c r="I669" t="str">
        <f>IF(Table1_1[[#This Row],[Type]]="Expense", IF(Table1_1[[#This Row],[Amount]]&gt;Table1_1[[#This Row],[Monthly Budget]], "Over Budget", "OK"), "-")</f>
        <v>-</v>
      </c>
      <c r="J669">
        <f>IF(Table1_1[[#This Row],[Type]]="Income", Table1_1[[#This Row],[Amount]], -Table1_1[[#This Row],[Amount]])</f>
        <v>2419</v>
      </c>
    </row>
    <row r="670" spans="1:10" x14ac:dyDescent="0.25">
      <c r="A670" s="1">
        <v>44675</v>
      </c>
      <c r="B670" t="s">
        <v>685</v>
      </c>
      <c r="C670" t="s">
        <v>6</v>
      </c>
      <c r="D670" s="2">
        <v>288.87</v>
      </c>
      <c r="E670" t="s">
        <v>7</v>
      </c>
      <c r="F670" t="s">
        <v>1546</v>
      </c>
      <c r="G670">
        <v>2022</v>
      </c>
      <c r="H670">
        <f>IF(Table1_1[[#This Row],[Type]]="Expense", _xlfn.XLOOKUP(Table1_1[[#This Row],[Category]], Budget_Ref[Category], Budget_Ref[Monthly Budget], 0), 0)</f>
        <v>500</v>
      </c>
      <c r="I670" t="str">
        <f>IF(Table1_1[[#This Row],[Type]]="Expense", IF(Table1_1[[#This Row],[Amount]]&gt;Table1_1[[#This Row],[Monthly Budget]], "Over Budget", "OK"), "-")</f>
        <v>OK</v>
      </c>
      <c r="J670">
        <f>IF(Table1_1[[#This Row],[Type]]="Income", Table1_1[[#This Row],[Amount]], -Table1_1[[#This Row],[Amount]])</f>
        <v>-288.87</v>
      </c>
    </row>
    <row r="671" spans="1:10" x14ac:dyDescent="0.25">
      <c r="A671" s="1">
        <v>44675</v>
      </c>
      <c r="B671" t="s">
        <v>686</v>
      </c>
      <c r="C671" t="s">
        <v>22</v>
      </c>
      <c r="D671" s="2">
        <v>1633.41</v>
      </c>
      <c r="E671" t="s">
        <v>7</v>
      </c>
      <c r="F671" t="s">
        <v>1546</v>
      </c>
      <c r="G671">
        <v>2022</v>
      </c>
      <c r="H671">
        <f>IF(Table1_1[[#This Row],[Type]]="Expense", _xlfn.XLOOKUP(Table1_1[[#This Row],[Category]], Budget_Ref[Category], Budget_Ref[Monthly Budget], 0), 0)</f>
        <v>200</v>
      </c>
      <c r="I671" t="str">
        <f>IF(Table1_1[[#This Row],[Type]]="Expense", IF(Table1_1[[#This Row],[Amount]]&gt;Table1_1[[#This Row],[Monthly Budget]], "Over Budget", "OK"), "-")</f>
        <v>Over Budget</v>
      </c>
      <c r="J671">
        <f>IF(Table1_1[[#This Row],[Type]]="Income", Table1_1[[#This Row],[Amount]], -Table1_1[[#This Row],[Amount]])</f>
        <v>-1633.41</v>
      </c>
    </row>
    <row r="672" spans="1:10" x14ac:dyDescent="0.25">
      <c r="A672" s="1">
        <v>44680</v>
      </c>
      <c r="B672" t="s">
        <v>687</v>
      </c>
      <c r="C672" t="s">
        <v>25</v>
      </c>
      <c r="D672" s="2">
        <v>1159.17</v>
      </c>
      <c r="E672" t="s">
        <v>7</v>
      </c>
      <c r="F672" t="s">
        <v>1546</v>
      </c>
      <c r="G672">
        <v>2022</v>
      </c>
      <c r="H672">
        <f>IF(Table1_1[[#This Row],[Type]]="Expense", _xlfn.XLOOKUP(Table1_1[[#This Row],[Category]], Budget_Ref[Category], Budget_Ref[Monthly Budget], 0), 0)</f>
        <v>150</v>
      </c>
      <c r="I672" t="str">
        <f>IF(Table1_1[[#This Row],[Type]]="Expense", IF(Table1_1[[#This Row],[Amount]]&gt;Table1_1[[#This Row],[Monthly Budget]], "Over Budget", "OK"), "-")</f>
        <v>Over Budget</v>
      </c>
      <c r="J672">
        <f>IF(Table1_1[[#This Row],[Type]]="Income", Table1_1[[#This Row],[Amount]], -Table1_1[[#This Row],[Amount]])</f>
        <v>-1159.17</v>
      </c>
    </row>
    <row r="673" spans="1:10" x14ac:dyDescent="0.25">
      <c r="A673" s="1">
        <v>44681</v>
      </c>
      <c r="B673" t="s">
        <v>688</v>
      </c>
      <c r="C673" t="s">
        <v>25</v>
      </c>
      <c r="D673" s="2">
        <v>481.44</v>
      </c>
      <c r="E673" t="s">
        <v>7</v>
      </c>
      <c r="F673" t="s">
        <v>1546</v>
      </c>
      <c r="G673">
        <v>2022</v>
      </c>
      <c r="H673">
        <f>IF(Table1_1[[#This Row],[Type]]="Expense", _xlfn.XLOOKUP(Table1_1[[#This Row],[Category]], Budget_Ref[Category], Budget_Ref[Monthly Budget], 0), 0)</f>
        <v>150</v>
      </c>
      <c r="I673" t="str">
        <f>IF(Table1_1[[#This Row],[Type]]="Expense", IF(Table1_1[[#This Row],[Amount]]&gt;Table1_1[[#This Row],[Monthly Budget]], "Over Budget", "OK"), "-")</f>
        <v>Over Budget</v>
      </c>
      <c r="J673">
        <f>IF(Table1_1[[#This Row],[Type]]="Income", Table1_1[[#This Row],[Amount]], -Table1_1[[#This Row],[Amount]])</f>
        <v>-481.44</v>
      </c>
    </row>
    <row r="674" spans="1:10" x14ac:dyDescent="0.25">
      <c r="A674" s="1">
        <v>44683</v>
      </c>
      <c r="B674" t="s">
        <v>689</v>
      </c>
      <c r="C674" t="s">
        <v>22</v>
      </c>
      <c r="D674" s="2">
        <v>832.98</v>
      </c>
      <c r="E674" t="s">
        <v>7</v>
      </c>
      <c r="F674" t="s">
        <v>1547</v>
      </c>
      <c r="G674">
        <v>2022</v>
      </c>
      <c r="H674">
        <f>IF(Table1_1[[#This Row],[Type]]="Expense", _xlfn.XLOOKUP(Table1_1[[#This Row],[Category]], Budget_Ref[Category], Budget_Ref[Monthly Budget], 0), 0)</f>
        <v>200</v>
      </c>
      <c r="I674" t="str">
        <f>IF(Table1_1[[#This Row],[Type]]="Expense", IF(Table1_1[[#This Row],[Amount]]&gt;Table1_1[[#This Row],[Monthly Budget]], "Over Budget", "OK"), "-")</f>
        <v>Over Budget</v>
      </c>
      <c r="J674">
        <f>IF(Table1_1[[#This Row],[Type]]="Income", Table1_1[[#This Row],[Amount]], -Table1_1[[#This Row],[Amount]])</f>
        <v>-832.98</v>
      </c>
    </row>
    <row r="675" spans="1:10" x14ac:dyDescent="0.25">
      <c r="A675" s="1">
        <v>44683</v>
      </c>
      <c r="B675" t="s">
        <v>690</v>
      </c>
      <c r="C675" t="s">
        <v>9</v>
      </c>
      <c r="D675" s="2">
        <v>1255.73</v>
      </c>
      <c r="E675" t="s">
        <v>7</v>
      </c>
      <c r="F675" t="s">
        <v>1547</v>
      </c>
      <c r="G675">
        <v>2022</v>
      </c>
      <c r="H675">
        <f>IF(Table1_1[[#This Row],[Type]]="Expense", _xlfn.XLOOKUP(Table1_1[[#This Row],[Category]], Budget_Ref[Category], Budget_Ref[Monthly Budget], 0), 0)</f>
        <v>150</v>
      </c>
      <c r="I675" t="str">
        <f>IF(Table1_1[[#This Row],[Type]]="Expense", IF(Table1_1[[#This Row],[Amount]]&gt;Table1_1[[#This Row],[Monthly Budget]], "Over Budget", "OK"), "-")</f>
        <v>Over Budget</v>
      </c>
      <c r="J675">
        <f>IF(Table1_1[[#This Row],[Type]]="Income", Table1_1[[#This Row],[Amount]], -Table1_1[[#This Row],[Amount]])</f>
        <v>-1255.73</v>
      </c>
    </row>
    <row r="676" spans="1:10" x14ac:dyDescent="0.25">
      <c r="A676" s="1">
        <v>44684</v>
      </c>
      <c r="B676" t="s">
        <v>691</v>
      </c>
      <c r="C676" t="s">
        <v>27</v>
      </c>
      <c r="D676" s="2">
        <v>103.3</v>
      </c>
      <c r="E676" t="s">
        <v>14</v>
      </c>
      <c r="F676" t="s">
        <v>1547</v>
      </c>
      <c r="G676">
        <v>2022</v>
      </c>
      <c r="H676">
        <f>IF(Table1_1[[#This Row],[Type]]="Expense", _xlfn.XLOOKUP(Table1_1[[#This Row],[Category]], Budget_Ref[Category], Budget_Ref[Monthly Budget], 0), 0)</f>
        <v>0</v>
      </c>
      <c r="I676" t="str">
        <f>IF(Table1_1[[#This Row],[Type]]="Expense", IF(Table1_1[[#This Row],[Amount]]&gt;Table1_1[[#This Row],[Monthly Budget]], "Over Budget", "OK"), "-")</f>
        <v>-</v>
      </c>
      <c r="J676">
        <f>IF(Table1_1[[#This Row],[Type]]="Income", Table1_1[[#This Row],[Amount]], -Table1_1[[#This Row],[Amount]])</f>
        <v>103.3</v>
      </c>
    </row>
    <row r="677" spans="1:10" x14ac:dyDescent="0.25">
      <c r="A677" s="1">
        <v>44686</v>
      </c>
      <c r="B677" t="s">
        <v>692</v>
      </c>
      <c r="C677" t="s">
        <v>17</v>
      </c>
      <c r="D677" s="2">
        <v>1573.75</v>
      </c>
      <c r="E677" t="s">
        <v>7</v>
      </c>
      <c r="F677" t="s">
        <v>1547</v>
      </c>
      <c r="G677">
        <v>2022</v>
      </c>
      <c r="H677">
        <f>IF(Table1_1[[#This Row],[Type]]="Expense", _xlfn.XLOOKUP(Table1_1[[#This Row],[Category]], Budget_Ref[Category], Budget_Ref[Monthly Budget], 0), 0)</f>
        <v>300</v>
      </c>
      <c r="I677" t="str">
        <f>IF(Table1_1[[#This Row],[Type]]="Expense", IF(Table1_1[[#This Row],[Amount]]&gt;Table1_1[[#This Row],[Monthly Budget]], "Over Budget", "OK"), "-")</f>
        <v>Over Budget</v>
      </c>
      <c r="J677">
        <f>IF(Table1_1[[#This Row],[Type]]="Income", Table1_1[[#This Row],[Amount]], -Table1_1[[#This Row],[Amount]])</f>
        <v>-1573.75</v>
      </c>
    </row>
    <row r="678" spans="1:10" x14ac:dyDescent="0.25">
      <c r="A678" s="1">
        <v>44686</v>
      </c>
      <c r="B678" t="s">
        <v>693</v>
      </c>
      <c r="C678" t="s">
        <v>17</v>
      </c>
      <c r="D678" s="2">
        <v>822.44</v>
      </c>
      <c r="E678" t="s">
        <v>7</v>
      </c>
      <c r="F678" t="s">
        <v>1547</v>
      </c>
      <c r="G678">
        <v>2022</v>
      </c>
      <c r="H678">
        <f>IF(Table1_1[[#This Row],[Type]]="Expense", _xlfn.XLOOKUP(Table1_1[[#This Row],[Category]], Budget_Ref[Category], Budget_Ref[Monthly Budget], 0), 0)</f>
        <v>300</v>
      </c>
      <c r="I678" t="str">
        <f>IF(Table1_1[[#This Row],[Type]]="Expense", IF(Table1_1[[#This Row],[Amount]]&gt;Table1_1[[#This Row],[Monthly Budget]], "Over Budget", "OK"), "-")</f>
        <v>Over Budget</v>
      </c>
      <c r="J678">
        <f>IF(Table1_1[[#This Row],[Type]]="Income", Table1_1[[#This Row],[Amount]], -Table1_1[[#This Row],[Amount]])</f>
        <v>-822.44</v>
      </c>
    </row>
    <row r="679" spans="1:10" x14ac:dyDescent="0.25">
      <c r="A679" s="1">
        <v>44687</v>
      </c>
      <c r="B679" t="s">
        <v>694</v>
      </c>
      <c r="C679" t="s">
        <v>9</v>
      </c>
      <c r="D679" s="2">
        <v>1511.29</v>
      </c>
      <c r="E679" t="s">
        <v>7</v>
      </c>
      <c r="F679" t="s">
        <v>1547</v>
      </c>
      <c r="G679">
        <v>2022</v>
      </c>
      <c r="H679">
        <f>IF(Table1_1[[#This Row],[Type]]="Expense", _xlfn.XLOOKUP(Table1_1[[#This Row],[Category]], Budget_Ref[Category], Budget_Ref[Monthly Budget], 0), 0)</f>
        <v>150</v>
      </c>
      <c r="I679" t="str">
        <f>IF(Table1_1[[#This Row],[Type]]="Expense", IF(Table1_1[[#This Row],[Amount]]&gt;Table1_1[[#This Row],[Monthly Budget]], "Over Budget", "OK"), "-")</f>
        <v>Over Budget</v>
      </c>
      <c r="J679">
        <f>IF(Table1_1[[#This Row],[Type]]="Income", Table1_1[[#This Row],[Amount]], -Table1_1[[#This Row],[Amount]])</f>
        <v>-1511.29</v>
      </c>
    </row>
    <row r="680" spans="1:10" x14ac:dyDescent="0.25">
      <c r="A680" s="1">
        <v>44688</v>
      </c>
      <c r="B680" t="s">
        <v>695</v>
      </c>
      <c r="C680" t="s">
        <v>22</v>
      </c>
      <c r="D680" s="2">
        <v>608.47</v>
      </c>
      <c r="E680" t="s">
        <v>7</v>
      </c>
      <c r="F680" t="s">
        <v>1547</v>
      </c>
      <c r="G680">
        <v>2022</v>
      </c>
      <c r="H680">
        <f>IF(Table1_1[[#This Row],[Type]]="Expense", _xlfn.XLOOKUP(Table1_1[[#This Row],[Category]], Budget_Ref[Category], Budget_Ref[Monthly Budget], 0), 0)</f>
        <v>200</v>
      </c>
      <c r="I680" t="str">
        <f>IF(Table1_1[[#This Row],[Type]]="Expense", IF(Table1_1[[#This Row],[Amount]]&gt;Table1_1[[#This Row],[Monthly Budget]], "Over Budget", "OK"), "-")</f>
        <v>Over Budget</v>
      </c>
      <c r="J680">
        <f>IF(Table1_1[[#This Row],[Type]]="Income", Table1_1[[#This Row],[Amount]], -Table1_1[[#This Row],[Amount]])</f>
        <v>-608.47</v>
      </c>
    </row>
    <row r="681" spans="1:10" x14ac:dyDescent="0.25">
      <c r="A681" s="1">
        <v>44688</v>
      </c>
      <c r="B681" t="s">
        <v>696</v>
      </c>
      <c r="C681" t="s">
        <v>27</v>
      </c>
      <c r="D681" s="2">
        <v>1830.33</v>
      </c>
      <c r="E681" t="s">
        <v>14</v>
      </c>
      <c r="F681" t="s">
        <v>1547</v>
      </c>
      <c r="G681">
        <v>2022</v>
      </c>
      <c r="H681">
        <f>IF(Table1_1[[#This Row],[Type]]="Expense", _xlfn.XLOOKUP(Table1_1[[#This Row],[Category]], Budget_Ref[Category], Budget_Ref[Monthly Budget], 0), 0)</f>
        <v>0</v>
      </c>
      <c r="I681" t="str">
        <f>IF(Table1_1[[#This Row],[Type]]="Expense", IF(Table1_1[[#This Row],[Amount]]&gt;Table1_1[[#This Row],[Monthly Budget]], "Over Budget", "OK"), "-")</f>
        <v>-</v>
      </c>
      <c r="J681">
        <f>IF(Table1_1[[#This Row],[Type]]="Income", Table1_1[[#This Row],[Amount]], -Table1_1[[#This Row],[Amount]])</f>
        <v>1830.33</v>
      </c>
    </row>
    <row r="682" spans="1:10" x14ac:dyDescent="0.25">
      <c r="A682" s="1">
        <v>44688</v>
      </c>
      <c r="B682" t="s">
        <v>697</v>
      </c>
      <c r="C682" t="s">
        <v>17</v>
      </c>
      <c r="D682" s="2">
        <v>1119</v>
      </c>
      <c r="E682" t="s">
        <v>7</v>
      </c>
      <c r="F682" t="s">
        <v>1547</v>
      </c>
      <c r="G682">
        <v>2022</v>
      </c>
      <c r="H682">
        <f>IF(Table1_1[[#This Row],[Type]]="Expense", _xlfn.XLOOKUP(Table1_1[[#This Row],[Category]], Budget_Ref[Category], Budget_Ref[Monthly Budget], 0), 0)</f>
        <v>300</v>
      </c>
      <c r="I682" t="str">
        <f>IF(Table1_1[[#This Row],[Type]]="Expense", IF(Table1_1[[#This Row],[Amount]]&gt;Table1_1[[#This Row],[Monthly Budget]], "Over Budget", "OK"), "-")</f>
        <v>Over Budget</v>
      </c>
      <c r="J682">
        <f>IF(Table1_1[[#This Row],[Type]]="Income", Table1_1[[#This Row],[Amount]], -Table1_1[[#This Row],[Amount]])</f>
        <v>-1119</v>
      </c>
    </row>
    <row r="683" spans="1:10" x14ac:dyDescent="0.25">
      <c r="A683" s="1">
        <v>44689</v>
      </c>
      <c r="B683" t="s">
        <v>698</v>
      </c>
      <c r="C683" t="s">
        <v>13</v>
      </c>
      <c r="D683" s="2">
        <v>2588</v>
      </c>
      <c r="E683" t="s">
        <v>14</v>
      </c>
      <c r="F683" t="s">
        <v>1547</v>
      </c>
      <c r="G683">
        <v>2022</v>
      </c>
      <c r="H683">
        <f>IF(Table1_1[[#This Row],[Type]]="Expense", _xlfn.XLOOKUP(Table1_1[[#This Row],[Category]], Budget_Ref[Category], Budget_Ref[Monthly Budget], 0), 0)</f>
        <v>0</v>
      </c>
      <c r="I683" t="str">
        <f>IF(Table1_1[[#This Row],[Type]]="Expense", IF(Table1_1[[#This Row],[Amount]]&gt;Table1_1[[#This Row],[Monthly Budget]], "Over Budget", "OK"), "-")</f>
        <v>-</v>
      </c>
      <c r="J683">
        <f>IF(Table1_1[[#This Row],[Type]]="Income", Table1_1[[#This Row],[Amount]], -Table1_1[[#This Row],[Amount]])</f>
        <v>2588</v>
      </c>
    </row>
    <row r="684" spans="1:10" x14ac:dyDescent="0.25">
      <c r="A684" s="1">
        <v>44689</v>
      </c>
      <c r="B684" t="s">
        <v>699</v>
      </c>
      <c r="C684" t="s">
        <v>11</v>
      </c>
      <c r="D684" s="2">
        <v>1845.23</v>
      </c>
      <c r="E684" t="s">
        <v>7</v>
      </c>
      <c r="F684" t="s">
        <v>1547</v>
      </c>
      <c r="G684">
        <v>2022</v>
      </c>
      <c r="H684">
        <f>IF(Table1_1[[#This Row],[Type]]="Expense", _xlfn.XLOOKUP(Table1_1[[#This Row],[Category]], Budget_Ref[Category], Budget_Ref[Monthly Budget], 0), 0)</f>
        <v>1500</v>
      </c>
      <c r="I684" t="str">
        <f>IF(Table1_1[[#This Row],[Type]]="Expense", IF(Table1_1[[#This Row],[Amount]]&gt;Table1_1[[#This Row],[Monthly Budget]], "Over Budget", "OK"), "-")</f>
        <v>Over Budget</v>
      </c>
      <c r="J684">
        <f>IF(Table1_1[[#This Row],[Type]]="Income", Table1_1[[#This Row],[Amount]], -Table1_1[[#This Row],[Amount]])</f>
        <v>-1845.23</v>
      </c>
    </row>
    <row r="685" spans="1:10" x14ac:dyDescent="0.25">
      <c r="A685" s="1">
        <v>44690</v>
      </c>
      <c r="B685" t="s">
        <v>700</v>
      </c>
      <c r="C685" t="s">
        <v>11</v>
      </c>
      <c r="D685" s="2">
        <v>1075.9100000000001</v>
      </c>
      <c r="E685" t="s">
        <v>7</v>
      </c>
      <c r="F685" t="s">
        <v>1547</v>
      </c>
      <c r="G685">
        <v>2022</v>
      </c>
      <c r="H685">
        <f>IF(Table1_1[[#This Row],[Type]]="Expense", _xlfn.XLOOKUP(Table1_1[[#This Row],[Category]], Budget_Ref[Category], Budget_Ref[Monthly Budget], 0), 0)</f>
        <v>1500</v>
      </c>
      <c r="I685" t="str">
        <f>IF(Table1_1[[#This Row],[Type]]="Expense", IF(Table1_1[[#This Row],[Amount]]&gt;Table1_1[[#This Row],[Monthly Budget]], "Over Budget", "OK"), "-")</f>
        <v>OK</v>
      </c>
      <c r="J685">
        <f>IF(Table1_1[[#This Row],[Type]]="Income", Table1_1[[#This Row],[Amount]], -Table1_1[[#This Row],[Amount]])</f>
        <v>-1075.9100000000001</v>
      </c>
    </row>
    <row r="686" spans="1:10" x14ac:dyDescent="0.25">
      <c r="A686" s="1">
        <v>44690</v>
      </c>
      <c r="B686" t="s">
        <v>701</v>
      </c>
      <c r="C686" t="s">
        <v>6</v>
      </c>
      <c r="D686" s="2">
        <v>544.24</v>
      </c>
      <c r="E686" t="s">
        <v>7</v>
      </c>
      <c r="F686" t="s">
        <v>1547</v>
      </c>
      <c r="G686">
        <v>2022</v>
      </c>
      <c r="H686">
        <f>IF(Table1_1[[#This Row],[Type]]="Expense", _xlfn.XLOOKUP(Table1_1[[#This Row],[Category]], Budget_Ref[Category], Budget_Ref[Monthly Budget], 0), 0)</f>
        <v>500</v>
      </c>
      <c r="I686" t="str">
        <f>IF(Table1_1[[#This Row],[Type]]="Expense", IF(Table1_1[[#This Row],[Amount]]&gt;Table1_1[[#This Row],[Monthly Budget]], "Over Budget", "OK"), "-")</f>
        <v>Over Budget</v>
      </c>
      <c r="J686">
        <f>IF(Table1_1[[#This Row],[Type]]="Income", Table1_1[[#This Row],[Amount]], -Table1_1[[#This Row],[Amount]])</f>
        <v>-544.24</v>
      </c>
    </row>
    <row r="687" spans="1:10" x14ac:dyDescent="0.25">
      <c r="A687" s="1">
        <v>44692</v>
      </c>
      <c r="B687" t="s">
        <v>702</v>
      </c>
      <c r="C687" t="s">
        <v>6</v>
      </c>
      <c r="D687" s="2">
        <v>1748.5</v>
      </c>
      <c r="E687" t="s">
        <v>7</v>
      </c>
      <c r="F687" t="s">
        <v>1547</v>
      </c>
      <c r="G687">
        <v>2022</v>
      </c>
      <c r="H687">
        <f>IF(Table1_1[[#This Row],[Type]]="Expense", _xlfn.XLOOKUP(Table1_1[[#This Row],[Category]], Budget_Ref[Category], Budget_Ref[Monthly Budget], 0), 0)</f>
        <v>500</v>
      </c>
      <c r="I687" t="str">
        <f>IF(Table1_1[[#This Row],[Type]]="Expense", IF(Table1_1[[#This Row],[Amount]]&gt;Table1_1[[#This Row],[Monthly Budget]], "Over Budget", "OK"), "-")</f>
        <v>Over Budget</v>
      </c>
      <c r="J687">
        <f>IF(Table1_1[[#This Row],[Type]]="Income", Table1_1[[#This Row],[Amount]], -Table1_1[[#This Row],[Amount]])</f>
        <v>-1748.5</v>
      </c>
    </row>
    <row r="688" spans="1:10" x14ac:dyDescent="0.25">
      <c r="A688" s="1">
        <v>44694</v>
      </c>
      <c r="B688" t="s">
        <v>703</v>
      </c>
      <c r="C688" t="s">
        <v>13</v>
      </c>
      <c r="D688" s="2">
        <v>4427</v>
      </c>
      <c r="E688" t="s">
        <v>14</v>
      </c>
      <c r="F688" t="s">
        <v>1547</v>
      </c>
      <c r="G688">
        <v>2022</v>
      </c>
      <c r="H688">
        <f>IF(Table1_1[[#This Row],[Type]]="Expense", _xlfn.XLOOKUP(Table1_1[[#This Row],[Category]], Budget_Ref[Category], Budget_Ref[Monthly Budget], 0), 0)</f>
        <v>0</v>
      </c>
      <c r="I688" t="str">
        <f>IF(Table1_1[[#This Row],[Type]]="Expense", IF(Table1_1[[#This Row],[Amount]]&gt;Table1_1[[#This Row],[Monthly Budget]], "Over Budget", "OK"), "-")</f>
        <v>-</v>
      </c>
      <c r="J688">
        <f>IF(Table1_1[[#This Row],[Type]]="Income", Table1_1[[#This Row],[Amount]], -Table1_1[[#This Row],[Amount]])</f>
        <v>4427</v>
      </c>
    </row>
    <row r="689" spans="1:10" x14ac:dyDescent="0.25">
      <c r="A689" s="1">
        <v>44694</v>
      </c>
      <c r="B689" t="s">
        <v>704</v>
      </c>
      <c r="C689" t="s">
        <v>25</v>
      </c>
      <c r="D689" s="2">
        <v>613.34</v>
      </c>
      <c r="E689" t="s">
        <v>7</v>
      </c>
      <c r="F689" t="s">
        <v>1547</v>
      </c>
      <c r="G689">
        <v>2022</v>
      </c>
      <c r="H689">
        <f>IF(Table1_1[[#This Row],[Type]]="Expense", _xlfn.XLOOKUP(Table1_1[[#This Row],[Category]], Budget_Ref[Category], Budget_Ref[Monthly Budget], 0), 0)</f>
        <v>150</v>
      </c>
      <c r="I689" t="str">
        <f>IF(Table1_1[[#This Row],[Type]]="Expense", IF(Table1_1[[#This Row],[Amount]]&gt;Table1_1[[#This Row],[Monthly Budget]], "Over Budget", "OK"), "-")</f>
        <v>Over Budget</v>
      </c>
      <c r="J689">
        <f>IF(Table1_1[[#This Row],[Type]]="Income", Table1_1[[#This Row],[Amount]], -Table1_1[[#This Row],[Amount]])</f>
        <v>-613.34</v>
      </c>
    </row>
    <row r="690" spans="1:10" x14ac:dyDescent="0.25">
      <c r="A690" s="1">
        <v>44695</v>
      </c>
      <c r="B690" t="s">
        <v>705</v>
      </c>
      <c r="C690" t="s">
        <v>22</v>
      </c>
      <c r="D690" s="2">
        <v>1874.95</v>
      </c>
      <c r="E690" t="s">
        <v>7</v>
      </c>
      <c r="F690" t="s">
        <v>1547</v>
      </c>
      <c r="G690">
        <v>2022</v>
      </c>
      <c r="H690">
        <f>IF(Table1_1[[#This Row],[Type]]="Expense", _xlfn.XLOOKUP(Table1_1[[#This Row],[Category]], Budget_Ref[Category], Budget_Ref[Monthly Budget], 0), 0)</f>
        <v>200</v>
      </c>
      <c r="I690" t="str">
        <f>IF(Table1_1[[#This Row],[Type]]="Expense", IF(Table1_1[[#This Row],[Amount]]&gt;Table1_1[[#This Row],[Monthly Budget]], "Over Budget", "OK"), "-")</f>
        <v>Over Budget</v>
      </c>
      <c r="J690">
        <f>IF(Table1_1[[#This Row],[Type]]="Income", Table1_1[[#This Row],[Amount]], -Table1_1[[#This Row],[Amount]])</f>
        <v>-1874.95</v>
      </c>
    </row>
    <row r="691" spans="1:10" x14ac:dyDescent="0.25">
      <c r="A691" s="1">
        <v>44700</v>
      </c>
      <c r="B691" t="s">
        <v>706</v>
      </c>
      <c r="C691" t="s">
        <v>11</v>
      </c>
      <c r="D691" s="2">
        <v>1496.29</v>
      </c>
      <c r="E691" t="s">
        <v>7</v>
      </c>
      <c r="F691" t="s">
        <v>1547</v>
      </c>
      <c r="G691">
        <v>2022</v>
      </c>
      <c r="H691">
        <f>IF(Table1_1[[#This Row],[Type]]="Expense", _xlfn.XLOOKUP(Table1_1[[#This Row],[Category]], Budget_Ref[Category], Budget_Ref[Monthly Budget], 0), 0)</f>
        <v>1500</v>
      </c>
      <c r="I691" t="str">
        <f>IF(Table1_1[[#This Row],[Type]]="Expense", IF(Table1_1[[#This Row],[Amount]]&gt;Table1_1[[#This Row],[Monthly Budget]], "Over Budget", "OK"), "-")</f>
        <v>OK</v>
      </c>
      <c r="J691">
        <f>IF(Table1_1[[#This Row],[Type]]="Income", Table1_1[[#This Row],[Amount]], -Table1_1[[#This Row],[Amount]])</f>
        <v>-1496.29</v>
      </c>
    </row>
    <row r="692" spans="1:10" x14ac:dyDescent="0.25">
      <c r="A692" s="1">
        <v>44700</v>
      </c>
      <c r="B692" t="s">
        <v>707</v>
      </c>
      <c r="C692" t="s">
        <v>22</v>
      </c>
      <c r="D692" s="2">
        <v>1394.3</v>
      </c>
      <c r="E692" t="s">
        <v>7</v>
      </c>
      <c r="F692" t="s">
        <v>1547</v>
      </c>
      <c r="G692">
        <v>2022</v>
      </c>
      <c r="H692">
        <f>IF(Table1_1[[#This Row],[Type]]="Expense", _xlfn.XLOOKUP(Table1_1[[#This Row],[Category]], Budget_Ref[Category], Budget_Ref[Monthly Budget], 0), 0)</f>
        <v>200</v>
      </c>
      <c r="I692" t="str">
        <f>IF(Table1_1[[#This Row],[Type]]="Expense", IF(Table1_1[[#This Row],[Amount]]&gt;Table1_1[[#This Row],[Monthly Budget]], "Over Budget", "OK"), "-")</f>
        <v>Over Budget</v>
      </c>
      <c r="J692">
        <f>IF(Table1_1[[#This Row],[Type]]="Income", Table1_1[[#This Row],[Amount]], -Table1_1[[#This Row],[Amount]])</f>
        <v>-1394.3</v>
      </c>
    </row>
    <row r="693" spans="1:10" x14ac:dyDescent="0.25">
      <c r="A693" s="1">
        <v>44701</v>
      </c>
      <c r="B693" t="s">
        <v>708</v>
      </c>
      <c r="C693" t="s">
        <v>17</v>
      </c>
      <c r="D693" s="2">
        <v>1831.1</v>
      </c>
      <c r="E693" t="s">
        <v>7</v>
      </c>
      <c r="F693" t="s">
        <v>1547</v>
      </c>
      <c r="G693">
        <v>2022</v>
      </c>
      <c r="H693">
        <f>IF(Table1_1[[#This Row],[Type]]="Expense", _xlfn.XLOOKUP(Table1_1[[#This Row],[Category]], Budget_Ref[Category], Budget_Ref[Monthly Budget], 0), 0)</f>
        <v>300</v>
      </c>
      <c r="I693" t="str">
        <f>IF(Table1_1[[#This Row],[Type]]="Expense", IF(Table1_1[[#This Row],[Amount]]&gt;Table1_1[[#This Row],[Monthly Budget]], "Over Budget", "OK"), "-")</f>
        <v>Over Budget</v>
      </c>
      <c r="J693">
        <f>IF(Table1_1[[#This Row],[Type]]="Income", Table1_1[[#This Row],[Amount]], -Table1_1[[#This Row],[Amount]])</f>
        <v>-1831.1</v>
      </c>
    </row>
    <row r="694" spans="1:10" x14ac:dyDescent="0.25">
      <c r="A694" s="1">
        <v>44701</v>
      </c>
      <c r="B694" t="s">
        <v>709</v>
      </c>
      <c r="C694" t="s">
        <v>35</v>
      </c>
      <c r="D694" s="2">
        <v>767.52</v>
      </c>
      <c r="E694" t="s">
        <v>7</v>
      </c>
      <c r="F694" t="s">
        <v>1547</v>
      </c>
      <c r="G694">
        <v>2022</v>
      </c>
      <c r="H694">
        <f>IF(Table1_1[[#This Row],[Type]]="Expense", _xlfn.XLOOKUP(Table1_1[[#This Row],[Category]], Budget_Ref[Category], Budget_Ref[Monthly Budget], 0), 0)</f>
        <v>200</v>
      </c>
      <c r="I694" t="str">
        <f>IF(Table1_1[[#This Row],[Type]]="Expense", IF(Table1_1[[#This Row],[Amount]]&gt;Table1_1[[#This Row],[Monthly Budget]], "Over Budget", "OK"), "-")</f>
        <v>Over Budget</v>
      </c>
      <c r="J694">
        <f>IF(Table1_1[[#This Row],[Type]]="Income", Table1_1[[#This Row],[Amount]], -Table1_1[[#This Row],[Amount]])</f>
        <v>-767.52</v>
      </c>
    </row>
    <row r="695" spans="1:10" x14ac:dyDescent="0.25">
      <c r="A695" s="1">
        <v>44703</v>
      </c>
      <c r="B695" t="s">
        <v>710</v>
      </c>
      <c r="C695" t="s">
        <v>25</v>
      </c>
      <c r="D695" s="2">
        <v>623.76</v>
      </c>
      <c r="E695" t="s">
        <v>7</v>
      </c>
      <c r="F695" t="s">
        <v>1547</v>
      </c>
      <c r="G695">
        <v>2022</v>
      </c>
      <c r="H695">
        <f>IF(Table1_1[[#This Row],[Type]]="Expense", _xlfn.XLOOKUP(Table1_1[[#This Row],[Category]], Budget_Ref[Category], Budget_Ref[Monthly Budget], 0), 0)</f>
        <v>150</v>
      </c>
      <c r="I695" t="str">
        <f>IF(Table1_1[[#This Row],[Type]]="Expense", IF(Table1_1[[#This Row],[Amount]]&gt;Table1_1[[#This Row],[Monthly Budget]], "Over Budget", "OK"), "-")</f>
        <v>Over Budget</v>
      </c>
      <c r="J695">
        <f>IF(Table1_1[[#This Row],[Type]]="Income", Table1_1[[#This Row],[Amount]], -Table1_1[[#This Row],[Amount]])</f>
        <v>-623.76</v>
      </c>
    </row>
    <row r="696" spans="1:10" x14ac:dyDescent="0.25">
      <c r="A696" s="1">
        <v>44704</v>
      </c>
      <c r="B696" t="s">
        <v>711</v>
      </c>
      <c r="C696" t="s">
        <v>27</v>
      </c>
      <c r="D696" s="2">
        <v>937.35</v>
      </c>
      <c r="E696" t="s">
        <v>14</v>
      </c>
      <c r="F696" t="s">
        <v>1547</v>
      </c>
      <c r="G696">
        <v>2022</v>
      </c>
      <c r="H696">
        <f>IF(Table1_1[[#This Row],[Type]]="Expense", _xlfn.XLOOKUP(Table1_1[[#This Row],[Category]], Budget_Ref[Category], Budget_Ref[Monthly Budget], 0), 0)</f>
        <v>0</v>
      </c>
      <c r="I696" t="str">
        <f>IF(Table1_1[[#This Row],[Type]]="Expense", IF(Table1_1[[#This Row],[Amount]]&gt;Table1_1[[#This Row],[Monthly Budget]], "Over Budget", "OK"), "-")</f>
        <v>-</v>
      </c>
      <c r="J696">
        <f>IF(Table1_1[[#This Row],[Type]]="Income", Table1_1[[#This Row],[Amount]], -Table1_1[[#This Row],[Amount]])</f>
        <v>937.35</v>
      </c>
    </row>
    <row r="697" spans="1:10" x14ac:dyDescent="0.25">
      <c r="A697" s="1">
        <v>44705</v>
      </c>
      <c r="B697" t="s">
        <v>712</v>
      </c>
      <c r="C697" t="s">
        <v>27</v>
      </c>
      <c r="D697" s="2">
        <v>1525.64</v>
      </c>
      <c r="E697" t="s">
        <v>14</v>
      </c>
      <c r="F697" t="s">
        <v>1547</v>
      </c>
      <c r="G697">
        <v>2022</v>
      </c>
      <c r="H697">
        <f>IF(Table1_1[[#This Row],[Type]]="Expense", _xlfn.XLOOKUP(Table1_1[[#This Row],[Category]], Budget_Ref[Category], Budget_Ref[Monthly Budget], 0), 0)</f>
        <v>0</v>
      </c>
      <c r="I697" t="str">
        <f>IF(Table1_1[[#This Row],[Type]]="Expense", IF(Table1_1[[#This Row],[Amount]]&gt;Table1_1[[#This Row],[Monthly Budget]], "Over Budget", "OK"), "-")</f>
        <v>-</v>
      </c>
      <c r="J697">
        <f>IF(Table1_1[[#This Row],[Type]]="Income", Table1_1[[#This Row],[Amount]], -Table1_1[[#This Row],[Amount]])</f>
        <v>1525.64</v>
      </c>
    </row>
    <row r="698" spans="1:10" x14ac:dyDescent="0.25">
      <c r="A698" s="1">
        <v>44705</v>
      </c>
      <c r="B698" t="s">
        <v>713</v>
      </c>
      <c r="C698" t="s">
        <v>22</v>
      </c>
      <c r="D698" s="2">
        <v>747.7</v>
      </c>
      <c r="E698" t="s">
        <v>7</v>
      </c>
      <c r="F698" t="s">
        <v>1547</v>
      </c>
      <c r="G698">
        <v>2022</v>
      </c>
      <c r="H698">
        <f>IF(Table1_1[[#This Row],[Type]]="Expense", _xlfn.XLOOKUP(Table1_1[[#This Row],[Category]], Budget_Ref[Category], Budget_Ref[Monthly Budget], 0), 0)</f>
        <v>200</v>
      </c>
      <c r="I698" t="str">
        <f>IF(Table1_1[[#This Row],[Type]]="Expense", IF(Table1_1[[#This Row],[Amount]]&gt;Table1_1[[#This Row],[Monthly Budget]], "Over Budget", "OK"), "-")</f>
        <v>Over Budget</v>
      </c>
      <c r="J698">
        <f>IF(Table1_1[[#This Row],[Type]]="Income", Table1_1[[#This Row],[Amount]], -Table1_1[[#This Row],[Amount]])</f>
        <v>-747.7</v>
      </c>
    </row>
    <row r="699" spans="1:10" x14ac:dyDescent="0.25">
      <c r="A699" s="1">
        <v>44706</v>
      </c>
      <c r="B699" t="s">
        <v>714</v>
      </c>
      <c r="C699" t="s">
        <v>22</v>
      </c>
      <c r="D699" s="2">
        <v>1485.09</v>
      </c>
      <c r="E699" t="s">
        <v>7</v>
      </c>
      <c r="F699" t="s">
        <v>1547</v>
      </c>
      <c r="G699">
        <v>2022</v>
      </c>
      <c r="H699">
        <f>IF(Table1_1[[#This Row],[Type]]="Expense", _xlfn.XLOOKUP(Table1_1[[#This Row],[Category]], Budget_Ref[Category], Budget_Ref[Monthly Budget], 0), 0)</f>
        <v>200</v>
      </c>
      <c r="I699" t="str">
        <f>IF(Table1_1[[#This Row],[Type]]="Expense", IF(Table1_1[[#This Row],[Amount]]&gt;Table1_1[[#This Row],[Monthly Budget]], "Over Budget", "OK"), "-")</f>
        <v>Over Budget</v>
      </c>
      <c r="J699">
        <f>IF(Table1_1[[#This Row],[Type]]="Income", Table1_1[[#This Row],[Amount]], -Table1_1[[#This Row],[Amount]])</f>
        <v>-1485.09</v>
      </c>
    </row>
    <row r="700" spans="1:10" x14ac:dyDescent="0.25">
      <c r="A700" s="1">
        <v>44708</v>
      </c>
      <c r="B700" t="s">
        <v>715</v>
      </c>
      <c r="C700" t="s">
        <v>20</v>
      </c>
      <c r="D700" s="2">
        <v>2918</v>
      </c>
      <c r="E700" t="s">
        <v>14</v>
      </c>
      <c r="F700" t="s">
        <v>1547</v>
      </c>
      <c r="G700">
        <v>2022</v>
      </c>
      <c r="H700">
        <f>IF(Table1_1[[#This Row],[Type]]="Expense", _xlfn.XLOOKUP(Table1_1[[#This Row],[Category]], Budget_Ref[Category], Budget_Ref[Monthly Budget], 0), 0)</f>
        <v>0</v>
      </c>
      <c r="I700" t="str">
        <f>IF(Table1_1[[#This Row],[Type]]="Expense", IF(Table1_1[[#This Row],[Amount]]&gt;Table1_1[[#This Row],[Monthly Budget]], "Over Budget", "OK"), "-")</f>
        <v>-</v>
      </c>
      <c r="J700">
        <f>IF(Table1_1[[#This Row],[Type]]="Income", Table1_1[[#This Row],[Amount]], -Table1_1[[#This Row],[Amount]])</f>
        <v>2918</v>
      </c>
    </row>
    <row r="701" spans="1:10" x14ac:dyDescent="0.25">
      <c r="A701" s="1">
        <v>44709</v>
      </c>
      <c r="B701" t="s">
        <v>716</v>
      </c>
      <c r="C701" t="s">
        <v>20</v>
      </c>
      <c r="D701" s="2">
        <v>2384</v>
      </c>
      <c r="E701" t="s">
        <v>14</v>
      </c>
      <c r="F701" t="s">
        <v>1547</v>
      </c>
      <c r="G701">
        <v>2022</v>
      </c>
      <c r="H701">
        <f>IF(Table1_1[[#This Row],[Type]]="Expense", _xlfn.XLOOKUP(Table1_1[[#This Row],[Category]], Budget_Ref[Category], Budget_Ref[Monthly Budget], 0), 0)</f>
        <v>0</v>
      </c>
      <c r="I701" t="str">
        <f>IF(Table1_1[[#This Row],[Type]]="Expense", IF(Table1_1[[#This Row],[Amount]]&gt;Table1_1[[#This Row],[Monthly Budget]], "Over Budget", "OK"), "-")</f>
        <v>-</v>
      </c>
      <c r="J701">
        <f>IF(Table1_1[[#This Row],[Type]]="Income", Table1_1[[#This Row],[Amount]], -Table1_1[[#This Row],[Amount]])</f>
        <v>2384</v>
      </c>
    </row>
    <row r="702" spans="1:10" x14ac:dyDescent="0.25">
      <c r="A702" s="1">
        <v>44710</v>
      </c>
      <c r="B702" t="s">
        <v>717</v>
      </c>
      <c r="C702" t="s">
        <v>22</v>
      </c>
      <c r="D702" s="2">
        <v>1003.61</v>
      </c>
      <c r="E702" t="s">
        <v>7</v>
      </c>
      <c r="F702" t="s">
        <v>1547</v>
      </c>
      <c r="G702">
        <v>2022</v>
      </c>
      <c r="H702">
        <f>IF(Table1_1[[#This Row],[Type]]="Expense", _xlfn.XLOOKUP(Table1_1[[#This Row],[Category]], Budget_Ref[Category], Budget_Ref[Monthly Budget], 0), 0)</f>
        <v>200</v>
      </c>
      <c r="I702" t="str">
        <f>IF(Table1_1[[#This Row],[Type]]="Expense", IF(Table1_1[[#This Row],[Amount]]&gt;Table1_1[[#This Row],[Monthly Budget]], "Over Budget", "OK"), "-")</f>
        <v>Over Budget</v>
      </c>
      <c r="J702">
        <f>IF(Table1_1[[#This Row],[Type]]="Income", Table1_1[[#This Row],[Amount]], -Table1_1[[#This Row],[Amount]])</f>
        <v>-1003.61</v>
      </c>
    </row>
    <row r="703" spans="1:10" x14ac:dyDescent="0.25">
      <c r="A703" s="1">
        <v>44710</v>
      </c>
      <c r="B703" t="s">
        <v>718</v>
      </c>
      <c r="C703" t="s">
        <v>25</v>
      </c>
      <c r="D703" s="2">
        <v>522.08000000000004</v>
      </c>
      <c r="E703" t="s">
        <v>7</v>
      </c>
      <c r="F703" t="s">
        <v>1547</v>
      </c>
      <c r="G703">
        <v>2022</v>
      </c>
      <c r="H703">
        <f>IF(Table1_1[[#This Row],[Type]]="Expense", _xlfn.XLOOKUP(Table1_1[[#This Row],[Category]], Budget_Ref[Category], Budget_Ref[Monthly Budget], 0), 0)</f>
        <v>150</v>
      </c>
      <c r="I703" t="str">
        <f>IF(Table1_1[[#This Row],[Type]]="Expense", IF(Table1_1[[#This Row],[Amount]]&gt;Table1_1[[#This Row],[Monthly Budget]], "Over Budget", "OK"), "-")</f>
        <v>Over Budget</v>
      </c>
      <c r="J703">
        <f>IF(Table1_1[[#This Row],[Type]]="Income", Table1_1[[#This Row],[Amount]], -Table1_1[[#This Row],[Amount]])</f>
        <v>-522.08000000000004</v>
      </c>
    </row>
    <row r="704" spans="1:10" x14ac:dyDescent="0.25">
      <c r="A704" s="1">
        <v>44711</v>
      </c>
      <c r="B704" t="s">
        <v>719</v>
      </c>
      <c r="C704" t="s">
        <v>27</v>
      </c>
      <c r="D704" s="2">
        <v>927.05</v>
      </c>
      <c r="E704" t="s">
        <v>14</v>
      </c>
      <c r="F704" t="s">
        <v>1547</v>
      </c>
      <c r="G704">
        <v>2022</v>
      </c>
      <c r="H704">
        <f>IF(Table1_1[[#This Row],[Type]]="Expense", _xlfn.XLOOKUP(Table1_1[[#This Row],[Category]], Budget_Ref[Category], Budget_Ref[Monthly Budget], 0), 0)</f>
        <v>0</v>
      </c>
      <c r="I704" t="str">
        <f>IF(Table1_1[[#This Row],[Type]]="Expense", IF(Table1_1[[#This Row],[Amount]]&gt;Table1_1[[#This Row],[Monthly Budget]], "Over Budget", "OK"), "-")</f>
        <v>-</v>
      </c>
      <c r="J704">
        <f>IF(Table1_1[[#This Row],[Type]]="Income", Table1_1[[#This Row],[Amount]], -Table1_1[[#This Row],[Amount]])</f>
        <v>927.05</v>
      </c>
    </row>
    <row r="705" spans="1:10" x14ac:dyDescent="0.25">
      <c r="A705" s="1">
        <v>44711</v>
      </c>
      <c r="B705" t="s">
        <v>720</v>
      </c>
      <c r="C705" t="s">
        <v>25</v>
      </c>
      <c r="D705" s="2">
        <v>346.84</v>
      </c>
      <c r="E705" t="s">
        <v>7</v>
      </c>
      <c r="F705" t="s">
        <v>1547</v>
      </c>
      <c r="G705">
        <v>2022</v>
      </c>
      <c r="H705">
        <f>IF(Table1_1[[#This Row],[Type]]="Expense", _xlfn.XLOOKUP(Table1_1[[#This Row],[Category]], Budget_Ref[Category], Budget_Ref[Monthly Budget], 0), 0)</f>
        <v>150</v>
      </c>
      <c r="I705" t="str">
        <f>IF(Table1_1[[#This Row],[Type]]="Expense", IF(Table1_1[[#This Row],[Amount]]&gt;Table1_1[[#This Row],[Monthly Budget]], "Over Budget", "OK"), "-")</f>
        <v>Over Budget</v>
      </c>
      <c r="J705">
        <f>IF(Table1_1[[#This Row],[Type]]="Income", Table1_1[[#This Row],[Amount]], -Table1_1[[#This Row],[Amount]])</f>
        <v>-346.84</v>
      </c>
    </row>
    <row r="706" spans="1:10" x14ac:dyDescent="0.25">
      <c r="A706" s="1">
        <v>44712</v>
      </c>
      <c r="B706" t="s">
        <v>721</v>
      </c>
      <c r="C706" t="s">
        <v>27</v>
      </c>
      <c r="D706" s="2">
        <v>376.26</v>
      </c>
      <c r="E706" t="s">
        <v>14</v>
      </c>
      <c r="F706" t="s">
        <v>1547</v>
      </c>
      <c r="G706">
        <v>2022</v>
      </c>
      <c r="H706">
        <f>IF(Table1_1[[#This Row],[Type]]="Expense", _xlfn.XLOOKUP(Table1_1[[#This Row],[Category]], Budget_Ref[Category], Budget_Ref[Monthly Budget], 0), 0)</f>
        <v>0</v>
      </c>
      <c r="I706" t="str">
        <f>IF(Table1_1[[#This Row],[Type]]="Expense", IF(Table1_1[[#This Row],[Amount]]&gt;Table1_1[[#This Row],[Monthly Budget]], "Over Budget", "OK"), "-")</f>
        <v>-</v>
      </c>
      <c r="J706">
        <f>IF(Table1_1[[#This Row],[Type]]="Income", Table1_1[[#This Row],[Amount]], -Table1_1[[#This Row],[Amount]])</f>
        <v>376.26</v>
      </c>
    </row>
    <row r="707" spans="1:10" x14ac:dyDescent="0.25">
      <c r="A707" s="1">
        <v>44713</v>
      </c>
      <c r="B707" t="s">
        <v>722</v>
      </c>
      <c r="C707" t="s">
        <v>6</v>
      </c>
      <c r="D707" s="2">
        <v>1052.6500000000001</v>
      </c>
      <c r="E707" t="s">
        <v>7</v>
      </c>
      <c r="F707" t="s">
        <v>1548</v>
      </c>
      <c r="G707">
        <v>2022</v>
      </c>
      <c r="H707">
        <f>IF(Table1_1[[#This Row],[Type]]="Expense", _xlfn.XLOOKUP(Table1_1[[#This Row],[Category]], Budget_Ref[Category], Budget_Ref[Monthly Budget], 0), 0)</f>
        <v>500</v>
      </c>
      <c r="I707" t="str">
        <f>IF(Table1_1[[#This Row],[Type]]="Expense", IF(Table1_1[[#This Row],[Amount]]&gt;Table1_1[[#This Row],[Monthly Budget]], "Over Budget", "OK"), "-")</f>
        <v>Over Budget</v>
      </c>
      <c r="J707">
        <f>IF(Table1_1[[#This Row],[Type]]="Income", Table1_1[[#This Row],[Amount]], -Table1_1[[#This Row],[Amount]])</f>
        <v>-1052.6500000000001</v>
      </c>
    </row>
    <row r="708" spans="1:10" x14ac:dyDescent="0.25">
      <c r="A708" s="1">
        <v>44713</v>
      </c>
      <c r="B708" t="s">
        <v>723</v>
      </c>
      <c r="C708" t="s">
        <v>11</v>
      </c>
      <c r="D708" s="2">
        <v>1890.92</v>
      </c>
      <c r="E708" t="s">
        <v>7</v>
      </c>
      <c r="F708" t="s">
        <v>1548</v>
      </c>
      <c r="G708">
        <v>2022</v>
      </c>
      <c r="H708">
        <f>IF(Table1_1[[#This Row],[Type]]="Expense", _xlfn.XLOOKUP(Table1_1[[#This Row],[Category]], Budget_Ref[Category], Budget_Ref[Monthly Budget], 0), 0)</f>
        <v>1500</v>
      </c>
      <c r="I708" t="str">
        <f>IF(Table1_1[[#This Row],[Type]]="Expense", IF(Table1_1[[#This Row],[Amount]]&gt;Table1_1[[#This Row],[Monthly Budget]], "Over Budget", "OK"), "-")</f>
        <v>Over Budget</v>
      </c>
      <c r="J708">
        <f>IF(Table1_1[[#This Row],[Type]]="Income", Table1_1[[#This Row],[Amount]], -Table1_1[[#This Row],[Amount]])</f>
        <v>-1890.92</v>
      </c>
    </row>
    <row r="709" spans="1:10" x14ac:dyDescent="0.25">
      <c r="A709" s="1">
        <v>44716</v>
      </c>
      <c r="B709" t="s">
        <v>724</v>
      </c>
      <c r="C709" t="s">
        <v>6</v>
      </c>
      <c r="D709" s="2">
        <v>830.66</v>
      </c>
      <c r="E709" t="s">
        <v>7</v>
      </c>
      <c r="F709" t="s">
        <v>1548</v>
      </c>
      <c r="G709">
        <v>2022</v>
      </c>
      <c r="H709">
        <f>IF(Table1_1[[#This Row],[Type]]="Expense", _xlfn.XLOOKUP(Table1_1[[#This Row],[Category]], Budget_Ref[Category], Budget_Ref[Monthly Budget], 0), 0)</f>
        <v>500</v>
      </c>
      <c r="I709" t="str">
        <f>IF(Table1_1[[#This Row],[Type]]="Expense", IF(Table1_1[[#This Row],[Amount]]&gt;Table1_1[[#This Row],[Monthly Budget]], "Over Budget", "OK"), "-")</f>
        <v>Over Budget</v>
      </c>
      <c r="J709">
        <f>IF(Table1_1[[#This Row],[Type]]="Income", Table1_1[[#This Row],[Amount]], -Table1_1[[#This Row],[Amount]])</f>
        <v>-830.66</v>
      </c>
    </row>
    <row r="710" spans="1:10" x14ac:dyDescent="0.25">
      <c r="A710" s="1">
        <v>44716</v>
      </c>
      <c r="B710" t="s">
        <v>725</v>
      </c>
      <c r="C710" t="s">
        <v>22</v>
      </c>
      <c r="D710" s="2">
        <v>145.26</v>
      </c>
      <c r="E710" t="s">
        <v>7</v>
      </c>
      <c r="F710" t="s">
        <v>1548</v>
      </c>
      <c r="G710">
        <v>2022</v>
      </c>
      <c r="H710">
        <f>IF(Table1_1[[#This Row],[Type]]="Expense", _xlfn.XLOOKUP(Table1_1[[#This Row],[Category]], Budget_Ref[Category], Budget_Ref[Monthly Budget], 0), 0)</f>
        <v>200</v>
      </c>
      <c r="I710" t="str">
        <f>IF(Table1_1[[#This Row],[Type]]="Expense", IF(Table1_1[[#This Row],[Amount]]&gt;Table1_1[[#This Row],[Monthly Budget]], "Over Budget", "OK"), "-")</f>
        <v>OK</v>
      </c>
      <c r="J710">
        <f>IF(Table1_1[[#This Row],[Type]]="Income", Table1_1[[#This Row],[Amount]], -Table1_1[[#This Row],[Amount]])</f>
        <v>-145.26</v>
      </c>
    </row>
    <row r="711" spans="1:10" x14ac:dyDescent="0.25">
      <c r="A711" s="1">
        <v>44718</v>
      </c>
      <c r="B711" t="s">
        <v>726</v>
      </c>
      <c r="C711" t="s">
        <v>13</v>
      </c>
      <c r="D711" s="2">
        <v>4642</v>
      </c>
      <c r="E711" t="s">
        <v>14</v>
      </c>
      <c r="F711" t="s">
        <v>1548</v>
      </c>
      <c r="G711">
        <v>2022</v>
      </c>
      <c r="H711">
        <f>IF(Table1_1[[#This Row],[Type]]="Expense", _xlfn.XLOOKUP(Table1_1[[#This Row],[Category]], Budget_Ref[Category], Budget_Ref[Monthly Budget], 0), 0)</f>
        <v>0</v>
      </c>
      <c r="I711" t="str">
        <f>IF(Table1_1[[#This Row],[Type]]="Expense", IF(Table1_1[[#This Row],[Amount]]&gt;Table1_1[[#This Row],[Monthly Budget]], "Over Budget", "OK"), "-")</f>
        <v>-</v>
      </c>
      <c r="J711">
        <f>IF(Table1_1[[#This Row],[Type]]="Income", Table1_1[[#This Row],[Amount]], -Table1_1[[#This Row],[Amount]])</f>
        <v>4642</v>
      </c>
    </row>
    <row r="712" spans="1:10" x14ac:dyDescent="0.25">
      <c r="A712" s="1">
        <v>44719</v>
      </c>
      <c r="B712" t="s">
        <v>727</v>
      </c>
      <c r="C712" t="s">
        <v>6</v>
      </c>
      <c r="D712" s="2">
        <v>1239.49</v>
      </c>
      <c r="E712" t="s">
        <v>7</v>
      </c>
      <c r="F712" t="s">
        <v>1548</v>
      </c>
      <c r="G712">
        <v>2022</v>
      </c>
      <c r="H712">
        <f>IF(Table1_1[[#This Row],[Type]]="Expense", _xlfn.XLOOKUP(Table1_1[[#This Row],[Category]], Budget_Ref[Category], Budget_Ref[Monthly Budget], 0), 0)</f>
        <v>500</v>
      </c>
      <c r="I712" t="str">
        <f>IF(Table1_1[[#This Row],[Type]]="Expense", IF(Table1_1[[#This Row],[Amount]]&gt;Table1_1[[#This Row],[Monthly Budget]], "Over Budget", "OK"), "-")</f>
        <v>Over Budget</v>
      </c>
      <c r="J712">
        <f>IF(Table1_1[[#This Row],[Type]]="Income", Table1_1[[#This Row],[Amount]], -Table1_1[[#This Row],[Amount]])</f>
        <v>-1239.49</v>
      </c>
    </row>
    <row r="713" spans="1:10" x14ac:dyDescent="0.25">
      <c r="A713" s="1">
        <v>44719</v>
      </c>
      <c r="B713" t="s">
        <v>728</v>
      </c>
      <c r="C713" t="s">
        <v>27</v>
      </c>
      <c r="D713" s="2">
        <v>1321.98</v>
      </c>
      <c r="E713" t="s">
        <v>14</v>
      </c>
      <c r="F713" t="s">
        <v>1548</v>
      </c>
      <c r="G713">
        <v>2022</v>
      </c>
      <c r="H713">
        <f>IF(Table1_1[[#This Row],[Type]]="Expense", _xlfn.XLOOKUP(Table1_1[[#This Row],[Category]], Budget_Ref[Category], Budget_Ref[Monthly Budget], 0), 0)</f>
        <v>0</v>
      </c>
      <c r="I713" t="str">
        <f>IF(Table1_1[[#This Row],[Type]]="Expense", IF(Table1_1[[#This Row],[Amount]]&gt;Table1_1[[#This Row],[Monthly Budget]], "Over Budget", "OK"), "-")</f>
        <v>-</v>
      </c>
      <c r="J713">
        <f>IF(Table1_1[[#This Row],[Type]]="Income", Table1_1[[#This Row],[Amount]], -Table1_1[[#This Row],[Amount]])</f>
        <v>1321.98</v>
      </c>
    </row>
    <row r="714" spans="1:10" x14ac:dyDescent="0.25">
      <c r="A714" s="1">
        <v>44723</v>
      </c>
      <c r="B714" t="s">
        <v>729</v>
      </c>
      <c r="C714" t="s">
        <v>20</v>
      </c>
      <c r="D714" s="2">
        <v>597</v>
      </c>
      <c r="E714" t="s">
        <v>14</v>
      </c>
      <c r="F714" t="s">
        <v>1548</v>
      </c>
      <c r="G714">
        <v>2022</v>
      </c>
      <c r="H714">
        <f>IF(Table1_1[[#This Row],[Type]]="Expense", _xlfn.XLOOKUP(Table1_1[[#This Row],[Category]], Budget_Ref[Category], Budget_Ref[Monthly Budget], 0), 0)</f>
        <v>0</v>
      </c>
      <c r="I714" t="str">
        <f>IF(Table1_1[[#This Row],[Type]]="Expense", IF(Table1_1[[#This Row],[Amount]]&gt;Table1_1[[#This Row],[Monthly Budget]], "Over Budget", "OK"), "-")</f>
        <v>-</v>
      </c>
      <c r="J714">
        <f>IF(Table1_1[[#This Row],[Type]]="Income", Table1_1[[#This Row],[Amount]], -Table1_1[[#This Row],[Amount]])</f>
        <v>597</v>
      </c>
    </row>
    <row r="715" spans="1:10" x14ac:dyDescent="0.25">
      <c r="A715" s="1">
        <v>44723</v>
      </c>
      <c r="B715" t="s">
        <v>730</v>
      </c>
      <c r="C715" t="s">
        <v>20</v>
      </c>
      <c r="D715" s="2">
        <v>4888</v>
      </c>
      <c r="E715" t="s">
        <v>14</v>
      </c>
      <c r="F715" t="s">
        <v>1548</v>
      </c>
      <c r="G715">
        <v>2022</v>
      </c>
      <c r="H715">
        <f>IF(Table1_1[[#This Row],[Type]]="Expense", _xlfn.XLOOKUP(Table1_1[[#This Row],[Category]], Budget_Ref[Category], Budget_Ref[Monthly Budget], 0), 0)</f>
        <v>0</v>
      </c>
      <c r="I715" t="str">
        <f>IF(Table1_1[[#This Row],[Type]]="Expense", IF(Table1_1[[#This Row],[Amount]]&gt;Table1_1[[#This Row],[Monthly Budget]], "Over Budget", "OK"), "-")</f>
        <v>-</v>
      </c>
      <c r="J715">
        <f>IF(Table1_1[[#This Row],[Type]]="Income", Table1_1[[#This Row],[Amount]], -Table1_1[[#This Row],[Amount]])</f>
        <v>4888</v>
      </c>
    </row>
    <row r="716" spans="1:10" x14ac:dyDescent="0.25">
      <c r="A716" s="1">
        <v>44724</v>
      </c>
      <c r="B716" t="s">
        <v>731</v>
      </c>
      <c r="C716" t="s">
        <v>6</v>
      </c>
      <c r="D716" s="2">
        <v>1009.41</v>
      </c>
      <c r="E716" t="s">
        <v>7</v>
      </c>
      <c r="F716" t="s">
        <v>1548</v>
      </c>
      <c r="G716">
        <v>2022</v>
      </c>
      <c r="H716">
        <f>IF(Table1_1[[#This Row],[Type]]="Expense", _xlfn.XLOOKUP(Table1_1[[#This Row],[Category]], Budget_Ref[Category], Budget_Ref[Monthly Budget], 0), 0)</f>
        <v>500</v>
      </c>
      <c r="I716" t="str">
        <f>IF(Table1_1[[#This Row],[Type]]="Expense", IF(Table1_1[[#This Row],[Amount]]&gt;Table1_1[[#This Row],[Monthly Budget]], "Over Budget", "OK"), "-")</f>
        <v>Over Budget</v>
      </c>
      <c r="J716">
        <f>IF(Table1_1[[#This Row],[Type]]="Income", Table1_1[[#This Row],[Amount]], -Table1_1[[#This Row],[Amount]])</f>
        <v>-1009.41</v>
      </c>
    </row>
    <row r="717" spans="1:10" x14ac:dyDescent="0.25">
      <c r="A717" s="1">
        <v>44724</v>
      </c>
      <c r="B717" t="s">
        <v>732</v>
      </c>
      <c r="C717" t="s">
        <v>17</v>
      </c>
      <c r="D717" s="2">
        <v>1614.27</v>
      </c>
      <c r="E717" t="s">
        <v>7</v>
      </c>
      <c r="F717" t="s">
        <v>1548</v>
      </c>
      <c r="G717">
        <v>2022</v>
      </c>
      <c r="H717">
        <f>IF(Table1_1[[#This Row],[Type]]="Expense", _xlfn.XLOOKUP(Table1_1[[#This Row],[Category]], Budget_Ref[Category], Budget_Ref[Monthly Budget], 0), 0)</f>
        <v>300</v>
      </c>
      <c r="I717" t="str">
        <f>IF(Table1_1[[#This Row],[Type]]="Expense", IF(Table1_1[[#This Row],[Amount]]&gt;Table1_1[[#This Row],[Monthly Budget]], "Over Budget", "OK"), "-")</f>
        <v>Over Budget</v>
      </c>
      <c r="J717">
        <f>IF(Table1_1[[#This Row],[Type]]="Income", Table1_1[[#This Row],[Amount]], -Table1_1[[#This Row],[Amount]])</f>
        <v>-1614.27</v>
      </c>
    </row>
    <row r="718" spans="1:10" x14ac:dyDescent="0.25">
      <c r="A718" s="1">
        <v>44724</v>
      </c>
      <c r="B718" t="s">
        <v>733</v>
      </c>
      <c r="C718" t="s">
        <v>11</v>
      </c>
      <c r="D718" s="2">
        <v>1836.92</v>
      </c>
      <c r="E718" t="s">
        <v>7</v>
      </c>
      <c r="F718" t="s">
        <v>1548</v>
      </c>
      <c r="G718">
        <v>2022</v>
      </c>
      <c r="H718">
        <f>IF(Table1_1[[#This Row],[Type]]="Expense", _xlfn.XLOOKUP(Table1_1[[#This Row],[Category]], Budget_Ref[Category], Budget_Ref[Monthly Budget], 0), 0)</f>
        <v>1500</v>
      </c>
      <c r="I718" t="str">
        <f>IF(Table1_1[[#This Row],[Type]]="Expense", IF(Table1_1[[#This Row],[Amount]]&gt;Table1_1[[#This Row],[Monthly Budget]], "Over Budget", "OK"), "-")</f>
        <v>Over Budget</v>
      </c>
      <c r="J718">
        <f>IF(Table1_1[[#This Row],[Type]]="Income", Table1_1[[#This Row],[Amount]], -Table1_1[[#This Row],[Amount]])</f>
        <v>-1836.92</v>
      </c>
    </row>
    <row r="719" spans="1:10" x14ac:dyDescent="0.25">
      <c r="A719" s="1">
        <v>44725</v>
      </c>
      <c r="B719" t="s">
        <v>734</v>
      </c>
      <c r="C719" t="s">
        <v>22</v>
      </c>
      <c r="D719" s="2">
        <v>391.94</v>
      </c>
      <c r="E719" t="s">
        <v>7</v>
      </c>
      <c r="F719" t="s">
        <v>1548</v>
      </c>
      <c r="G719">
        <v>2022</v>
      </c>
      <c r="H719">
        <f>IF(Table1_1[[#This Row],[Type]]="Expense", _xlfn.XLOOKUP(Table1_1[[#This Row],[Category]], Budget_Ref[Category], Budget_Ref[Monthly Budget], 0), 0)</f>
        <v>200</v>
      </c>
      <c r="I719" t="str">
        <f>IF(Table1_1[[#This Row],[Type]]="Expense", IF(Table1_1[[#This Row],[Amount]]&gt;Table1_1[[#This Row],[Monthly Budget]], "Over Budget", "OK"), "-")</f>
        <v>Over Budget</v>
      </c>
      <c r="J719">
        <f>IF(Table1_1[[#This Row],[Type]]="Income", Table1_1[[#This Row],[Amount]], -Table1_1[[#This Row],[Amount]])</f>
        <v>-391.94</v>
      </c>
    </row>
    <row r="720" spans="1:10" x14ac:dyDescent="0.25">
      <c r="A720" s="1">
        <v>44729</v>
      </c>
      <c r="B720" t="s">
        <v>735</v>
      </c>
      <c r="C720" t="s">
        <v>25</v>
      </c>
      <c r="D720" s="2">
        <v>541.98</v>
      </c>
      <c r="E720" t="s">
        <v>7</v>
      </c>
      <c r="F720" t="s">
        <v>1548</v>
      </c>
      <c r="G720">
        <v>2022</v>
      </c>
      <c r="H720">
        <f>IF(Table1_1[[#This Row],[Type]]="Expense", _xlfn.XLOOKUP(Table1_1[[#This Row],[Category]], Budget_Ref[Category], Budget_Ref[Monthly Budget], 0), 0)</f>
        <v>150</v>
      </c>
      <c r="I720" t="str">
        <f>IF(Table1_1[[#This Row],[Type]]="Expense", IF(Table1_1[[#This Row],[Amount]]&gt;Table1_1[[#This Row],[Monthly Budget]], "Over Budget", "OK"), "-")</f>
        <v>Over Budget</v>
      </c>
      <c r="J720">
        <f>IF(Table1_1[[#This Row],[Type]]="Income", Table1_1[[#This Row],[Amount]], -Table1_1[[#This Row],[Amount]])</f>
        <v>-541.98</v>
      </c>
    </row>
    <row r="721" spans="1:10" x14ac:dyDescent="0.25">
      <c r="A721" s="1">
        <v>44729</v>
      </c>
      <c r="B721" t="s">
        <v>736</v>
      </c>
      <c r="C721" t="s">
        <v>25</v>
      </c>
      <c r="D721" s="2">
        <v>1919</v>
      </c>
      <c r="E721" t="s">
        <v>7</v>
      </c>
      <c r="F721" t="s">
        <v>1548</v>
      </c>
      <c r="G721">
        <v>2022</v>
      </c>
      <c r="H721">
        <f>IF(Table1_1[[#This Row],[Type]]="Expense", _xlfn.XLOOKUP(Table1_1[[#This Row],[Category]], Budget_Ref[Category], Budget_Ref[Monthly Budget], 0), 0)</f>
        <v>150</v>
      </c>
      <c r="I721" t="str">
        <f>IF(Table1_1[[#This Row],[Type]]="Expense", IF(Table1_1[[#This Row],[Amount]]&gt;Table1_1[[#This Row],[Monthly Budget]], "Over Budget", "OK"), "-")</f>
        <v>Over Budget</v>
      </c>
      <c r="J721">
        <f>IF(Table1_1[[#This Row],[Type]]="Income", Table1_1[[#This Row],[Amount]], -Table1_1[[#This Row],[Amount]])</f>
        <v>-1919</v>
      </c>
    </row>
    <row r="722" spans="1:10" x14ac:dyDescent="0.25">
      <c r="A722" s="1">
        <v>44730</v>
      </c>
      <c r="B722" t="s">
        <v>737</v>
      </c>
      <c r="C722" t="s">
        <v>22</v>
      </c>
      <c r="D722" s="2">
        <v>1980.56</v>
      </c>
      <c r="E722" t="s">
        <v>7</v>
      </c>
      <c r="F722" t="s">
        <v>1548</v>
      </c>
      <c r="G722">
        <v>2022</v>
      </c>
      <c r="H722">
        <f>IF(Table1_1[[#This Row],[Type]]="Expense", _xlfn.XLOOKUP(Table1_1[[#This Row],[Category]], Budget_Ref[Category], Budget_Ref[Monthly Budget], 0), 0)</f>
        <v>200</v>
      </c>
      <c r="I722" t="str">
        <f>IF(Table1_1[[#This Row],[Type]]="Expense", IF(Table1_1[[#This Row],[Amount]]&gt;Table1_1[[#This Row],[Monthly Budget]], "Over Budget", "OK"), "-")</f>
        <v>Over Budget</v>
      </c>
      <c r="J722">
        <f>IF(Table1_1[[#This Row],[Type]]="Income", Table1_1[[#This Row],[Amount]], -Table1_1[[#This Row],[Amount]])</f>
        <v>-1980.56</v>
      </c>
    </row>
    <row r="723" spans="1:10" x14ac:dyDescent="0.25">
      <c r="A723" s="1">
        <v>44731</v>
      </c>
      <c r="B723" t="s">
        <v>738</v>
      </c>
      <c r="C723" t="s">
        <v>11</v>
      </c>
      <c r="D723" s="2">
        <v>1310.93</v>
      </c>
      <c r="E723" t="s">
        <v>7</v>
      </c>
      <c r="F723" t="s">
        <v>1548</v>
      </c>
      <c r="G723">
        <v>2022</v>
      </c>
      <c r="H723">
        <f>IF(Table1_1[[#This Row],[Type]]="Expense", _xlfn.XLOOKUP(Table1_1[[#This Row],[Category]], Budget_Ref[Category], Budget_Ref[Monthly Budget], 0), 0)</f>
        <v>1500</v>
      </c>
      <c r="I723" t="str">
        <f>IF(Table1_1[[#This Row],[Type]]="Expense", IF(Table1_1[[#This Row],[Amount]]&gt;Table1_1[[#This Row],[Monthly Budget]], "Over Budget", "OK"), "-")</f>
        <v>OK</v>
      </c>
      <c r="J723">
        <f>IF(Table1_1[[#This Row],[Type]]="Income", Table1_1[[#This Row],[Amount]], -Table1_1[[#This Row],[Amount]])</f>
        <v>-1310.93</v>
      </c>
    </row>
    <row r="724" spans="1:10" x14ac:dyDescent="0.25">
      <c r="A724" s="1">
        <v>44732</v>
      </c>
      <c r="B724" t="s">
        <v>739</v>
      </c>
      <c r="C724" t="s">
        <v>6</v>
      </c>
      <c r="D724" s="2">
        <v>196.07</v>
      </c>
      <c r="E724" t="s">
        <v>7</v>
      </c>
      <c r="F724" t="s">
        <v>1548</v>
      </c>
      <c r="G724">
        <v>2022</v>
      </c>
      <c r="H724">
        <f>IF(Table1_1[[#This Row],[Type]]="Expense", _xlfn.XLOOKUP(Table1_1[[#This Row],[Category]], Budget_Ref[Category], Budget_Ref[Monthly Budget], 0), 0)</f>
        <v>500</v>
      </c>
      <c r="I724" t="str">
        <f>IF(Table1_1[[#This Row],[Type]]="Expense", IF(Table1_1[[#This Row],[Amount]]&gt;Table1_1[[#This Row],[Monthly Budget]], "Over Budget", "OK"), "-")</f>
        <v>OK</v>
      </c>
      <c r="J724">
        <f>IF(Table1_1[[#This Row],[Type]]="Income", Table1_1[[#This Row],[Amount]], -Table1_1[[#This Row],[Amount]])</f>
        <v>-196.07</v>
      </c>
    </row>
    <row r="725" spans="1:10" x14ac:dyDescent="0.25">
      <c r="A725" s="1">
        <v>44733</v>
      </c>
      <c r="B725" t="s">
        <v>740</v>
      </c>
      <c r="C725" t="s">
        <v>27</v>
      </c>
      <c r="D725" s="2">
        <v>121.67</v>
      </c>
      <c r="E725" t="s">
        <v>14</v>
      </c>
      <c r="F725" t="s">
        <v>1548</v>
      </c>
      <c r="G725">
        <v>2022</v>
      </c>
      <c r="H725">
        <f>IF(Table1_1[[#This Row],[Type]]="Expense", _xlfn.XLOOKUP(Table1_1[[#This Row],[Category]], Budget_Ref[Category], Budget_Ref[Monthly Budget], 0), 0)</f>
        <v>0</v>
      </c>
      <c r="I725" t="str">
        <f>IF(Table1_1[[#This Row],[Type]]="Expense", IF(Table1_1[[#This Row],[Amount]]&gt;Table1_1[[#This Row],[Monthly Budget]], "Over Budget", "OK"), "-")</f>
        <v>-</v>
      </c>
      <c r="J725">
        <f>IF(Table1_1[[#This Row],[Type]]="Income", Table1_1[[#This Row],[Amount]], -Table1_1[[#This Row],[Amount]])</f>
        <v>121.67</v>
      </c>
    </row>
    <row r="726" spans="1:10" x14ac:dyDescent="0.25">
      <c r="A726" s="1">
        <v>44733</v>
      </c>
      <c r="B726" t="s">
        <v>741</v>
      </c>
      <c r="C726" t="s">
        <v>13</v>
      </c>
      <c r="D726" s="2">
        <v>1177</v>
      </c>
      <c r="E726" t="s">
        <v>14</v>
      </c>
      <c r="F726" t="s">
        <v>1548</v>
      </c>
      <c r="G726">
        <v>2022</v>
      </c>
      <c r="H726">
        <f>IF(Table1_1[[#This Row],[Type]]="Expense", _xlfn.XLOOKUP(Table1_1[[#This Row],[Category]], Budget_Ref[Category], Budget_Ref[Monthly Budget], 0), 0)</f>
        <v>0</v>
      </c>
      <c r="I726" t="str">
        <f>IF(Table1_1[[#This Row],[Type]]="Expense", IF(Table1_1[[#This Row],[Amount]]&gt;Table1_1[[#This Row],[Monthly Budget]], "Over Budget", "OK"), "-")</f>
        <v>-</v>
      </c>
      <c r="J726">
        <f>IF(Table1_1[[#This Row],[Type]]="Income", Table1_1[[#This Row],[Amount]], -Table1_1[[#This Row],[Amount]])</f>
        <v>1177</v>
      </c>
    </row>
    <row r="727" spans="1:10" x14ac:dyDescent="0.25">
      <c r="A727" s="1">
        <v>44735</v>
      </c>
      <c r="B727" t="s">
        <v>742</v>
      </c>
      <c r="C727" t="s">
        <v>17</v>
      </c>
      <c r="D727" s="2">
        <v>1293.3699999999999</v>
      </c>
      <c r="E727" t="s">
        <v>7</v>
      </c>
      <c r="F727" t="s">
        <v>1548</v>
      </c>
      <c r="G727">
        <v>2022</v>
      </c>
      <c r="H727">
        <f>IF(Table1_1[[#This Row],[Type]]="Expense", _xlfn.XLOOKUP(Table1_1[[#This Row],[Category]], Budget_Ref[Category], Budget_Ref[Monthly Budget], 0), 0)</f>
        <v>300</v>
      </c>
      <c r="I727" t="str">
        <f>IF(Table1_1[[#This Row],[Type]]="Expense", IF(Table1_1[[#This Row],[Amount]]&gt;Table1_1[[#This Row],[Monthly Budget]], "Over Budget", "OK"), "-")</f>
        <v>Over Budget</v>
      </c>
      <c r="J727">
        <f>IF(Table1_1[[#This Row],[Type]]="Income", Table1_1[[#This Row],[Amount]], -Table1_1[[#This Row],[Amount]])</f>
        <v>-1293.3699999999999</v>
      </c>
    </row>
    <row r="728" spans="1:10" x14ac:dyDescent="0.25">
      <c r="A728" s="1">
        <v>44735</v>
      </c>
      <c r="B728" t="s">
        <v>743</v>
      </c>
      <c r="C728" t="s">
        <v>11</v>
      </c>
      <c r="D728" s="2">
        <v>1790.63</v>
      </c>
      <c r="E728" t="s">
        <v>7</v>
      </c>
      <c r="F728" t="s">
        <v>1548</v>
      </c>
      <c r="G728">
        <v>2022</v>
      </c>
      <c r="H728">
        <f>IF(Table1_1[[#This Row],[Type]]="Expense", _xlfn.XLOOKUP(Table1_1[[#This Row],[Category]], Budget_Ref[Category], Budget_Ref[Monthly Budget], 0), 0)</f>
        <v>1500</v>
      </c>
      <c r="I728" t="str">
        <f>IF(Table1_1[[#This Row],[Type]]="Expense", IF(Table1_1[[#This Row],[Amount]]&gt;Table1_1[[#This Row],[Monthly Budget]], "Over Budget", "OK"), "-")</f>
        <v>Over Budget</v>
      </c>
      <c r="J728">
        <f>IF(Table1_1[[#This Row],[Type]]="Income", Table1_1[[#This Row],[Amount]], -Table1_1[[#This Row],[Amount]])</f>
        <v>-1790.63</v>
      </c>
    </row>
    <row r="729" spans="1:10" x14ac:dyDescent="0.25">
      <c r="A729" s="1">
        <v>44737</v>
      </c>
      <c r="B729" t="s">
        <v>744</v>
      </c>
      <c r="C729" t="s">
        <v>22</v>
      </c>
      <c r="D729" s="2">
        <v>430.72</v>
      </c>
      <c r="E729" t="s">
        <v>7</v>
      </c>
      <c r="F729" t="s">
        <v>1548</v>
      </c>
      <c r="G729">
        <v>2022</v>
      </c>
      <c r="H729">
        <f>IF(Table1_1[[#This Row],[Type]]="Expense", _xlfn.XLOOKUP(Table1_1[[#This Row],[Category]], Budget_Ref[Category], Budget_Ref[Monthly Budget], 0), 0)</f>
        <v>200</v>
      </c>
      <c r="I729" t="str">
        <f>IF(Table1_1[[#This Row],[Type]]="Expense", IF(Table1_1[[#This Row],[Amount]]&gt;Table1_1[[#This Row],[Monthly Budget]], "Over Budget", "OK"), "-")</f>
        <v>Over Budget</v>
      </c>
      <c r="J729">
        <f>IF(Table1_1[[#This Row],[Type]]="Income", Table1_1[[#This Row],[Amount]], -Table1_1[[#This Row],[Amount]])</f>
        <v>-430.72</v>
      </c>
    </row>
    <row r="730" spans="1:10" x14ac:dyDescent="0.25">
      <c r="A730" s="1">
        <v>44737</v>
      </c>
      <c r="B730" t="s">
        <v>745</v>
      </c>
      <c r="C730" t="s">
        <v>27</v>
      </c>
      <c r="D730" s="2">
        <v>549.48</v>
      </c>
      <c r="E730" t="s">
        <v>14</v>
      </c>
      <c r="F730" t="s">
        <v>1548</v>
      </c>
      <c r="G730">
        <v>2022</v>
      </c>
      <c r="H730">
        <f>IF(Table1_1[[#This Row],[Type]]="Expense", _xlfn.XLOOKUP(Table1_1[[#This Row],[Category]], Budget_Ref[Category], Budget_Ref[Monthly Budget], 0), 0)</f>
        <v>0</v>
      </c>
      <c r="I730" t="str">
        <f>IF(Table1_1[[#This Row],[Type]]="Expense", IF(Table1_1[[#This Row],[Amount]]&gt;Table1_1[[#This Row],[Monthly Budget]], "Over Budget", "OK"), "-")</f>
        <v>-</v>
      </c>
      <c r="J730">
        <f>IF(Table1_1[[#This Row],[Type]]="Income", Table1_1[[#This Row],[Amount]], -Table1_1[[#This Row],[Amount]])</f>
        <v>549.48</v>
      </c>
    </row>
    <row r="731" spans="1:10" x14ac:dyDescent="0.25">
      <c r="A731" s="1">
        <v>44738</v>
      </c>
      <c r="B731" t="s">
        <v>746</v>
      </c>
      <c r="C731" t="s">
        <v>35</v>
      </c>
      <c r="D731" s="2">
        <v>1799.63</v>
      </c>
      <c r="E731" t="s">
        <v>7</v>
      </c>
      <c r="F731" t="s">
        <v>1548</v>
      </c>
      <c r="G731">
        <v>2022</v>
      </c>
      <c r="H731">
        <f>IF(Table1_1[[#This Row],[Type]]="Expense", _xlfn.XLOOKUP(Table1_1[[#This Row],[Category]], Budget_Ref[Category], Budget_Ref[Monthly Budget], 0), 0)</f>
        <v>200</v>
      </c>
      <c r="I731" t="str">
        <f>IF(Table1_1[[#This Row],[Type]]="Expense", IF(Table1_1[[#This Row],[Amount]]&gt;Table1_1[[#This Row],[Monthly Budget]], "Over Budget", "OK"), "-")</f>
        <v>Over Budget</v>
      </c>
      <c r="J731">
        <f>IF(Table1_1[[#This Row],[Type]]="Income", Table1_1[[#This Row],[Amount]], -Table1_1[[#This Row],[Amount]])</f>
        <v>-1799.63</v>
      </c>
    </row>
    <row r="732" spans="1:10" x14ac:dyDescent="0.25">
      <c r="A732" s="1">
        <v>44738</v>
      </c>
      <c r="B732" t="s">
        <v>747</v>
      </c>
      <c r="C732" t="s">
        <v>6</v>
      </c>
      <c r="D732" s="2">
        <v>366.92</v>
      </c>
      <c r="E732" t="s">
        <v>7</v>
      </c>
      <c r="F732" t="s">
        <v>1548</v>
      </c>
      <c r="G732">
        <v>2022</v>
      </c>
      <c r="H732">
        <f>IF(Table1_1[[#This Row],[Type]]="Expense", _xlfn.XLOOKUP(Table1_1[[#This Row],[Category]], Budget_Ref[Category], Budget_Ref[Monthly Budget], 0), 0)</f>
        <v>500</v>
      </c>
      <c r="I732" t="str">
        <f>IF(Table1_1[[#This Row],[Type]]="Expense", IF(Table1_1[[#This Row],[Amount]]&gt;Table1_1[[#This Row],[Monthly Budget]], "Over Budget", "OK"), "-")</f>
        <v>OK</v>
      </c>
      <c r="J732">
        <f>IF(Table1_1[[#This Row],[Type]]="Income", Table1_1[[#This Row],[Amount]], -Table1_1[[#This Row],[Amount]])</f>
        <v>-366.92</v>
      </c>
    </row>
    <row r="733" spans="1:10" x14ac:dyDescent="0.25">
      <c r="A733" s="1">
        <v>44742</v>
      </c>
      <c r="B733" t="s">
        <v>748</v>
      </c>
      <c r="C733" t="s">
        <v>6</v>
      </c>
      <c r="D733" s="2">
        <v>1923.32</v>
      </c>
      <c r="E733" t="s">
        <v>7</v>
      </c>
      <c r="F733" t="s">
        <v>1548</v>
      </c>
      <c r="G733">
        <v>2022</v>
      </c>
      <c r="H733">
        <f>IF(Table1_1[[#This Row],[Type]]="Expense", _xlfn.XLOOKUP(Table1_1[[#This Row],[Category]], Budget_Ref[Category], Budget_Ref[Monthly Budget], 0), 0)</f>
        <v>500</v>
      </c>
      <c r="I733" t="str">
        <f>IF(Table1_1[[#This Row],[Type]]="Expense", IF(Table1_1[[#This Row],[Amount]]&gt;Table1_1[[#This Row],[Monthly Budget]], "Over Budget", "OK"), "-")</f>
        <v>Over Budget</v>
      </c>
      <c r="J733">
        <f>IF(Table1_1[[#This Row],[Type]]="Income", Table1_1[[#This Row],[Amount]], -Table1_1[[#This Row],[Amount]])</f>
        <v>-1923.32</v>
      </c>
    </row>
    <row r="734" spans="1:10" x14ac:dyDescent="0.25">
      <c r="A734" s="1">
        <v>44743</v>
      </c>
      <c r="B734" t="s">
        <v>749</v>
      </c>
      <c r="C734" t="s">
        <v>17</v>
      </c>
      <c r="D734" s="2">
        <v>1858.46</v>
      </c>
      <c r="E734" t="s">
        <v>7</v>
      </c>
      <c r="F734" t="s">
        <v>1549</v>
      </c>
      <c r="G734">
        <v>2022</v>
      </c>
      <c r="H734">
        <f>IF(Table1_1[[#This Row],[Type]]="Expense", _xlfn.XLOOKUP(Table1_1[[#This Row],[Category]], Budget_Ref[Category], Budget_Ref[Monthly Budget], 0), 0)</f>
        <v>300</v>
      </c>
      <c r="I734" t="str">
        <f>IF(Table1_1[[#This Row],[Type]]="Expense", IF(Table1_1[[#This Row],[Amount]]&gt;Table1_1[[#This Row],[Monthly Budget]], "Over Budget", "OK"), "-")</f>
        <v>Over Budget</v>
      </c>
      <c r="J734">
        <f>IF(Table1_1[[#This Row],[Type]]="Income", Table1_1[[#This Row],[Amount]], -Table1_1[[#This Row],[Amount]])</f>
        <v>-1858.46</v>
      </c>
    </row>
    <row r="735" spans="1:10" x14ac:dyDescent="0.25">
      <c r="A735" s="1">
        <v>44744</v>
      </c>
      <c r="B735" t="s">
        <v>750</v>
      </c>
      <c r="C735" t="s">
        <v>22</v>
      </c>
      <c r="D735" s="2">
        <v>1137.72</v>
      </c>
      <c r="E735" t="s">
        <v>7</v>
      </c>
      <c r="F735" t="s">
        <v>1549</v>
      </c>
      <c r="G735">
        <v>2022</v>
      </c>
      <c r="H735">
        <f>IF(Table1_1[[#This Row],[Type]]="Expense", _xlfn.XLOOKUP(Table1_1[[#This Row],[Category]], Budget_Ref[Category], Budget_Ref[Monthly Budget], 0), 0)</f>
        <v>200</v>
      </c>
      <c r="I735" t="str">
        <f>IF(Table1_1[[#This Row],[Type]]="Expense", IF(Table1_1[[#This Row],[Amount]]&gt;Table1_1[[#This Row],[Monthly Budget]], "Over Budget", "OK"), "-")</f>
        <v>Over Budget</v>
      </c>
      <c r="J735">
        <f>IF(Table1_1[[#This Row],[Type]]="Income", Table1_1[[#This Row],[Amount]], -Table1_1[[#This Row],[Amount]])</f>
        <v>-1137.72</v>
      </c>
    </row>
    <row r="736" spans="1:10" x14ac:dyDescent="0.25">
      <c r="A736" s="1">
        <v>44746</v>
      </c>
      <c r="B736" t="s">
        <v>751</v>
      </c>
      <c r="C736" t="s">
        <v>25</v>
      </c>
      <c r="D736" s="2">
        <v>773.85</v>
      </c>
      <c r="E736" t="s">
        <v>7</v>
      </c>
      <c r="F736" t="s">
        <v>1549</v>
      </c>
      <c r="G736">
        <v>2022</v>
      </c>
      <c r="H736">
        <f>IF(Table1_1[[#This Row],[Type]]="Expense", _xlfn.XLOOKUP(Table1_1[[#This Row],[Category]], Budget_Ref[Category], Budget_Ref[Monthly Budget], 0), 0)</f>
        <v>150</v>
      </c>
      <c r="I736" t="str">
        <f>IF(Table1_1[[#This Row],[Type]]="Expense", IF(Table1_1[[#This Row],[Amount]]&gt;Table1_1[[#This Row],[Monthly Budget]], "Over Budget", "OK"), "-")</f>
        <v>Over Budget</v>
      </c>
      <c r="J736">
        <f>IF(Table1_1[[#This Row],[Type]]="Income", Table1_1[[#This Row],[Amount]], -Table1_1[[#This Row],[Amount]])</f>
        <v>-773.85</v>
      </c>
    </row>
    <row r="737" spans="1:10" x14ac:dyDescent="0.25">
      <c r="A737" s="1">
        <v>44746</v>
      </c>
      <c r="B737" t="s">
        <v>752</v>
      </c>
      <c r="C737" t="s">
        <v>11</v>
      </c>
      <c r="D737" s="2">
        <v>1006.58</v>
      </c>
      <c r="E737" t="s">
        <v>7</v>
      </c>
      <c r="F737" t="s">
        <v>1549</v>
      </c>
      <c r="G737">
        <v>2022</v>
      </c>
      <c r="H737">
        <f>IF(Table1_1[[#This Row],[Type]]="Expense", _xlfn.XLOOKUP(Table1_1[[#This Row],[Category]], Budget_Ref[Category], Budget_Ref[Monthly Budget], 0), 0)</f>
        <v>1500</v>
      </c>
      <c r="I737" t="str">
        <f>IF(Table1_1[[#This Row],[Type]]="Expense", IF(Table1_1[[#This Row],[Amount]]&gt;Table1_1[[#This Row],[Monthly Budget]], "Over Budget", "OK"), "-")</f>
        <v>OK</v>
      </c>
      <c r="J737">
        <f>IF(Table1_1[[#This Row],[Type]]="Income", Table1_1[[#This Row],[Amount]], -Table1_1[[#This Row],[Amount]])</f>
        <v>-1006.58</v>
      </c>
    </row>
    <row r="738" spans="1:10" x14ac:dyDescent="0.25">
      <c r="A738" s="1">
        <v>44746</v>
      </c>
      <c r="B738" t="s">
        <v>753</v>
      </c>
      <c r="C738" t="s">
        <v>6</v>
      </c>
      <c r="D738" s="2">
        <v>204.39</v>
      </c>
      <c r="E738" t="s">
        <v>7</v>
      </c>
      <c r="F738" t="s">
        <v>1549</v>
      </c>
      <c r="G738">
        <v>2022</v>
      </c>
      <c r="H738">
        <f>IF(Table1_1[[#This Row],[Type]]="Expense", _xlfn.XLOOKUP(Table1_1[[#This Row],[Category]], Budget_Ref[Category], Budget_Ref[Monthly Budget], 0), 0)</f>
        <v>500</v>
      </c>
      <c r="I738" t="str">
        <f>IF(Table1_1[[#This Row],[Type]]="Expense", IF(Table1_1[[#This Row],[Amount]]&gt;Table1_1[[#This Row],[Monthly Budget]], "Over Budget", "OK"), "-")</f>
        <v>OK</v>
      </c>
      <c r="J738">
        <f>IF(Table1_1[[#This Row],[Type]]="Income", Table1_1[[#This Row],[Amount]], -Table1_1[[#This Row],[Amount]])</f>
        <v>-204.39</v>
      </c>
    </row>
    <row r="739" spans="1:10" x14ac:dyDescent="0.25">
      <c r="A739" s="1">
        <v>44747</v>
      </c>
      <c r="B739" t="s">
        <v>754</v>
      </c>
      <c r="C739" t="s">
        <v>11</v>
      </c>
      <c r="D739" s="2">
        <v>687.78</v>
      </c>
      <c r="E739" t="s">
        <v>7</v>
      </c>
      <c r="F739" t="s">
        <v>1549</v>
      </c>
      <c r="G739">
        <v>2022</v>
      </c>
      <c r="H739">
        <f>IF(Table1_1[[#This Row],[Type]]="Expense", _xlfn.XLOOKUP(Table1_1[[#This Row],[Category]], Budget_Ref[Category], Budget_Ref[Monthly Budget], 0), 0)</f>
        <v>1500</v>
      </c>
      <c r="I739" t="str">
        <f>IF(Table1_1[[#This Row],[Type]]="Expense", IF(Table1_1[[#This Row],[Amount]]&gt;Table1_1[[#This Row],[Monthly Budget]], "Over Budget", "OK"), "-")</f>
        <v>OK</v>
      </c>
      <c r="J739">
        <f>IF(Table1_1[[#This Row],[Type]]="Income", Table1_1[[#This Row],[Amount]], -Table1_1[[#This Row],[Amount]])</f>
        <v>-687.78</v>
      </c>
    </row>
    <row r="740" spans="1:10" x14ac:dyDescent="0.25">
      <c r="A740" s="1">
        <v>44748</v>
      </c>
      <c r="B740" t="s">
        <v>755</v>
      </c>
      <c r="C740" t="s">
        <v>17</v>
      </c>
      <c r="D740" s="2">
        <v>1938.15</v>
      </c>
      <c r="E740" t="s">
        <v>7</v>
      </c>
      <c r="F740" t="s">
        <v>1549</v>
      </c>
      <c r="G740">
        <v>2022</v>
      </c>
      <c r="H740">
        <f>IF(Table1_1[[#This Row],[Type]]="Expense", _xlfn.XLOOKUP(Table1_1[[#This Row],[Category]], Budget_Ref[Category], Budget_Ref[Monthly Budget], 0), 0)</f>
        <v>300</v>
      </c>
      <c r="I740" t="str">
        <f>IF(Table1_1[[#This Row],[Type]]="Expense", IF(Table1_1[[#This Row],[Amount]]&gt;Table1_1[[#This Row],[Monthly Budget]], "Over Budget", "OK"), "-")</f>
        <v>Over Budget</v>
      </c>
      <c r="J740">
        <f>IF(Table1_1[[#This Row],[Type]]="Income", Table1_1[[#This Row],[Amount]], -Table1_1[[#This Row],[Amount]])</f>
        <v>-1938.15</v>
      </c>
    </row>
    <row r="741" spans="1:10" x14ac:dyDescent="0.25">
      <c r="A741" s="1">
        <v>44755</v>
      </c>
      <c r="B741" t="s">
        <v>756</v>
      </c>
      <c r="C741" t="s">
        <v>35</v>
      </c>
      <c r="D741" s="2">
        <v>1569.26</v>
      </c>
      <c r="E741" t="s">
        <v>7</v>
      </c>
      <c r="F741" t="s">
        <v>1549</v>
      </c>
      <c r="G741">
        <v>2022</v>
      </c>
      <c r="H741">
        <f>IF(Table1_1[[#This Row],[Type]]="Expense", _xlfn.XLOOKUP(Table1_1[[#This Row],[Category]], Budget_Ref[Category], Budget_Ref[Monthly Budget], 0), 0)</f>
        <v>200</v>
      </c>
      <c r="I741" t="str">
        <f>IF(Table1_1[[#This Row],[Type]]="Expense", IF(Table1_1[[#This Row],[Amount]]&gt;Table1_1[[#This Row],[Monthly Budget]], "Over Budget", "OK"), "-")</f>
        <v>Over Budget</v>
      </c>
      <c r="J741">
        <f>IF(Table1_1[[#This Row],[Type]]="Income", Table1_1[[#This Row],[Amount]], -Table1_1[[#This Row],[Amount]])</f>
        <v>-1569.26</v>
      </c>
    </row>
    <row r="742" spans="1:10" x14ac:dyDescent="0.25">
      <c r="A742" s="1">
        <v>44759</v>
      </c>
      <c r="B742" t="s">
        <v>757</v>
      </c>
      <c r="C742" t="s">
        <v>22</v>
      </c>
      <c r="D742" s="2">
        <v>718.06</v>
      </c>
      <c r="E742" t="s">
        <v>7</v>
      </c>
      <c r="F742" t="s">
        <v>1549</v>
      </c>
      <c r="G742">
        <v>2022</v>
      </c>
      <c r="H742">
        <f>IF(Table1_1[[#This Row],[Type]]="Expense", _xlfn.XLOOKUP(Table1_1[[#This Row],[Category]], Budget_Ref[Category], Budget_Ref[Monthly Budget], 0), 0)</f>
        <v>200</v>
      </c>
      <c r="I742" t="str">
        <f>IF(Table1_1[[#This Row],[Type]]="Expense", IF(Table1_1[[#This Row],[Amount]]&gt;Table1_1[[#This Row],[Monthly Budget]], "Over Budget", "OK"), "-")</f>
        <v>Over Budget</v>
      </c>
      <c r="J742">
        <f>IF(Table1_1[[#This Row],[Type]]="Income", Table1_1[[#This Row],[Amount]], -Table1_1[[#This Row],[Amount]])</f>
        <v>-718.06</v>
      </c>
    </row>
    <row r="743" spans="1:10" x14ac:dyDescent="0.25">
      <c r="A743" s="1">
        <v>44759</v>
      </c>
      <c r="B743" t="s">
        <v>758</v>
      </c>
      <c r="C743" t="s">
        <v>17</v>
      </c>
      <c r="D743" s="2">
        <v>379.62</v>
      </c>
      <c r="E743" t="s">
        <v>7</v>
      </c>
      <c r="F743" t="s">
        <v>1549</v>
      </c>
      <c r="G743">
        <v>2022</v>
      </c>
      <c r="H743">
        <f>IF(Table1_1[[#This Row],[Type]]="Expense", _xlfn.XLOOKUP(Table1_1[[#This Row],[Category]], Budget_Ref[Category], Budget_Ref[Monthly Budget], 0), 0)</f>
        <v>300</v>
      </c>
      <c r="I743" t="str">
        <f>IF(Table1_1[[#This Row],[Type]]="Expense", IF(Table1_1[[#This Row],[Amount]]&gt;Table1_1[[#This Row],[Monthly Budget]], "Over Budget", "OK"), "-")</f>
        <v>Over Budget</v>
      </c>
      <c r="J743">
        <f>IF(Table1_1[[#This Row],[Type]]="Income", Table1_1[[#This Row],[Amount]], -Table1_1[[#This Row],[Amount]])</f>
        <v>-379.62</v>
      </c>
    </row>
    <row r="744" spans="1:10" x14ac:dyDescent="0.25">
      <c r="A744" s="1">
        <v>44759</v>
      </c>
      <c r="B744" t="s">
        <v>759</v>
      </c>
      <c r="C744" t="s">
        <v>17</v>
      </c>
      <c r="D744" s="2">
        <v>180.53</v>
      </c>
      <c r="E744" t="s">
        <v>7</v>
      </c>
      <c r="F744" t="s">
        <v>1549</v>
      </c>
      <c r="G744">
        <v>2022</v>
      </c>
      <c r="H744">
        <f>IF(Table1_1[[#This Row],[Type]]="Expense", _xlfn.XLOOKUP(Table1_1[[#This Row],[Category]], Budget_Ref[Category], Budget_Ref[Monthly Budget], 0), 0)</f>
        <v>300</v>
      </c>
      <c r="I744" t="str">
        <f>IF(Table1_1[[#This Row],[Type]]="Expense", IF(Table1_1[[#This Row],[Amount]]&gt;Table1_1[[#This Row],[Monthly Budget]], "Over Budget", "OK"), "-")</f>
        <v>OK</v>
      </c>
      <c r="J744">
        <f>IF(Table1_1[[#This Row],[Type]]="Income", Table1_1[[#This Row],[Amount]], -Table1_1[[#This Row],[Amount]])</f>
        <v>-180.53</v>
      </c>
    </row>
    <row r="745" spans="1:10" x14ac:dyDescent="0.25">
      <c r="A745" s="1">
        <v>44760</v>
      </c>
      <c r="B745" t="s">
        <v>760</v>
      </c>
      <c r="C745" t="s">
        <v>22</v>
      </c>
      <c r="D745" s="2">
        <v>1429.09</v>
      </c>
      <c r="E745" t="s">
        <v>7</v>
      </c>
      <c r="F745" t="s">
        <v>1549</v>
      </c>
      <c r="G745">
        <v>2022</v>
      </c>
      <c r="H745">
        <f>IF(Table1_1[[#This Row],[Type]]="Expense", _xlfn.XLOOKUP(Table1_1[[#This Row],[Category]], Budget_Ref[Category], Budget_Ref[Monthly Budget], 0), 0)</f>
        <v>200</v>
      </c>
      <c r="I745" t="str">
        <f>IF(Table1_1[[#This Row],[Type]]="Expense", IF(Table1_1[[#This Row],[Amount]]&gt;Table1_1[[#This Row],[Monthly Budget]], "Over Budget", "OK"), "-")</f>
        <v>Over Budget</v>
      </c>
      <c r="J745">
        <f>IF(Table1_1[[#This Row],[Type]]="Income", Table1_1[[#This Row],[Amount]], -Table1_1[[#This Row],[Amount]])</f>
        <v>-1429.09</v>
      </c>
    </row>
    <row r="746" spans="1:10" x14ac:dyDescent="0.25">
      <c r="A746" s="1">
        <v>44760</v>
      </c>
      <c r="B746" t="s">
        <v>761</v>
      </c>
      <c r="C746" t="s">
        <v>13</v>
      </c>
      <c r="D746" s="2">
        <v>3612</v>
      </c>
      <c r="E746" t="s">
        <v>14</v>
      </c>
      <c r="F746" t="s">
        <v>1549</v>
      </c>
      <c r="G746">
        <v>2022</v>
      </c>
      <c r="H746">
        <f>IF(Table1_1[[#This Row],[Type]]="Expense", _xlfn.XLOOKUP(Table1_1[[#This Row],[Category]], Budget_Ref[Category], Budget_Ref[Monthly Budget], 0), 0)</f>
        <v>0</v>
      </c>
      <c r="I746" t="str">
        <f>IF(Table1_1[[#This Row],[Type]]="Expense", IF(Table1_1[[#This Row],[Amount]]&gt;Table1_1[[#This Row],[Monthly Budget]], "Over Budget", "OK"), "-")</f>
        <v>-</v>
      </c>
      <c r="J746">
        <f>IF(Table1_1[[#This Row],[Type]]="Income", Table1_1[[#This Row],[Amount]], -Table1_1[[#This Row],[Amount]])</f>
        <v>3612</v>
      </c>
    </row>
    <row r="747" spans="1:10" x14ac:dyDescent="0.25">
      <c r="A747" s="1">
        <v>44761</v>
      </c>
      <c r="B747" t="s">
        <v>762</v>
      </c>
      <c r="C747" t="s">
        <v>9</v>
      </c>
      <c r="D747" s="2">
        <v>1481.91</v>
      </c>
      <c r="E747" t="s">
        <v>7</v>
      </c>
      <c r="F747" t="s">
        <v>1549</v>
      </c>
      <c r="G747">
        <v>2022</v>
      </c>
      <c r="H747">
        <f>IF(Table1_1[[#This Row],[Type]]="Expense", _xlfn.XLOOKUP(Table1_1[[#This Row],[Category]], Budget_Ref[Category], Budget_Ref[Monthly Budget], 0), 0)</f>
        <v>150</v>
      </c>
      <c r="I747" t="str">
        <f>IF(Table1_1[[#This Row],[Type]]="Expense", IF(Table1_1[[#This Row],[Amount]]&gt;Table1_1[[#This Row],[Monthly Budget]], "Over Budget", "OK"), "-")</f>
        <v>Over Budget</v>
      </c>
      <c r="J747">
        <f>IF(Table1_1[[#This Row],[Type]]="Income", Table1_1[[#This Row],[Amount]], -Table1_1[[#This Row],[Amount]])</f>
        <v>-1481.91</v>
      </c>
    </row>
    <row r="748" spans="1:10" x14ac:dyDescent="0.25">
      <c r="A748" s="1">
        <v>44762</v>
      </c>
      <c r="B748" t="s">
        <v>763</v>
      </c>
      <c r="C748" t="s">
        <v>11</v>
      </c>
      <c r="D748" s="2">
        <v>192.13</v>
      </c>
      <c r="E748" t="s">
        <v>7</v>
      </c>
      <c r="F748" t="s">
        <v>1549</v>
      </c>
      <c r="G748">
        <v>2022</v>
      </c>
      <c r="H748">
        <f>IF(Table1_1[[#This Row],[Type]]="Expense", _xlfn.XLOOKUP(Table1_1[[#This Row],[Category]], Budget_Ref[Category], Budget_Ref[Monthly Budget], 0), 0)</f>
        <v>1500</v>
      </c>
      <c r="I748" t="str">
        <f>IF(Table1_1[[#This Row],[Type]]="Expense", IF(Table1_1[[#This Row],[Amount]]&gt;Table1_1[[#This Row],[Monthly Budget]], "Over Budget", "OK"), "-")</f>
        <v>OK</v>
      </c>
      <c r="J748">
        <f>IF(Table1_1[[#This Row],[Type]]="Income", Table1_1[[#This Row],[Amount]], -Table1_1[[#This Row],[Amount]])</f>
        <v>-192.13</v>
      </c>
    </row>
    <row r="749" spans="1:10" x14ac:dyDescent="0.25">
      <c r="A749" s="1">
        <v>44764</v>
      </c>
      <c r="B749" t="s">
        <v>764</v>
      </c>
      <c r="C749" t="s">
        <v>27</v>
      </c>
      <c r="D749" s="2">
        <v>726.24</v>
      </c>
      <c r="E749" t="s">
        <v>14</v>
      </c>
      <c r="F749" t="s">
        <v>1549</v>
      </c>
      <c r="G749">
        <v>2022</v>
      </c>
      <c r="H749">
        <f>IF(Table1_1[[#This Row],[Type]]="Expense", _xlfn.XLOOKUP(Table1_1[[#This Row],[Category]], Budget_Ref[Category], Budget_Ref[Monthly Budget], 0), 0)</f>
        <v>0</v>
      </c>
      <c r="I749" t="str">
        <f>IF(Table1_1[[#This Row],[Type]]="Expense", IF(Table1_1[[#This Row],[Amount]]&gt;Table1_1[[#This Row],[Monthly Budget]], "Over Budget", "OK"), "-")</f>
        <v>-</v>
      </c>
      <c r="J749">
        <f>IF(Table1_1[[#This Row],[Type]]="Income", Table1_1[[#This Row],[Amount]], -Table1_1[[#This Row],[Amount]])</f>
        <v>726.24</v>
      </c>
    </row>
    <row r="750" spans="1:10" x14ac:dyDescent="0.25">
      <c r="A750" s="1">
        <v>44767</v>
      </c>
      <c r="B750" t="s">
        <v>765</v>
      </c>
      <c r="C750" t="s">
        <v>9</v>
      </c>
      <c r="D750" s="2">
        <v>183.72</v>
      </c>
      <c r="E750" t="s">
        <v>7</v>
      </c>
      <c r="F750" t="s">
        <v>1549</v>
      </c>
      <c r="G750">
        <v>2022</v>
      </c>
      <c r="H750">
        <f>IF(Table1_1[[#This Row],[Type]]="Expense", _xlfn.XLOOKUP(Table1_1[[#This Row],[Category]], Budget_Ref[Category], Budget_Ref[Monthly Budget], 0), 0)</f>
        <v>150</v>
      </c>
      <c r="I750" t="str">
        <f>IF(Table1_1[[#This Row],[Type]]="Expense", IF(Table1_1[[#This Row],[Amount]]&gt;Table1_1[[#This Row],[Monthly Budget]], "Over Budget", "OK"), "-")</f>
        <v>Over Budget</v>
      </c>
      <c r="J750">
        <f>IF(Table1_1[[#This Row],[Type]]="Income", Table1_1[[#This Row],[Amount]], -Table1_1[[#This Row],[Amount]])</f>
        <v>-183.72</v>
      </c>
    </row>
    <row r="751" spans="1:10" x14ac:dyDescent="0.25">
      <c r="A751" s="1">
        <v>44769</v>
      </c>
      <c r="B751" t="s">
        <v>766</v>
      </c>
      <c r="C751" t="s">
        <v>17</v>
      </c>
      <c r="D751" s="2">
        <v>215.55</v>
      </c>
      <c r="E751" t="s">
        <v>7</v>
      </c>
      <c r="F751" t="s">
        <v>1549</v>
      </c>
      <c r="G751">
        <v>2022</v>
      </c>
      <c r="H751">
        <f>IF(Table1_1[[#This Row],[Type]]="Expense", _xlfn.XLOOKUP(Table1_1[[#This Row],[Category]], Budget_Ref[Category], Budget_Ref[Monthly Budget], 0), 0)</f>
        <v>300</v>
      </c>
      <c r="I751" t="str">
        <f>IF(Table1_1[[#This Row],[Type]]="Expense", IF(Table1_1[[#This Row],[Amount]]&gt;Table1_1[[#This Row],[Monthly Budget]], "Over Budget", "OK"), "-")</f>
        <v>OK</v>
      </c>
      <c r="J751">
        <f>IF(Table1_1[[#This Row],[Type]]="Income", Table1_1[[#This Row],[Amount]], -Table1_1[[#This Row],[Amount]])</f>
        <v>-215.55</v>
      </c>
    </row>
    <row r="752" spans="1:10" x14ac:dyDescent="0.25">
      <c r="A752" s="1">
        <v>44769</v>
      </c>
      <c r="B752" t="s">
        <v>767</v>
      </c>
      <c r="C752" t="s">
        <v>13</v>
      </c>
      <c r="D752" s="2">
        <v>3157</v>
      </c>
      <c r="E752" t="s">
        <v>14</v>
      </c>
      <c r="F752" t="s">
        <v>1549</v>
      </c>
      <c r="G752">
        <v>2022</v>
      </c>
      <c r="H752">
        <f>IF(Table1_1[[#This Row],[Type]]="Expense", _xlfn.XLOOKUP(Table1_1[[#This Row],[Category]], Budget_Ref[Category], Budget_Ref[Monthly Budget], 0), 0)</f>
        <v>0</v>
      </c>
      <c r="I752" t="str">
        <f>IF(Table1_1[[#This Row],[Type]]="Expense", IF(Table1_1[[#This Row],[Amount]]&gt;Table1_1[[#This Row],[Monthly Budget]], "Over Budget", "OK"), "-")</f>
        <v>-</v>
      </c>
      <c r="J752">
        <f>IF(Table1_1[[#This Row],[Type]]="Income", Table1_1[[#This Row],[Amount]], -Table1_1[[#This Row],[Amount]])</f>
        <v>3157</v>
      </c>
    </row>
    <row r="753" spans="1:10" x14ac:dyDescent="0.25">
      <c r="A753" s="1">
        <v>44769</v>
      </c>
      <c r="B753" t="s">
        <v>768</v>
      </c>
      <c r="C753" t="s">
        <v>6</v>
      </c>
      <c r="D753" s="2">
        <v>590.78</v>
      </c>
      <c r="E753" t="s">
        <v>7</v>
      </c>
      <c r="F753" t="s">
        <v>1549</v>
      </c>
      <c r="G753">
        <v>2022</v>
      </c>
      <c r="H753">
        <f>IF(Table1_1[[#This Row],[Type]]="Expense", _xlfn.XLOOKUP(Table1_1[[#This Row],[Category]], Budget_Ref[Category], Budget_Ref[Monthly Budget], 0), 0)</f>
        <v>500</v>
      </c>
      <c r="I753" t="str">
        <f>IF(Table1_1[[#This Row],[Type]]="Expense", IF(Table1_1[[#This Row],[Amount]]&gt;Table1_1[[#This Row],[Monthly Budget]], "Over Budget", "OK"), "-")</f>
        <v>Over Budget</v>
      </c>
      <c r="J753">
        <f>IF(Table1_1[[#This Row],[Type]]="Income", Table1_1[[#This Row],[Amount]], -Table1_1[[#This Row],[Amount]])</f>
        <v>-590.78</v>
      </c>
    </row>
    <row r="754" spans="1:10" x14ac:dyDescent="0.25">
      <c r="A754" s="1">
        <v>44769</v>
      </c>
      <c r="B754" t="s">
        <v>769</v>
      </c>
      <c r="C754" t="s">
        <v>11</v>
      </c>
      <c r="D754" s="2">
        <v>1452.44</v>
      </c>
      <c r="E754" t="s">
        <v>7</v>
      </c>
      <c r="F754" t="s">
        <v>1549</v>
      </c>
      <c r="G754">
        <v>2022</v>
      </c>
      <c r="H754">
        <f>IF(Table1_1[[#This Row],[Type]]="Expense", _xlfn.XLOOKUP(Table1_1[[#This Row],[Category]], Budget_Ref[Category], Budget_Ref[Monthly Budget], 0), 0)</f>
        <v>1500</v>
      </c>
      <c r="I754" t="str">
        <f>IF(Table1_1[[#This Row],[Type]]="Expense", IF(Table1_1[[#This Row],[Amount]]&gt;Table1_1[[#This Row],[Monthly Budget]], "Over Budget", "OK"), "-")</f>
        <v>OK</v>
      </c>
      <c r="J754">
        <f>IF(Table1_1[[#This Row],[Type]]="Income", Table1_1[[#This Row],[Amount]], -Table1_1[[#This Row],[Amount]])</f>
        <v>-1452.44</v>
      </c>
    </row>
    <row r="755" spans="1:10" x14ac:dyDescent="0.25">
      <c r="A755" s="1">
        <v>44770</v>
      </c>
      <c r="B755" t="s">
        <v>770</v>
      </c>
      <c r="C755" t="s">
        <v>22</v>
      </c>
      <c r="D755" s="2">
        <v>1148.2</v>
      </c>
      <c r="E755" t="s">
        <v>7</v>
      </c>
      <c r="F755" t="s">
        <v>1549</v>
      </c>
      <c r="G755">
        <v>2022</v>
      </c>
      <c r="H755">
        <f>IF(Table1_1[[#This Row],[Type]]="Expense", _xlfn.XLOOKUP(Table1_1[[#This Row],[Category]], Budget_Ref[Category], Budget_Ref[Monthly Budget], 0), 0)</f>
        <v>200</v>
      </c>
      <c r="I755" t="str">
        <f>IF(Table1_1[[#This Row],[Type]]="Expense", IF(Table1_1[[#This Row],[Amount]]&gt;Table1_1[[#This Row],[Monthly Budget]], "Over Budget", "OK"), "-")</f>
        <v>Over Budget</v>
      </c>
      <c r="J755">
        <f>IF(Table1_1[[#This Row],[Type]]="Income", Table1_1[[#This Row],[Amount]], -Table1_1[[#This Row],[Amount]])</f>
        <v>-1148.2</v>
      </c>
    </row>
    <row r="756" spans="1:10" x14ac:dyDescent="0.25">
      <c r="A756" s="1">
        <v>44770</v>
      </c>
      <c r="B756" t="s">
        <v>771</v>
      </c>
      <c r="C756" t="s">
        <v>20</v>
      </c>
      <c r="D756" s="2">
        <v>1888</v>
      </c>
      <c r="E756" t="s">
        <v>14</v>
      </c>
      <c r="F756" t="s">
        <v>1549</v>
      </c>
      <c r="G756">
        <v>2022</v>
      </c>
      <c r="H756">
        <f>IF(Table1_1[[#This Row],[Type]]="Expense", _xlfn.XLOOKUP(Table1_1[[#This Row],[Category]], Budget_Ref[Category], Budget_Ref[Monthly Budget], 0), 0)</f>
        <v>0</v>
      </c>
      <c r="I756" t="str">
        <f>IF(Table1_1[[#This Row],[Type]]="Expense", IF(Table1_1[[#This Row],[Amount]]&gt;Table1_1[[#This Row],[Monthly Budget]], "Over Budget", "OK"), "-")</f>
        <v>-</v>
      </c>
      <c r="J756">
        <f>IF(Table1_1[[#This Row],[Type]]="Income", Table1_1[[#This Row],[Amount]], -Table1_1[[#This Row],[Amount]])</f>
        <v>1888</v>
      </c>
    </row>
    <row r="757" spans="1:10" x14ac:dyDescent="0.25">
      <c r="A757" s="1">
        <v>44771</v>
      </c>
      <c r="B757" t="s">
        <v>772</v>
      </c>
      <c r="C757" t="s">
        <v>20</v>
      </c>
      <c r="D757" s="2">
        <v>2698</v>
      </c>
      <c r="E757" t="s">
        <v>14</v>
      </c>
      <c r="F757" t="s">
        <v>1549</v>
      </c>
      <c r="G757">
        <v>2022</v>
      </c>
      <c r="H757">
        <f>IF(Table1_1[[#This Row],[Type]]="Expense", _xlfn.XLOOKUP(Table1_1[[#This Row],[Category]], Budget_Ref[Category], Budget_Ref[Monthly Budget], 0), 0)</f>
        <v>0</v>
      </c>
      <c r="I757" t="str">
        <f>IF(Table1_1[[#This Row],[Type]]="Expense", IF(Table1_1[[#This Row],[Amount]]&gt;Table1_1[[#This Row],[Monthly Budget]], "Over Budget", "OK"), "-")</f>
        <v>-</v>
      </c>
      <c r="J757">
        <f>IF(Table1_1[[#This Row],[Type]]="Income", Table1_1[[#This Row],[Amount]], -Table1_1[[#This Row],[Amount]])</f>
        <v>2698</v>
      </c>
    </row>
    <row r="758" spans="1:10" x14ac:dyDescent="0.25">
      <c r="A758" s="1">
        <v>44772</v>
      </c>
      <c r="B758" t="s">
        <v>773</v>
      </c>
      <c r="C758" t="s">
        <v>11</v>
      </c>
      <c r="D758" s="2">
        <v>342.74</v>
      </c>
      <c r="E758" t="s">
        <v>7</v>
      </c>
      <c r="F758" t="s">
        <v>1549</v>
      </c>
      <c r="G758">
        <v>2022</v>
      </c>
      <c r="H758">
        <f>IF(Table1_1[[#This Row],[Type]]="Expense", _xlfn.XLOOKUP(Table1_1[[#This Row],[Category]], Budget_Ref[Category], Budget_Ref[Monthly Budget], 0), 0)</f>
        <v>1500</v>
      </c>
      <c r="I758" t="str">
        <f>IF(Table1_1[[#This Row],[Type]]="Expense", IF(Table1_1[[#This Row],[Amount]]&gt;Table1_1[[#This Row],[Monthly Budget]], "Over Budget", "OK"), "-")</f>
        <v>OK</v>
      </c>
      <c r="J758">
        <f>IF(Table1_1[[#This Row],[Type]]="Income", Table1_1[[#This Row],[Amount]], -Table1_1[[#This Row],[Amount]])</f>
        <v>-342.74</v>
      </c>
    </row>
    <row r="759" spans="1:10" x14ac:dyDescent="0.25">
      <c r="A759" s="1">
        <v>44773</v>
      </c>
      <c r="B759" t="s">
        <v>774</v>
      </c>
      <c r="C759" t="s">
        <v>35</v>
      </c>
      <c r="D759" s="2">
        <v>973.62</v>
      </c>
      <c r="E759" t="s">
        <v>7</v>
      </c>
      <c r="F759" t="s">
        <v>1549</v>
      </c>
      <c r="G759">
        <v>2022</v>
      </c>
      <c r="H759">
        <f>IF(Table1_1[[#This Row],[Type]]="Expense", _xlfn.XLOOKUP(Table1_1[[#This Row],[Category]], Budget_Ref[Category], Budget_Ref[Monthly Budget], 0), 0)</f>
        <v>200</v>
      </c>
      <c r="I759" t="str">
        <f>IF(Table1_1[[#This Row],[Type]]="Expense", IF(Table1_1[[#This Row],[Amount]]&gt;Table1_1[[#This Row],[Monthly Budget]], "Over Budget", "OK"), "-")</f>
        <v>Over Budget</v>
      </c>
      <c r="J759">
        <f>IF(Table1_1[[#This Row],[Type]]="Income", Table1_1[[#This Row],[Amount]], -Table1_1[[#This Row],[Amount]])</f>
        <v>-973.62</v>
      </c>
    </row>
    <row r="760" spans="1:10" x14ac:dyDescent="0.25">
      <c r="A760" s="1">
        <v>44775</v>
      </c>
      <c r="B760" t="s">
        <v>775</v>
      </c>
      <c r="C760" t="s">
        <v>20</v>
      </c>
      <c r="D760" s="2">
        <v>2520</v>
      </c>
      <c r="E760" t="s">
        <v>14</v>
      </c>
      <c r="F760" t="s">
        <v>1550</v>
      </c>
      <c r="G760">
        <v>2022</v>
      </c>
      <c r="H760">
        <f>IF(Table1_1[[#This Row],[Type]]="Expense", _xlfn.XLOOKUP(Table1_1[[#This Row],[Category]], Budget_Ref[Category], Budget_Ref[Monthly Budget], 0), 0)</f>
        <v>0</v>
      </c>
      <c r="I760" t="str">
        <f>IF(Table1_1[[#This Row],[Type]]="Expense", IF(Table1_1[[#This Row],[Amount]]&gt;Table1_1[[#This Row],[Monthly Budget]], "Over Budget", "OK"), "-")</f>
        <v>-</v>
      </c>
      <c r="J760">
        <f>IF(Table1_1[[#This Row],[Type]]="Income", Table1_1[[#This Row],[Amount]], -Table1_1[[#This Row],[Amount]])</f>
        <v>2520</v>
      </c>
    </row>
    <row r="761" spans="1:10" x14ac:dyDescent="0.25">
      <c r="A761" s="1">
        <v>44775</v>
      </c>
      <c r="B761" t="s">
        <v>776</v>
      </c>
      <c r="C761" t="s">
        <v>27</v>
      </c>
      <c r="D761" s="2">
        <v>1191.67</v>
      </c>
      <c r="E761" t="s">
        <v>14</v>
      </c>
      <c r="F761" t="s">
        <v>1550</v>
      </c>
      <c r="G761">
        <v>2022</v>
      </c>
      <c r="H761">
        <f>IF(Table1_1[[#This Row],[Type]]="Expense", _xlfn.XLOOKUP(Table1_1[[#This Row],[Category]], Budget_Ref[Category], Budget_Ref[Monthly Budget], 0), 0)</f>
        <v>0</v>
      </c>
      <c r="I761" t="str">
        <f>IF(Table1_1[[#This Row],[Type]]="Expense", IF(Table1_1[[#This Row],[Amount]]&gt;Table1_1[[#This Row],[Monthly Budget]], "Over Budget", "OK"), "-")</f>
        <v>-</v>
      </c>
      <c r="J761">
        <f>IF(Table1_1[[#This Row],[Type]]="Income", Table1_1[[#This Row],[Amount]], -Table1_1[[#This Row],[Amount]])</f>
        <v>1191.67</v>
      </c>
    </row>
    <row r="762" spans="1:10" x14ac:dyDescent="0.25">
      <c r="A762" s="1">
        <v>44776</v>
      </c>
      <c r="B762" t="s">
        <v>777</v>
      </c>
      <c r="C762" t="s">
        <v>13</v>
      </c>
      <c r="D762" s="2">
        <v>1609</v>
      </c>
      <c r="E762" t="s">
        <v>14</v>
      </c>
      <c r="F762" t="s">
        <v>1550</v>
      </c>
      <c r="G762">
        <v>2022</v>
      </c>
      <c r="H762">
        <f>IF(Table1_1[[#This Row],[Type]]="Expense", _xlfn.XLOOKUP(Table1_1[[#This Row],[Category]], Budget_Ref[Category], Budget_Ref[Monthly Budget], 0), 0)</f>
        <v>0</v>
      </c>
      <c r="I762" t="str">
        <f>IF(Table1_1[[#This Row],[Type]]="Expense", IF(Table1_1[[#This Row],[Amount]]&gt;Table1_1[[#This Row],[Monthly Budget]], "Over Budget", "OK"), "-")</f>
        <v>-</v>
      </c>
      <c r="J762">
        <f>IF(Table1_1[[#This Row],[Type]]="Income", Table1_1[[#This Row],[Amount]], -Table1_1[[#This Row],[Amount]])</f>
        <v>1609</v>
      </c>
    </row>
    <row r="763" spans="1:10" x14ac:dyDescent="0.25">
      <c r="A763" s="1">
        <v>44777</v>
      </c>
      <c r="B763" t="s">
        <v>778</v>
      </c>
      <c r="C763" t="s">
        <v>17</v>
      </c>
      <c r="D763" s="2">
        <v>671.11</v>
      </c>
      <c r="E763" t="s">
        <v>7</v>
      </c>
      <c r="F763" t="s">
        <v>1550</v>
      </c>
      <c r="G763">
        <v>2022</v>
      </c>
      <c r="H763">
        <f>IF(Table1_1[[#This Row],[Type]]="Expense", _xlfn.XLOOKUP(Table1_1[[#This Row],[Category]], Budget_Ref[Category], Budget_Ref[Monthly Budget], 0), 0)</f>
        <v>300</v>
      </c>
      <c r="I763" t="str">
        <f>IF(Table1_1[[#This Row],[Type]]="Expense", IF(Table1_1[[#This Row],[Amount]]&gt;Table1_1[[#This Row],[Monthly Budget]], "Over Budget", "OK"), "-")</f>
        <v>Over Budget</v>
      </c>
      <c r="J763">
        <f>IF(Table1_1[[#This Row],[Type]]="Income", Table1_1[[#This Row],[Amount]], -Table1_1[[#This Row],[Amount]])</f>
        <v>-671.11</v>
      </c>
    </row>
    <row r="764" spans="1:10" x14ac:dyDescent="0.25">
      <c r="A764" s="1">
        <v>44779</v>
      </c>
      <c r="B764" t="s">
        <v>779</v>
      </c>
      <c r="C764" t="s">
        <v>25</v>
      </c>
      <c r="D764" s="2">
        <v>886.04</v>
      </c>
      <c r="E764" t="s">
        <v>7</v>
      </c>
      <c r="F764" t="s">
        <v>1550</v>
      </c>
      <c r="G764">
        <v>2022</v>
      </c>
      <c r="H764">
        <f>IF(Table1_1[[#This Row],[Type]]="Expense", _xlfn.XLOOKUP(Table1_1[[#This Row],[Category]], Budget_Ref[Category], Budget_Ref[Monthly Budget], 0), 0)</f>
        <v>150</v>
      </c>
      <c r="I764" t="str">
        <f>IF(Table1_1[[#This Row],[Type]]="Expense", IF(Table1_1[[#This Row],[Amount]]&gt;Table1_1[[#This Row],[Monthly Budget]], "Over Budget", "OK"), "-")</f>
        <v>Over Budget</v>
      </c>
      <c r="J764">
        <f>IF(Table1_1[[#This Row],[Type]]="Income", Table1_1[[#This Row],[Amount]], -Table1_1[[#This Row],[Amount]])</f>
        <v>-886.04</v>
      </c>
    </row>
    <row r="765" spans="1:10" x14ac:dyDescent="0.25">
      <c r="A765" s="1">
        <v>44780</v>
      </c>
      <c r="B765" t="s">
        <v>780</v>
      </c>
      <c r="C765" t="s">
        <v>9</v>
      </c>
      <c r="D765" s="2">
        <v>607.87</v>
      </c>
      <c r="E765" t="s">
        <v>7</v>
      </c>
      <c r="F765" t="s">
        <v>1550</v>
      </c>
      <c r="G765">
        <v>2022</v>
      </c>
      <c r="H765">
        <f>IF(Table1_1[[#This Row],[Type]]="Expense", _xlfn.XLOOKUP(Table1_1[[#This Row],[Category]], Budget_Ref[Category], Budget_Ref[Monthly Budget], 0), 0)</f>
        <v>150</v>
      </c>
      <c r="I765" t="str">
        <f>IF(Table1_1[[#This Row],[Type]]="Expense", IF(Table1_1[[#This Row],[Amount]]&gt;Table1_1[[#This Row],[Monthly Budget]], "Over Budget", "OK"), "-")</f>
        <v>Over Budget</v>
      </c>
      <c r="J765">
        <f>IF(Table1_1[[#This Row],[Type]]="Income", Table1_1[[#This Row],[Amount]], -Table1_1[[#This Row],[Amount]])</f>
        <v>-607.87</v>
      </c>
    </row>
    <row r="766" spans="1:10" x14ac:dyDescent="0.25">
      <c r="A766" s="1">
        <v>44785</v>
      </c>
      <c r="B766" t="s">
        <v>781</v>
      </c>
      <c r="C766" t="s">
        <v>22</v>
      </c>
      <c r="D766" s="2">
        <v>963.23</v>
      </c>
      <c r="E766" t="s">
        <v>7</v>
      </c>
      <c r="F766" t="s">
        <v>1550</v>
      </c>
      <c r="G766">
        <v>2022</v>
      </c>
      <c r="H766">
        <f>IF(Table1_1[[#This Row],[Type]]="Expense", _xlfn.XLOOKUP(Table1_1[[#This Row],[Category]], Budget_Ref[Category], Budget_Ref[Monthly Budget], 0), 0)</f>
        <v>200</v>
      </c>
      <c r="I766" t="str">
        <f>IF(Table1_1[[#This Row],[Type]]="Expense", IF(Table1_1[[#This Row],[Amount]]&gt;Table1_1[[#This Row],[Monthly Budget]], "Over Budget", "OK"), "-")</f>
        <v>Over Budget</v>
      </c>
      <c r="J766">
        <f>IF(Table1_1[[#This Row],[Type]]="Income", Table1_1[[#This Row],[Amount]], -Table1_1[[#This Row],[Amount]])</f>
        <v>-963.23</v>
      </c>
    </row>
    <row r="767" spans="1:10" x14ac:dyDescent="0.25">
      <c r="A767" s="1">
        <v>44786</v>
      </c>
      <c r="B767" t="s">
        <v>782</v>
      </c>
      <c r="C767" t="s">
        <v>20</v>
      </c>
      <c r="D767" s="2">
        <v>3114</v>
      </c>
      <c r="E767" t="s">
        <v>14</v>
      </c>
      <c r="F767" t="s">
        <v>1550</v>
      </c>
      <c r="G767">
        <v>2022</v>
      </c>
      <c r="H767">
        <f>IF(Table1_1[[#This Row],[Type]]="Expense", _xlfn.XLOOKUP(Table1_1[[#This Row],[Category]], Budget_Ref[Category], Budget_Ref[Monthly Budget], 0), 0)</f>
        <v>0</v>
      </c>
      <c r="I767" t="str">
        <f>IF(Table1_1[[#This Row],[Type]]="Expense", IF(Table1_1[[#This Row],[Amount]]&gt;Table1_1[[#This Row],[Monthly Budget]], "Over Budget", "OK"), "-")</f>
        <v>-</v>
      </c>
      <c r="J767">
        <f>IF(Table1_1[[#This Row],[Type]]="Income", Table1_1[[#This Row],[Amount]], -Table1_1[[#This Row],[Amount]])</f>
        <v>3114</v>
      </c>
    </row>
    <row r="768" spans="1:10" x14ac:dyDescent="0.25">
      <c r="A768" s="1">
        <v>44788</v>
      </c>
      <c r="B768" t="s">
        <v>783</v>
      </c>
      <c r="C768" t="s">
        <v>27</v>
      </c>
      <c r="D768" s="2">
        <v>1935.85</v>
      </c>
      <c r="E768" t="s">
        <v>14</v>
      </c>
      <c r="F768" t="s">
        <v>1550</v>
      </c>
      <c r="G768">
        <v>2022</v>
      </c>
      <c r="H768">
        <f>IF(Table1_1[[#This Row],[Type]]="Expense", _xlfn.XLOOKUP(Table1_1[[#This Row],[Category]], Budget_Ref[Category], Budget_Ref[Monthly Budget], 0), 0)</f>
        <v>0</v>
      </c>
      <c r="I768" t="str">
        <f>IF(Table1_1[[#This Row],[Type]]="Expense", IF(Table1_1[[#This Row],[Amount]]&gt;Table1_1[[#This Row],[Monthly Budget]], "Over Budget", "OK"), "-")</f>
        <v>-</v>
      </c>
      <c r="J768">
        <f>IF(Table1_1[[#This Row],[Type]]="Income", Table1_1[[#This Row],[Amount]], -Table1_1[[#This Row],[Amount]])</f>
        <v>1935.85</v>
      </c>
    </row>
    <row r="769" spans="1:10" x14ac:dyDescent="0.25">
      <c r="A769" s="1">
        <v>44788</v>
      </c>
      <c r="B769" t="s">
        <v>784</v>
      </c>
      <c r="C769" t="s">
        <v>25</v>
      </c>
      <c r="D769" s="2">
        <v>758.35</v>
      </c>
      <c r="E769" t="s">
        <v>7</v>
      </c>
      <c r="F769" t="s">
        <v>1550</v>
      </c>
      <c r="G769">
        <v>2022</v>
      </c>
      <c r="H769">
        <f>IF(Table1_1[[#This Row],[Type]]="Expense", _xlfn.XLOOKUP(Table1_1[[#This Row],[Category]], Budget_Ref[Category], Budget_Ref[Monthly Budget], 0), 0)</f>
        <v>150</v>
      </c>
      <c r="I769" t="str">
        <f>IF(Table1_1[[#This Row],[Type]]="Expense", IF(Table1_1[[#This Row],[Amount]]&gt;Table1_1[[#This Row],[Monthly Budget]], "Over Budget", "OK"), "-")</f>
        <v>Over Budget</v>
      </c>
      <c r="J769">
        <f>IF(Table1_1[[#This Row],[Type]]="Income", Table1_1[[#This Row],[Amount]], -Table1_1[[#This Row],[Amount]])</f>
        <v>-758.35</v>
      </c>
    </row>
    <row r="770" spans="1:10" x14ac:dyDescent="0.25">
      <c r="A770" s="1">
        <v>44789</v>
      </c>
      <c r="B770" t="s">
        <v>785</v>
      </c>
      <c r="C770" t="s">
        <v>17</v>
      </c>
      <c r="D770" s="2">
        <v>736.38</v>
      </c>
      <c r="E770" t="s">
        <v>7</v>
      </c>
      <c r="F770" t="s">
        <v>1550</v>
      </c>
      <c r="G770">
        <v>2022</v>
      </c>
      <c r="H770">
        <f>IF(Table1_1[[#This Row],[Type]]="Expense", _xlfn.XLOOKUP(Table1_1[[#This Row],[Category]], Budget_Ref[Category], Budget_Ref[Monthly Budget], 0), 0)</f>
        <v>300</v>
      </c>
      <c r="I770" t="str">
        <f>IF(Table1_1[[#This Row],[Type]]="Expense", IF(Table1_1[[#This Row],[Amount]]&gt;Table1_1[[#This Row],[Monthly Budget]], "Over Budget", "OK"), "-")</f>
        <v>Over Budget</v>
      </c>
      <c r="J770">
        <f>IF(Table1_1[[#This Row],[Type]]="Income", Table1_1[[#This Row],[Amount]], -Table1_1[[#This Row],[Amount]])</f>
        <v>-736.38</v>
      </c>
    </row>
    <row r="771" spans="1:10" x14ac:dyDescent="0.25">
      <c r="A771" s="1">
        <v>44789</v>
      </c>
      <c r="B771" t="s">
        <v>786</v>
      </c>
      <c r="C771" t="s">
        <v>22</v>
      </c>
      <c r="D771" s="2">
        <v>1188.53</v>
      </c>
      <c r="E771" t="s">
        <v>7</v>
      </c>
      <c r="F771" t="s">
        <v>1550</v>
      </c>
      <c r="G771">
        <v>2022</v>
      </c>
      <c r="H771">
        <f>IF(Table1_1[[#This Row],[Type]]="Expense", _xlfn.XLOOKUP(Table1_1[[#This Row],[Category]], Budget_Ref[Category], Budget_Ref[Monthly Budget], 0), 0)</f>
        <v>200</v>
      </c>
      <c r="I771" t="str">
        <f>IF(Table1_1[[#This Row],[Type]]="Expense", IF(Table1_1[[#This Row],[Amount]]&gt;Table1_1[[#This Row],[Monthly Budget]], "Over Budget", "OK"), "-")</f>
        <v>Over Budget</v>
      </c>
      <c r="J771">
        <f>IF(Table1_1[[#This Row],[Type]]="Income", Table1_1[[#This Row],[Amount]], -Table1_1[[#This Row],[Amount]])</f>
        <v>-1188.53</v>
      </c>
    </row>
    <row r="772" spans="1:10" x14ac:dyDescent="0.25">
      <c r="A772" s="1">
        <v>44790</v>
      </c>
      <c r="B772" t="s">
        <v>787</v>
      </c>
      <c r="C772" t="s">
        <v>6</v>
      </c>
      <c r="D772" s="2">
        <v>1906.48</v>
      </c>
      <c r="E772" t="s">
        <v>7</v>
      </c>
      <c r="F772" t="s">
        <v>1550</v>
      </c>
      <c r="G772">
        <v>2022</v>
      </c>
      <c r="H772">
        <f>IF(Table1_1[[#This Row],[Type]]="Expense", _xlfn.XLOOKUP(Table1_1[[#This Row],[Category]], Budget_Ref[Category], Budget_Ref[Monthly Budget], 0), 0)</f>
        <v>500</v>
      </c>
      <c r="I772" t="str">
        <f>IF(Table1_1[[#This Row],[Type]]="Expense", IF(Table1_1[[#This Row],[Amount]]&gt;Table1_1[[#This Row],[Monthly Budget]], "Over Budget", "OK"), "-")</f>
        <v>Over Budget</v>
      </c>
      <c r="J772">
        <f>IF(Table1_1[[#This Row],[Type]]="Income", Table1_1[[#This Row],[Amount]], -Table1_1[[#This Row],[Amount]])</f>
        <v>-1906.48</v>
      </c>
    </row>
    <row r="773" spans="1:10" x14ac:dyDescent="0.25">
      <c r="A773" s="1">
        <v>44791</v>
      </c>
      <c r="B773" t="s">
        <v>788</v>
      </c>
      <c r="C773" t="s">
        <v>22</v>
      </c>
      <c r="D773" s="2">
        <v>882.53</v>
      </c>
      <c r="E773" t="s">
        <v>7</v>
      </c>
      <c r="F773" t="s">
        <v>1550</v>
      </c>
      <c r="G773">
        <v>2022</v>
      </c>
      <c r="H773">
        <f>IF(Table1_1[[#This Row],[Type]]="Expense", _xlfn.XLOOKUP(Table1_1[[#This Row],[Category]], Budget_Ref[Category], Budget_Ref[Monthly Budget], 0), 0)</f>
        <v>200</v>
      </c>
      <c r="I773" t="str">
        <f>IF(Table1_1[[#This Row],[Type]]="Expense", IF(Table1_1[[#This Row],[Amount]]&gt;Table1_1[[#This Row],[Monthly Budget]], "Over Budget", "OK"), "-")</f>
        <v>Over Budget</v>
      </c>
      <c r="J773">
        <f>IF(Table1_1[[#This Row],[Type]]="Income", Table1_1[[#This Row],[Amount]], -Table1_1[[#This Row],[Amount]])</f>
        <v>-882.53</v>
      </c>
    </row>
    <row r="774" spans="1:10" x14ac:dyDescent="0.25">
      <c r="A774" s="1">
        <v>44792</v>
      </c>
      <c r="B774" t="s">
        <v>789</v>
      </c>
      <c r="C774" t="s">
        <v>11</v>
      </c>
      <c r="D774" s="2">
        <v>1639.74</v>
      </c>
      <c r="E774" t="s">
        <v>7</v>
      </c>
      <c r="F774" t="s">
        <v>1550</v>
      </c>
      <c r="G774">
        <v>2022</v>
      </c>
      <c r="H774">
        <f>IF(Table1_1[[#This Row],[Type]]="Expense", _xlfn.XLOOKUP(Table1_1[[#This Row],[Category]], Budget_Ref[Category], Budget_Ref[Monthly Budget], 0), 0)</f>
        <v>1500</v>
      </c>
      <c r="I774" t="str">
        <f>IF(Table1_1[[#This Row],[Type]]="Expense", IF(Table1_1[[#This Row],[Amount]]&gt;Table1_1[[#This Row],[Monthly Budget]], "Over Budget", "OK"), "-")</f>
        <v>Over Budget</v>
      </c>
      <c r="J774">
        <f>IF(Table1_1[[#This Row],[Type]]="Income", Table1_1[[#This Row],[Amount]], -Table1_1[[#This Row],[Amount]])</f>
        <v>-1639.74</v>
      </c>
    </row>
    <row r="775" spans="1:10" x14ac:dyDescent="0.25">
      <c r="A775" s="1">
        <v>44794</v>
      </c>
      <c r="B775" t="s">
        <v>790</v>
      </c>
      <c r="C775" t="s">
        <v>17</v>
      </c>
      <c r="D775" s="2">
        <v>1349.23</v>
      </c>
      <c r="E775" t="s">
        <v>7</v>
      </c>
      <c r="F775" t="s">
        <v>1550</v>
      </c>
      <c r="G775">
        <v>2022</v>
      </c>
      <c r="H775">
        <f>IF(Table1_1[[#This Row],[Type]]="Expense", _xlfn.XLOOKUP(Table1_1[[#This Row],[Category]], Budget_Ref[Category], Budget_Ref[Monthly Budget], 0), 0)</f>
        <v>300</v>
      </c>
      <c r="I775" t="str">
        <f>IF(Table1_1[[#This Row],[Type]]="Expense", IF(Table1_1[[#This Row],[Amount]]&gt;Table1_1[[#This Row],[Monthly Budget]], "Over Budget", "OK"), "-")</f>
        <v>Over Budget</v>
      </c>
      <c r="J775">
        <f>IF(Table1_1[[#This Row],[Type]]="Income", Table1_1[[#This Row],[Amount]], -Table1_1[[#This Row],[Amount]])</f>
        <v>-1349.23</v>
      </c>
    </row>
    <row r="776" spans="1:10" x14ac:dyDescent="0.25">
      <c r="A776" s="1">
        <v>44794</v>
      </c>
      <c r="B776" t="s">
        <v>791</v>
      </c>
      <c r="C776" t="s">
        <v>20</v>
      </c>
      <c r="D776" s="2">
        <v>2482</v>
      </c>
      <c r="E776" t="s">
        <v>14</v>
      </c>
      <c r="F776" t="s">
        <v>1550</v>
      </c>
      <c r="G776">
        <v>2022</v>
      </c>
      <c r="H776">
        <f>IF(Table1_1[[#This Row],[Type]]="Expense", _xlfn.XLOOKUP(Table1_1[[#This Row],[Category]], Budget_Ref[Category], Budget_Ref[Monthly Budget], 0), 0)</f>
        <v>0</v>
      </c>
      <c r="I776" t="str">
        <f>IF(Table1_1[[#This Row],[Type]]="Expense", IF(Table1_1[[#This Row],[Amount]]&gt;Table1_1[[#This Row],[Monthly Budget]], "Over Budget", "OK"), "-")</f>
        <v>-</v>
      </c>
      <c r="J776">
        <f>IF(Table1_1[[#This Row],[Type]]="Income", Table1_1[[#This Row],[Amount]], -Table1_1[[#This Row],[Amount]])</f>
        <v>2482</v>
      </c>
    </row>
    <row r="777" spans="1:10" x14ac:dyDescent="0.25">
      <c r="A777" s="1">
        <v>44795</v>
      </c>
      <c r="B777" t="s">
        <v>792</v>
      </c>
      <c r="C777" t="s">
        <v>9</v>
      </c>
      <c r="D777" s="2">
        <v>1433.32</v>
      </c>
      <c r="E777" t="s">
        <v>7</v>
      </c>
      <c r="F777" t="s">
        <v>1550</v>
      </c>
      <c r="G777">
        <v>2022</v>
      </c>
      <c r="H777">
        <f>IF(Table1_1[[#This Row],[Type]]="Expense", _xlfn.XLOOKUP(Table1_1[[#This Row],[Category]], Budget_Ref[Category], Budget_Ref[Monthly Budget], 0), 0)</f>
        <v>150</v>
      </c>
      <c r="I777" t="str">
        <f>IF(Table1_1[[#This Row],[Type]]="Expense", IF(Table1_1[[#This Row],[Amount]]&gt;Table1_1[[#This Row],[Monthly Budget]], "Over Budget", "OK"), "-")</f>
        <v>Over Budget</v>
      </c>
      <c r="J777">
        <f>IF(Table1_1[[#This Row],[Type]]="Income", Table1_1[[#This Row],[Amount]], -Table1_1[[#This Row],[Amount]])</f>
        <v>-1433.32</v>
      </c>
    </row>
    <row r="778" spans="1:10" x14ac:dyDescent="0.25">
      <c r="A778" s="1">
        <v>44795</v>
      </c>
      <c r="B778" t="s">
        <v>793</v>
      </c>
      <c r="C778" t="s">
        <v>11</v>
      </c>
      <c r="D778" s="2">
        <v>903.64</v>
      </c>
      <c r="E778" t="s">
        <v>7</v>
      </c>
      <c r="F778" t="s">
        <v>1550</v>
      </c>
      <c r="G778">
        <v>2022</v>
      </c>
      <c r="H778">
        <f>IF(Table1_1[[#This Row],[Type]]="Expense", _xlfn.XLOOKUP(Table1_1[[#This Row],[Category]], Budget_Ref[Category], Budget_Ref[Monthly Budget], 0), 0)</f>
        <v>1500</v>
      </c>
      <c r="I778" t="str">
        <f>IF(Table1_1[[#This Row],[Type]]="Expense", IF(Table1_1[[#This Row],[Amount]]&gt;Table1_1[[#This Row],[Monthly Budget]], "Over Budget", "OK"), "-")</f>
        <v>OK</v>
      </c>
      <c r="J778">
        <f>IF(Table1_1[[#This Row],[Type]]="Income", Table1_1[[#This Row],[Amount]], -Table1_1[[#This Row],[Amount]])</f>
        <v>-903.64</v>
      </c>
    </row>
    <row r="779" spans="1:10" x14ac:dyDescent="0.25">
      <c r="A779" s="1">
        <v>44796</v>
      </c>
      <c r="B779" t="s">
        <v>794</v>
      </c>
      <c r="C779" t="s">
        <v>17</v>
      </c>
      <c r="D779" s="2">
        <v>1073.3900000000001</v>
      </c>
      <c r="E779" t="s">
        <v>7</v>
      </c>
      <c r="F779" t="s">
        <v>1550</v>
      </c>
      <c r="G779">
        <v>2022</v>
      </c>
      <c r="H779">
        <f>IF(Table1_1[[#This Row],[Type]]="Expense", _xlfn.XLOOKUP(Table1_1[[#This Row],[Category]], Budget_Ref[Category], Budget_Ref[Monthly Budget], 0), 0)</f>
        <v>300</v>
      </c>
      <c r="I779" t="str">
        <f>IF(Table1_1[[#This Row],[Type]]="Expense", IF(Table1_1[[#This Row],[Amount]]&gt;Table1_1[[#This Row],[Monthly Budget]], "Over Budget", "OK"), "-")</f>
        <v>Over Budget</v>
      </c>
      <c r="J779">
        <f>IF(Table1_1[[#This Row],[Type]]="Income", Table1_1[[#This Row],[Amount]], -Table1_1[[#This Row],[Amount]])</f>
        <v>-1073.3900000000001</v>
      </c>
    </row>
    <row r="780" spans="1:10" x14ac:dyDescent="0.25">
      <c r="A780" s="1">
        <v>44797</v>
      </c>
      <c r="B780" t="s">
        <v>795</v>
      </c>
      <c r="C780" t="s">
        <v>17</v>
      </c>
      <c r="D780" s="2">
        <v>1091.8499999999999</v>
      </c>
      <c r="E780" t="s">
        <v>7</v>
      </c>
      <c r="F780" t="s">
        <v>1550</v>
      </c>
      <c r="G780">
        <v>2022</v>
      </c>
      <c r="H780">
        <f>IF(Table1_1[[#This Row],[Type]]="Expense", _xlfn.XLOOKUP(Table1_1[[#This Row],[Category]], Budget_Ref[Category], Budget_Ref[Monthly Budget], 0), 0)</f>
        <v>300</v>
      </c>
      <c r="I780" t="str">
        <f>IF(Table1_1[[#This Row],[Type]]="Expense", IF(Table1_1[[#This Row],[Amount]]&gt;Table1_1[[#This Row],[Monthly Budget]], "Over Budget", "OK"), "-")</f>
        <v>Over Budget</v>
      </c>
      <c r="J780">
        <f>IF(Table1_1[[#This Row],[Type]]="Income", Table1_1[[#This Row],[Amount]], -Table1_1[[#This Row],[Amount]])</f>
        <v>-1091.8499999999999</v>
      </c>
    </row>
    <row r="781" spans="1:10" x14ac:dyDescent="0.25">
      <c r="A781" s="1">
        <v>44799</v>
      </c>
      <c r="B781" t="s">
        <v>796</v>
      </c>
      <c r="C781" t="s">
        <v>25</v>
      </c>
      <c r="D781" s="2">
        <v>1406.25</v>
      </c>
      <c r="E781" t="s">
        <v>7</v>
      </c>
      <c r="F781" t="s">
        <v>1550</v>
      </c>
      <c r="G781">
        <v>2022</v>
      </c>
      <c r="H781">
        <f>IF(Table1_1[[#This Row],[Type]]="Expense", _xlfn.XLOOKUP(Table1_1[[#This Row],[Category]], Budget_Ref[Category], Budget_Ref[Monthly Budget], 0), 0)</f>
        <v>150</v>
      </c>
      <c r="I781" t="str">
        <f>IF(Table1_1[[#This Row],[Type]]="Expense", IF(Table1_1[[#This Row],[Amount]]&gt;Table1_1[[#This Row],[Monthly Budget]], "Over Budget", "OK"), "-")</f>
        <v>Over Budget</v>
      </c>
      <c r="J781">
        <f>IF(Table1_1[[#This Row],[Type]]="Income", Table1_1[[#This Row],[Amount]], -Table1_1[[#This Row],[Amount]])</f>
        <v>-1406.25</v>
      </c>
    </row>
    <row r="782" spans="1:10" x14ac:dyDescent="0.25">
      <c r="A782" s="1">
        <v>44799</v>
      </c>
      <c r="B782" t="s">
        <v>797</v>
      </c>
      <c r="C782" t="s">
        <v>11</v>
      </c>
      <c r="D782" s="2">
        <v>227.65</v>
      </c>
      <c r="E782" t="s">
        <v>7</v>
      </c>
      <c r="F782" t="s">
        <v>1550</v>
      </c>
      <c r="G782">
        <v>2022</v>
      </c>
      <c r="H782">
        <f>IF(Table1_1[[#This Row],[Type]]="Expense", _xlfn.XLOOKUP(Table1_1[[#This Row],[Category]], Budget_Ref[Category], Budget_Ref[Monthly Budget], 0), 0)</f>
        <v>1500</v>
      </c>
      <c r="I782" t="str">
        <f>IF(Table1_1[[#This Row],[Type]]="Expense", IF(Table1_1[[#This Row],[Amount]]&gt;Table1_1[[#This Row],[Monthly Budget]], "Over Budget", "OK"), "-")</f>
        <v>OK</v>
      </c>
      <c r="J782">
        <f>IF(Table1_1[[#This Row],[Type]]="Income", Table1_1[[#This Row],[Amount]], -Table1_1[[#This Row],[Amount]])</f>
        <v>-227.65</v>
      </c>
    </row>
    <row r="783" spans="1:10" x14ac:dyDescent="0.25">
      <c r="A783" s="1">
        <v>44801</v>
      </c>
      <c r="B783" t="s">
        <v>798</v>
      </c>
      <c r="C783" t="s">
        <v>25</v>
      </c>
      <c r="D783" s="2">
        <v>341.01</v>
      </c>
      <c r="E783" t="s">
        <v>7</v>
      </c>
      <c r="F783" t="s">
        <v>1550</v>
      </c>
      <c r="G783">
        <v>2022</v>
      </c>
      <c r="H783">
        <f>IF(Table1_1[[#This Row],[Type]]="Expense", _xlfn.XLOOKUP(Table1_1[[#This Row],[Category]], Budget_Ref[Category], Budget_Ref[Monthly Budget], 0), 0)</f>
        <v>150</v>
      </c>
      <c r="I783" t="str">
        <f>IF(Table1_1[[#This Row],[Type]]="Expense", IF(Table1_1[[#This Row],[Amount]]&gt;Table1_1[[#This Row],[Monthly Budget]], "Over Budget", "OK"), "-")</f>
        <v>Over Budget</v>
      </c>
      <c r="J783">
        <f>IF(Table1_1[[#This Row],[Type]]="Income", Table1_1[[#This Row],[Amount]], -Table1_1[[#This Row],[Amount]])</f>
        <v>-341.01</v>
      </c>
    </row>
    <row r="784" spans="1:10" x14ac:dyDescent="0.25">
      <c r="A784" s="1">
        <v>44802</v>
      </c>
      <c r="B784" t="s">
        <v>799</v>
      </c>
      <c r="C784" t="s">
        <v>17</v>
      </c>
      <c r="D784" s="2">
        <v>1933.95</v>
      </c>
      <c r="E784" t="s">
        <v>7</v>
      </c>
      <c r="F784" t="s">
        <v>1550</v>
      </c>
      <c r="G784">
        <v>2022</v>
      </c>
      <c r="H784">
        <f>IF(Table1_1[[#This Row],[Type]]="Expense", _xlfn.XLOOKUP(Table1_1[[#This Row],[Category]], Budget_Ref[Category], Budget_Ref[Monthly Budget], 0), 0)</f>
        <v>300</v>
      </c>
      <c r="I784" t="str">
        <f>IF(Table1_1[[#This Row],[Type]]="Expense", IF(Table1_1[[#This Row],[Amount]]&gt;Table1_1[[#This Row],[Monthly Budget]], "Over Budget", "OK"), "-")</f>
        <v>Over Budget</v>
      </c>
      <c r="J784">
        <f>IF(Table1_1[[#This Row],[Type]]="Income", Table1_1[[#This Row],[Amount]], -Table1_1[[#This Row],[Amount]])</f>
        <v>-1933.95</v>
      </c>
    </row>
    <row r="785" spans="1:10" x14ac:dyDescent="0.25">
      <c r="A785" s="1">
        <v>44803</v>
      </c>
      <c r="B785" t="s">
        <v>800</v>
      </c>
      <c r="C785" t="s">
        <v>17</v>
      </c>
      <c r="D785" s="2">
        <v>220.83</v>
      </c>
      <c r="E785" t="s">
        <v>7</v>
      </c>
      <c r="F785" t="s">
        <v>1550</v>
      </c>
      <c r="G785">
        <v>2022</v>
      </c>
      <c r="H785">
        <f>IF(Table1_1[[#This Row],[Type]]="Expense", _xlfn.XLOOKUP(Table1_1[[#This Row],[Category]], Budget_Ref[Category], Budget_Ref[Monthly Budget], 0), 0)</f>
        <v>300</v>
      </c>
      <c r="I785" t="str">
        <f>IF(Table1_1[[#This Row],[Type]]="Expense", IF(Table1_1[[#This Row],[Amount]]&gt;Table1_1[[#This Row],[Monthly Budget]], "Over Budget", "OK"), "-")</f>
        <v>OK</v>
      </c>
      <c r="J785">
        <f>IF(Table1_1[[#This Row],[Type]]="Income", Table1_1[[#This Row],[Amount]], -Table1_1[[#This Row],[Amount]])</f>
        <v>-220.83</v>
      </c>
    </row>
    <row r="786" spans="1:10" x14ac:dyDescent="0.25">
      <c r="A786" s="1">
        <v>44804</v>
      </c>
      <c r="B786" t="s">
        <v>801</v>
      </c>
      <c r="C786" t="s">
        <v>13</v>
      </c>
      <c r="D786" s="2">
        <v>4683</v>
      </c>
      <c r="E786" t="s">
        <v>14</v>
      </c>
      <c r="F786" t="s">
        <v>1550</v>
      </c>
      <c r="G786">
        <v>2022</v>
      </c>
      <c r="H786">
        <f>IF(Table1_1[[#This Row],[Type]]="Expense", _xlfn.XLOOKUP(Table1_1[[#This Row],[Category]], Budget_Ref[Category], Budget_Ref[Monthly Budget], 0), 0)</f>
        <v>0</v>
      </c>
      <c r="I786" t="str">
        <f>IF(Table1_1[[#This Row],[Type]]="Expense", IF(Table1_1[[#This Row],[Amount]]&gt;Table1_1[[#This Row],[Monthly Budget]], "Over Budget", "OK"), "-")</f>
        <v>-</v>
      </c>
      <c r="J786">
        <f>IF(Table1_1[[#This Row],[Type]]="Income", Table1_1[[#This Row],[Amount]], -Table1_1[[#This Row],[Amount]])</f>
        <v>4683</v>
      </c>
    </row>
    <row r="787" spans="1:10" x14ac:dyDescent="0.25">
      <c r="A787" s="1">
        <v>44804</v>
      </c>
      <c r="B787" t="s">
        <v>802</v>
      </c>
      <c r="C787" t="s">
        <v>22</v>
      </c>
      <c r="D787" s="2">
        <v>897.1</v>
      </c>
      <c r="E787" t="s">
        <v>7</v>
      </c>
      <c r="F787" t="s">
        <v>1550</v>
      </c>
      <c r="G787">
        <v>2022</v>
      </c>
      <c r="H787">
        <f>IF(Table1_1[[#This Row],[Type]]="Expense", _xlfn.XLOOKUP(Table1_1[[#This Row],[Category]], Budget_Ref[Category], Budget_Ref[Monthly Budget], 0), 0)</f>
        <v>200</v>
      </c>
      <c r="I787" t="str">
        <f>IF(Table1_1[[#This Row],[Type]]="Expense", IF(Table1_1[[#This Row],[Amount]]&gt;Table1_1[[#This Row],[Monthly Budget]], "Over Budget", "OK"), "-")</f>
        <v>Over Budget</v>
      </c>
      <c r="J787">
        <f>IF(Table1_1[[#This Row],[Type]]="Income", Table1_1[[#This Row],[Amount]], -Table1_1[[#This Row],[Amount]])</f>
        <v>-897.1</v>
      </c>
    </row>
    <row r="788" spans="1:10" x14ac:dyDescent="0.25">
      <c r="A788" s="1">
        <v>44805</v>
      </c>
      <c r="B788" t="s">
        <v>803</v>
      </c>
      <c r="C788" t="s">
        <v>9</v>
      </c>
      <c r="D788" s="2">
        <v>696.49</v>
      </c>
      <c r="E788" t="s">
        <v>7</v>
      </c>
      <c r="F788" t="s">
        <v>1551</v>
      </c>
      <c r="G788">
        <v>2022</v>
      </c>
      <c r="H788">
        <f>IF(Table1_1[[#This Row],[Type]]="Expense", _xlfn.XLOOKUP(Table1_1[[#This Row],[Category]], Budget_Ref[Category], Budget_Ref[Monthly Budget], 0), 0)</f>
        <v>150</v>
      </c>
      <c r="I788" t="str">
        <f>IF(Table1_1[[#This Row],[Type]]="Expense", IF(Table1_1[[#This Row],[Amount]]&gt;Table1_1[[#This Row],[Monthly Budget]], "Over Budget", "OK"), "-")</f>
        <v>Over Budget</v>
      </c>
      <c r="J788">
        <f>IF(Table1_1[[#This Row],[Type]]="Income", Table1_1[[#This Row],[Amount]], -Table1_1[[#This Row],[Amount]])</f>
        <v>-696.49</v>
      </c>
    </row>
    <row r="789" spans="1:10" x14ac:dyDescent="0.25">
      <c r="A789" s="1">
        <v>44806</v>
      </c>
      <c r="B789" t="s">
        <v>804</v>
      </c>
      <c r="C789" t="s">
        <v>13</v>
      </c>
      <c r="D789" s="2">
        <v>2920</v>
      </c>
      <c r="E789" t="s">
        <v>14</v>
      </c>
      <c r="F789" t="s">
        <v>1551</v>
      </c>
      <c r="G789">
        <v>2022</v>
      </c>
      <c r="H789">
        <f>IF(Table1_1[[#This Row],[Type]]="Expense", _xlfn.XLOOKUP(Table1_1[[#This Row],[Category]], Budget_Ref[Category], Budget_Ref[Monthly Budget], 0), 0)</f>
        <v>0</v>
      </c>
      <c r="I789" t="str">
        <f>IF(Table1_1[[#This Row],[Type]]="Expense", IF(Table1_1[[#This Row],[Amount]]&gt;Table1_1[[#This Row],[Monthly Budget]], "Over Budget", "OK"), "-")</f>
        <v>-</v>
      </c>
      <c r="J789">
        <f>IF(Table1_1[[#This Row],[Type]]="Income", Table1_1[[#This Row],[Amount]], -Table1_1[[#This Row],[Amount]])</f>
        <v>2920</v>
      </c>
    </row>
    <row r="790" spans="1:10" x14ac:dyDescent="0.25">
      <c r="A790" s="1">
        <v>44807</v>
      </c>
      <c r="B790" t="s">
        <v>805</v>
      </c>
      <c r="C790" t="s">
        <v>11</v>
      </c>
      <c r="D790" s="2">
        <v>240.98</v>
      </c>
      <c r="E790" t="s">
        <v>7</v>
      </c>
      <c r="F790" t="s">
        <v>1551</v>
      </c>
      <c r="G790">
        <v>2022</v>
      </c>
      <c r="H790">
        <f>IF(Table1_1[[#This Row],[Type]]="Expense", _xlfn.XLOOKUP(Table1_1[[#This Row],[Category]], Budget_Ref[Category], Budget_Ref[Monthly Budget], 0), 0)</f>
        <v>1500</v>
      </c>
      <c r="I790" t="str">
        <f>IF(Table1_1[[#This Row],[Type]]="Expense", IF(Table1_1[[#This Row],[Amount]]&gt;Table1_1[[#This Row],[Monthly Budget]], "Over Budget", "OK"), "-")</f>
        <v>OK</v>
      </c>
      <c r="J790">
        <f>IF(Table1_1[[#This Row],[Type]]="Income", Table1_1[[#This Row],[Amount]], -Table1_1[[#This Row],[Amount]])</f>
        <v>-240.98</v>
      </c>
    </row>
    <row r="791" spans="1:10" x14ac:dyDescent="0.25">
      <c r="A791" s="1">
        <v>44807</v>
      </c>
      <c r="B791" t="s">
        <v>806</v>
      </c>
      <c r="C791" t="s">
        <v>9</v>
      </c>
      <c r="D791" s="2">
        <v>703.17</v>
      </c>
      <c r="E791" t="s">
        <v>7</v>
      </c>
      <c r="F791" t="s">
        <v>1551</v>
      </c>
      <c r="G791">
        <v>2022</v>
      </c>
      <c r="H791">
        <f>IF(Table1_1[[#This Row],[Type]]="Expense", _xlfn.XLOOKUP(Table1_1[[#This Row],[Category]], Budget_Ref[Category], Budget_Ref[Monthly Budget], 0), 0)</f>
        <v>150</v>
      </c>
      <c r="I791" t="str">
        <f>IF(Table1_1[[#This Row],[Type]]="Expense", IF(Table1_1[[#This Row],[Amount]]&gt;Table1_1[[#This Row],[Monthly Budget]], "Over Budget", "OK"), "-")</f>
        <v>Over Budget</v>
      </c>
      <c r="J791">
        <f>IF(Table1_1[[#This Row],[Type]]="Income", Table1_1[[#This Row],[Amount]], -Table1_1[[#This Row],[Amount]])</f>
        <v>-703.17</v>
      </c>
    </row>
    <row r="792" spans="1:10" x14ac:dyDescent="0.25">
      <c r="A792" s="1">
        <v>44807</v>
      </c>
      <c r="B792" t="s">
        <v>807</v>
      </c>
      <c r="C792" t="s">
        <v>22</v>
      </c>
      <c r="D792" s="2">
        <v>1047.02</v>
      </c>
      <c r="E792" t="s">
        <v>7</v>
      </c>
      <c r="F792" t="s">
        <v>1551</v>
      </c>
      <c r="G792">
        <v>2022</v>
      </c>
      <c r="H792">
        <f>IF(Table1_1[[#This Row],[Type]]="Expense", _xlfn.XLOOKUP(Table1_1[[#This Row],[Category]], Budget_Ref[Category], Budget_Ref[Monthly Budget], 0), 0)</f>
        <v>200</v>
      </c>
      <c r="I792" t="str">
        <f>IF(Table1_1[[#This Row],[Type]]="Expense", IF(Table1_1[[#This Row],[Amount]]&gt;Table1_1[[#This Row],[Monthly Budget]], "Over Budget", "OK"), "-")</f>
        <v>Over Budget</v>
      </c>
      <c r="J792">
        <f>IF(Table1_1[[#This Row],[Type]]="Income", Table1_1[[#This Row],[Amount]], -Table1_1[[#This Row],[Amount]])</f>
        <v>-1047.02</v>
      </c>
    </row>
    <row r="793" spans="1:10" x14ac:dyDescent="0.25">
      <c r="A793" s="1">
        <v>44808</v>
      </c>
      <c r="B793" t="s">
        <v>808</v>
      </c>
      <c r="C793" t="s">
        <v>11</v>
      </c>
      <c r="D793" s="2">
        <v>881.95</v>
      </c>
      <c r="E793" t="s">
        <v>7</v>
      </c>
      <c r="F793" t="s">
        <v>1551</v>
      </c>
      <c r="G793">
        <v>2022</v>
      </c>
      <c r="H793">
        <f>IF(Table1_1[[#This Row],[Type]]="Expense", _xlfn.XLOOKUP(Table1_1[[#This Row],[Category]], Budget_Ref[Category], Budget_Ref[Monthly Budget], 0), 0)</f>
        <v>1500</v>
      </c>
      <c r="I793" t="str">
        <f>IF(Table1_1[[#This Row],[Type]]="Expense", IF(Table1_1[[#This Row],[Amount]]&gt;Table1_1[[#This Row],[Monthly Budget]], "Over Budget", "OK"), "-")</f>
        <v>OK</v>
      </c>
      <c r="J793">
        <f>IF(Table1_1[[#This Row],[Type]]="Income", Table1_1[[#This Row],[Amount]], -Table1_1[[#This Row],[Amount]])</f>
        <v>-881.95</v>
      </c>
    </row>
    <row r="794" spans="1:10" x14ac:dyDescent="0.25">
      <c r="A794" s="1">
        <v>44808</v>
      </c>
      <c r="B794" t="s">
        <v>809</v>
      </c>
      <c r="C794" t="s">
        <v>25</v>
      </c>
      <c r="D794" s="2">
        <v>143.68</v>
      </c>
      <c r="E794" t="s">
        <v>7</v>
      </c>
      <c r="F794" t="s">
        <v>1551</v>
      </c>
      <c r="G794">
        <v>2022</v>
      </c>
      <c r="H794">
        <f>IF(Table1_1[[#This Row],[Type]]="Expense", _xlfn.XLOOKUP(Table1_1[[#This Row],[Category]], Budget_Ref[Category], Budget_Ref[Monthly Budget], 0), 0)</f>
        <v>150</v>
      </c>
      <c r="I794" t="str">
        <f>IF(Table1_1[[#This Row],[Type]]="Expense", IF(Table1_1[[#This Row],[Amount]]&gt;Table1_1[[#This Row],[Monthly Budget]], "Over Budget", "OK"), "-")</f>
        <v>OK</v>
      </c>
      <c r="J794">
        <f>IF(Table1_1[[#This Row],[Type]]="Income", Table1_1[[#This Row],[Amount]], -Table1_1[[#This Row],[Amount]])</f>
        <v>-143.68</v>
      </c>
    </row>
    <row r="795" spans="1:10" x14ac:dyDescent="0.25">
      <c r="A795" s="1">
        <v>44809</v>
      </c>
      <c r="B795" t="s">
        <v>810</v>
      </c>
      <c r="C795" t="s">
        <v>13</v>
      </c>
      <c r="D795" s="2">
        <v>685</v>
      </c>
      <c r="E795" t="s">
        <v>14</v>
      </c>
      <c r="F795" t="s">
        <v>1551</v>
      </c>
      <c r="G795">
        <v>2022</v>
      </c>
      <c r="H795">
        <f>IF(Table1_1[[#This Row],[Type]]="Expense", _xlfn.XLOOKUP(Table1_1[[#This Row],[Category]], Budget_Ref[Category], Budget_Ref[Monthly Budget], 0), 0)</f>
        <v>0</v>
      </c>
      <c r="I795" t="str">
        <f>IF(Table1_1[[#This Row],[Type]]="Expense", IF(Table1_1[[#This Row],[Amount]]&gt;Table1_1[[#This Row],[Monthly Budget]], "Over Budget", "OK"), "-")</f>
        <v>-</v>
      </c>
      <c r="J795">
        <f>IF(Table1_1[[#This Row],[Type]]="Income", Table1_1[[#This Row],[Amount]], -Table1_1[[#This Row],[Amount]])</f>
        <v>685</v>
      </c>
    </row>
    <row r="796" spans="1:10" x14ac:dyDescent="0.25">
      <c r="A796" s="1">
        <v>44810</v>
      </c>
      <c r="B796" t="s">
        <v>811</v>
      </c>
      <c r="C796" t="s">
        <v>11</v>
      </c>
      <c r="D796" s="2">
        <v>1357.51</v>
      </c>
      <c r="E796" t="s">
        <v>7</v>
      </c>
      <c r="F796" t="s">
        <v>1551</v>
      </c>
      <c r="G796">
        <v>2022</v>
      </c>
      <c r="H796">
        <f>IF(Table1_1[[#This Row],[Type]]="Expense", _xlfn.XLOOKUP(Table1_1[[#This Row],[Category]], Budget_Ref[Category], Budget_Ref[Monthly Budget], 0), 0)</f>
        <v>1500</v>
      </c>
      <c r="I796" t="str">
        <f>IF(Table1_1[[#This Row],[Type]]="Expense", IF(Table1_1[[#This Row],[Amount]]&gt;Table1_1[[#This Row],[Monthly Budget]], "Over Budget", "OK"), "-")</f>
        <v>OK</v>
      </c>
      <c r="J796">
        <f>IF(Table1_1[[#This Row],[Type]]="Income", Table1_1[[#This Row],[Amount]], -Table1_1[[#This Row],[Amount]])</f>
        <v>-1357.51</v>
      </c>
    </row>
    <row r="797" spans="1:10" x14ac:dyDescent="0.25">
      <c r="A797" s="1">
        <v>44811</v>
      </c>
      <c r="B797" t="s">
        <v>812</v>
      </c>
      <c r="C797" t="s">
        <v>13</v>
      </c>
      <c r="D797" s="2">
        <v>4727</v>
      </c>
      <c r="E797" t="s">
        <v>14</v>
      </c>
      <c r="F797" t="s">
        <v>1551</v>
      </c>
      <c r="G797">
        <v>2022</v>
      </c>
      <c r="H797">
        <f>IF(Table1_1[[#This Row],[Type]]="Expense", _xlfn.XLOOKUP(Table1_1[[#This Row],[Category]], Budget_Ref[Category], Budget_Ref[Monthly Budget], 0), 0)</f>
        <v>0</v>
      </c>
      <c r="I797" t="str">
        <f>IF(Table1_1[[#This Row],[Type]]="Expense", IF(Table1_1[[#This Row],[Amount]]&gt;Table1_1[[#This Row],[Monthly Budget]], "Over Budget", "OK"), "-")</f>
        <v>-</v>
      </c>
      <c r="J797">
        <f>IF(Table1_1[[#This Row],[Type]]="Income", Table1_1[[#This Row],[Amount]], -Table1_1[[#This Row],[Amount]])</f>
        <v>4727</v>
      </c>
    </row>
    <row r="798" spans="1:10" x14ac:dyDescent="0.25">
      <c r="A798" s="1">
        <v>44812</v>
      </c>
      <c r="B798" t="s">
        <v>813</v>
      </c>
      <c r="C798" t="s">
        <v>13</v>
      </c>
      <c r="D798" s="2">
        <v>3211</v>
      </c>
      <c r="E798" t="s">
        <v>14</v>
      </c>
      <c r="F798" t="s">
        <v>1551</v>
      </c>
      <c r="G798">
        <v>2022</v>
      </c>
      <c r="H798">
        <f>IF(Table1_1[[#This Row],[Type]]="Expense", _xlfn.XLOOKUP(Table1_1[[#This Row],[Category]], Budget_Ref[Category], Budget_Ref[Monthly Budget], 0), 0)</f>
        <v>0</v>
      </c>
      <c r="I798" t="str">
        <f>IF(Table1_1[[#This Row],[Type]]="Expense", IF(Table1_1[[#This Row],[Amount]]&gt;Table1_1[[#This Row],[Monthly Budget]], "Over Budget", "OK"), "-")</f>
        <v>-</v>
      </c>
      <c r="J798">
        <f>IF(Table1_1[[#This Row],[Type]]="Income", Table1_1[[#This Row],[Amount]], -Table1_1[[#This Row],[Amount]])</f>
        <v>3211</v>
      </c>
    </row>
    <row r="799" spans="1:10" x14ac:dyDescent="0.25">
      <c r="A799" s="1">
        <v>44814</v>
      </c>
      <c r="B799" t="s">
        <v>814</v>
      </c>
      <c r="C799" t="s">
        <v>27</v>
      </c>
      <c r="D799" s="2">
        <v>471.39</v>
      </c>
      <c r="E799" t="s">
        <v>14</v>
      </c>
      <c r="F799" t="s">
        <v>1551</v>
      </c>
      <c r="G799">
        <v>2022</v>
      </c>
      <c r="H799">
        <f>IF(Table1_1[[#This Row],[Type]]="Expense", _xlfn.XLOOKUP(Table1_1[[#This Row],[Category]], Budget_Ref[Category], Budget_Ref[Monthly Budget], 0), 0)</f>
        <v>0</v>
      </c>
      <c r="I799" t="str">
        <f>IF(Table1_1[[#This Row],[Type]]="Expense", IF(Table1_1[[#This Row],[Amount]]&gt;Table1_1[[#This Row],[Monthly Budget]], "Over Budget", "OK"), "-")</f>
        <v>-</v>
      </c>
      <c r="J799">
        <f>IF(Table1_1[[#This Row],[Type]]="Income", Table1_1[[#This Row],[Amount]], -Table1_1[[#This Row],[Amount]])</f>
        <v>471.39</v>
      </c>
    </row>
    <row r="800" spans="1:10" x14ac:dyDescent="0.25">
      <c r="A800" s="1">
        <v>44815</v>
      </c>
      <c r="B800" t="s">
        <v>815</v>
      </c>
      <c r="C800" t="s">
        <v>9</v>
      </c>
      <c r="D800" s="2">
        <v>380.91</v>
      </c>
      <c r="E800" t="s">
        <v>7</v>
      </c>
      <c r="F800" t="s">
        <v>1551</v>
      </c>
      <c r="G800">
        <v>2022</v>
      </c>
      <c r="H800">
        <f>IF(Table1_1[[#This Row],[Type]]="Expense", _xlfn.XLOOKUP(Table1_1[[#This Row],[Category]], Budget_Ref[Category], Budget_Ref[Monthly Budget], 0), 0)</f>
        <v>150</v>
      </c>
      <c r="I800" t="str">
        <f>IF(Table1_1[[#This Row],[Type]]="Expense", IF(Table1_1[[#This Row],[Amount]]&gt;Table1_1[[#This Row],[Monthly Budget]], "Over Budget", "OK"), "-")</f>
        <v>Over Budget</v>
      </c>
      <c r="J800">
        <f>IF(Table1_1[[#This Row],[Type]]="Income", Table1_1[[#This Row],[Amount]], -Table1_1[[#This Row],[Amount]])</f>
        <v>-380.91</v>
      </c>
    </row>
    <row r="801" spans="1:10" x14ac:dyDescent="0.25">
      <c r="A801" s="1">
        <v>44815</v>
      </c>
      <c r="B801" t="s">
        <v>816</v>
      </c>
      <c r="C801" t="s">
        <v>17</v>
      </c>
      <c r="D801" s="2">
        <v>68.09</v>
      </c>
      <c r="E801" t="s">
        <v>7</v>
      </c>
      <c r="F801" t="s">
        <v>1551</v>
      </c>
      <c r="G801">
        <v>2022</v>
      </c>
      <c r="H801">
        <f>IF(Table1_1[[#This Row],[Type]]="Expense", _xlfn.XLOOKUP(Table1_1[[#This Row],[Category]], Budget_Ref[Category], Budget_Ref[Monthly Budget], 0), 0)</f>
        <v>300</v>
      </c>
      <c r="I801" t="str">
        <f>IF(Table1_1[[#This Row],[Type]]="Expense", IF(Table1_1[[#This Row],[Amount]]&gt;Table1_1[[#This Row],[Monthly Budget]], "Over Budget", "OK"), "-")</f>
        <v>OK</v>
      </c>
      <c r="J801">
        <f>IF(Table1_1[[#This Row],[Type]]="Income", Table1_1[[#This Row],[Amount]], -Table1_1[[#This Row],[Amount]])</f>
        <v>-68.09</v>
      </c>
    </row>
    <row r="802" spans="1:10" x14ac:dyDescent="0.25">
      <c r="A802" s="1">
        <v>44816</v>
      </c>
      <c r="B802" t="s">
        <v>817</v>
      </c>
      <c r="C802" t="s">
        <v>22</v>
      </c>
      <c r="D802" s="2">
        <v>904.65</v>
      </c>
      <c r="E802" t="s">
        <v>7</v>
      </c>
      <c r="F802" t="s">
        <v>1551</v>
      </c>
      <c r="G802">
        <v>2022</v>
      </c>
      <c r="H802">
        <f>IF(Table1_1[[#This Row],[Type]]="Expense", _xlfn.XLOOKUP(Table1_1[[#This Row],[Category]], Budget_Ref[Category], Budget_Ref[Monthly Budget], 0), 0)</f>
        <v>200</v>
      </c>
      <c r="I802" t="str">
        <f>IF(Table1_1[[#This Row],[Type]]="Expense", IF(Table1_1[[#This Row],[Amount]]&gt;Table1_1[[#This Row],[Monthly Budget]], "Over Budget", "OK"), "-")</f>
        <v>Over Budget</v>
      </c>
      <c r="J802">
        <f>IF(Table1_1[[#This Row],[Type]]="Income", Table1_1[[#This Row],[Amount]], -Table1_1[[#This Row],[Amount]])</f>
        <v>-904.65</v>
      </c>
    </row>
    <row r="803" spans="1:10" x14ac:dyDescent="0.25">
      <c r="A803" s="1">
        <v>44818</v>
      </c>
      <c r="B803" t="s">
        <v>818</v>
      </c>
      <c r="C803" t="s">
        <v>6</v>
      </c>
      <c r="D803" s="2">
        <v>1412.42</v>
      </c>
      <c r="E803" t="s">
        <v>7</v>
      </c>
      <c r="F803" t="s">
        <v>1551</v>
      </c>
      <c r="G803">
        <v>2022</v>
      </c>
      <c r="H803">
        <f>IF(Table1_1[[#This Row],[Type]]="Expense", _xlfn.XLOOKUP(Table1_1[[#This Row],[Category]], Budget_Ref[Category], Budget_Ref[Monthly Budget], 0), 0)</f>
        <v>500</v>
      </c>
      <c r="I803" t="str">
        <f>IF(Table1_1[[#This Row],[Type]]="Expense", IF(Table1_1[[#This Row],[Amount]]&gt;Table1_1[[#This Row],[Monthly Budget]], "Over Budget", "OK"), "-")</f>
        <v>Over Budget</v>
      </c>
      <c r="J803">
        <f>IF(Table1_1[[#This Row],[Type]]="Income", Table1_1[[#This Row],[Amount]], -Table1_1[[#This Row],[Amount]])</f>
        <v>-1412.42</v>
      </c>
    </row>
    <row r="804" spans="1:10" x14ac:dyDescent="0.25">
      <c r="A804" s="1">
        <v>44819</v>
      </c>
      <c r="B804" t="s">
        <v>819</v>
      </c>
      <c r="C804" t="s">
        <v>11</v>
      </c>
      <c r="D804" s="2">
        <v>1158.92</v>
      </c>
      <c r="E804" t="s">
        <v>7</v>
      </c>
      <c r="F804" t="s">
        <v>1551</v>
      </c>
      <c r="G804">
        <v>2022</v>
      </c>
      <c r="H804">
        <f>IF(Table1_1[[#This Row],[Type]]="Expense", _xlfn.XLOOKUP(Table1_1[[#This Row],[Category]], Budget_Ref[Category], Budget_Ref[Monthly Budget], 0), 0)</f>
        <v>1500</v>
      </c>
      <c r="I804" t="str">
        <f>IF(Table1_1[[#This Row],[Type]]="Expense", IF(Table1_1[[#This Row],[Amount]]&gt;Table1_1[[#This Row],[Monthly Budget]], "Over Budget", "OK"), "-")</f>
        <v>OK</v>
      </c>
      <c r="J804">
        <f>IF(Table1_1[[#This Row],[Type]]="Income", Table1_1[[#This Row],[Amount]], -Table1_1[[#This Row],[Amount]])</f>
        <v>-1158.92</v>
      </c>
    </row>
    <row r="805" spans="1:10" x14ac:dyDescent="0.25">
      <c r="A805" s="1">
        <v>44819</v>
      </c>
      <c r="B805" t="s">
        <v>820</v>
      </c>
      <c r="C805" t="s">
        <v>9</v>
      </c>
      <c r="D805" s="2">
        <v>737.93</v>
      </c>
      <c r="E805" t="s">
        <v>7</v>
      </c>
      <c r="F805" t="s">
        <v>1551</v>
      </c>
      <c r="G805">
        <v>2022</v>
      </c>
      <c r="H805">
        <f>IF(Table1_1[[#This Row],[Type]]="Expense", _xlfn.XLOOKUP(Table1_1[[#This Row],[Category]], Budget_Ref[Category], Budget_Ref[Monthly Budget], 0), 0)</f>
        <v>150</v>
      </c>
      <c r="I805" t="str">
        <f>IF(Table1_1[[#This Row],[Type]]="Expense", IF(Table1_1[[#This Row],[Amount]]&gt;Table1_1[[#This Row],[Monthly Budget]], "Over Budget", "OK"), "-")</f>
        <v>Over Budget</v>
      </c>
      <c r="J805">
        <f>IF(Table1_1[[#This Row],[Type]]="Income", Table1_1[[#This Row],[Amount]], -Table1_1[[#This Row],[Amount]])</f>
        <v>-737.93</v>
      </c>
    </row>
    <row r="806" spans="1:10" x14ac:dyDescent="0.25">
      <c r="A806" s="1">
        <v>44821</v>
      </c>
      <c r="B806" t="s">
        <v>821</v>
      </c>
      <c r="C806" t="s">
        <v>13</v>
      </c>
      <c r="D806" s="2">
        <v>2649</v>
      </c>
      <c r="E806" t="s">
        <v>14</v>
      </c>
      <c r="F806" t="s">
        <v>1551</v>
      </c>
      <c r="G806">
        <v>2022</v>
      </c>
      <c r="H806">
        <f>IF(Table1_1[[#This Row],[Type]]="Expense", _xlfn.XLOOKUP(Table1_1[[#This Row],[Category]], Budget_Ref[Category], Budget_Ref[Monthly Budget], 0), 0)</f>
        <v>0</v>
      </c>
      <c r="I806" t="str">
        <f>IF(Table1_1[[#This Row],[Type]]="Expense", IF(Table1_1[[#This Row],[Amount]]&gt;Table1_1[[#This Row],[Monthly Budget]], "Over Budget", "OK"), "-")</f>
        <v>-</v>
      </c>
      <c r="J806">
        <f>IF(Table1_1[[#This Row],[Type]]="Income", Table1_1[[#This Row],[Amount]], -Table1_1[[#This Row],[Amount]])</f>
        <v>2649</v>
      </c>
    </row>
    <row r="807" spans="1:10" x14ac:dyDescent="0.25">
      <c r="A807" s="1">
        <v>44822</v>
      </c>
      <c r="B807" t="s">
        <v>822</v>
      </c>
      <c r="C807" t="s">
        <v>27</v>
      </c>
      <c r="D807" s="2">
        <v>1060.1500000000001</v>
      </c>
      <c r="E807" t="s">
        <v>14</v>
      </c>
      <c r="F807" t="s">
        <v>1551</v>
      </c>
      <c r="G807">
        <v>2022</v>
      </c>
      <c r="H807">
        <f>IF(Table1_1[[#This Row],[Type]]="Expense", _xlfn.XLOOKUP(Table1_1[[#This Row],[Category]], Budget_Ref[Category], Budget_Ref[Monthly Budget], 0), 0)</f>
        <v>0</v>
      </c>
      <c r="I807" t="str">
        <f>IF(Table1_1[[#This Row],[Type]]="Expense", IF(Table1_1[[#This Row],[Amount]]&gt;Table1_1[[#This Row],[Monthly Budget]], "Over Budget", "OK"), "-")</f>
        <v>-</v>
      </c>
      <c r="J807">
        <f>IF(Table1_1[[#This Row],[Type]]="Income", Table1_1[[#This Row],[Amount]], -Table1_1[[#This Row],[Amount]])</f>
        <v>1060.1500000000001</v>
      </c>
    </row>
    <row r="808" spans="1:10" x14ac:dyDescent="0.25">
      <c r="A808" s="1">
        <v>44823</v>
      </c>
      <c r="B808" t="s">
        <v>823</v>
      </c>
      <c r="C808" t="s">
        <v>17</v>
      </c>
      <c r="D808" s="2">
        <v>1226.5</v>
      </c>
      <c r="E808" t="s">
        <v>7</v>
      </c>
      <c r="F808" t="s">
        <v>1551</v>
      </c>
      <c r="G808">
        <v>2022</v>
      </c>
      <c r="H808">
        <f>IF(Table1_1[[#This Row],[Type]]="Expense", _xlfn.XLOOKUP(Table1_1[[#This Row],[Category]], Budget_Ref[Category], Budget_Ref[Monthly Budget], 0), 0)</f>
        <v>300</v>
      </c>
      <c r="I808" t="str">
        <f>IF(Table1_1[[#This Row],[Type]]="Expense", IF(Table1_1[[#This Row],[Amount]]&gt;Table1_1[[#This Row],[Monthly Budget]], "Over Budget", "OK"), "-")</f>
        <v>Over Budget</v>
      </c>
      <c r="J808">
        <f>IF(Table1_1[[#This Row],[Type]]="Income", Table1_1[[#This Row],[Amount]], -Table1_1[[#This Row],[Amount]])</f>
        <v>-1226.5</v>
      </c>
    </row>
    <row r="809" spans="1:10" x14ac:dyDescent="0.25">
      <c r="A809" s="1">
        <v>44823</v>
      </c>
      <c r="B809" t="s">
        <v>824</v>
      </c>
      <c r="C809" t="s">
        <v>25</v>
      </c>
      <c r="D809" s="2">
        <v>710.45</v>
      </c>
      <c r="E809" t="s">
        <v>7</v>
      </c>
      <c r="F809" t="s">
        <v>1551</v>
      </c>
      <c r="G809">
        <v>2022</v>
      </c>
      <c r="H809">
        <f>IF(Table1_1[[#This Row],[Type]]="Expense", _xlfn.XLOOKUP(Table1_1[[#This Row],[Category]], Budget_Ref[Category], Budget_Ref[Monthly Budget], 0), 0)</f>
        <v>150</v>
      </c>
      <c r="I809" t="str">
        <f>IF(Table1_1[[#This Row],[Type]]="Expense", IF(Table1_1[[#This Row],[Amount]]&gt;Table1_1[[#This Row],[Monthly Budget]], "Over Budget", "OK"), "-")</f>
        <v>Over Budget</v>
      </c>
      <c r="J809">
        <f>IF(Table1_1[[#This Row],[Type]]="Income", Table1_1[[#This Row],[Amount]], -Table1_1[[#This Row],[Amount]])</f>
        <v>-710.45</v>
      </c>
    </row>
    <row r="810" spans="1:10" x14ac:dyDescent="0.25">
      <c r="A810" s="1">
        <v>44825</v>
      </c>
      <c r="B810" t="s">
        <v>825</v>
      </c>
      <c r="C810" t="s">
        <v>9</v>
      </c>
      <c r="D810" s="2">
        <v>1629.34</v>
      </c>
      <c r="E810" t="s">
        <v>7</v>
      </c>
      <c r="F810" t="s">
        <v>1551</v>
      </c>
      <c r="G810">
        <v>2022</v>
      </c>
      <c r="H810">
        <f>IF(Table1_1[[#This Row],[Type]]="Expense", _xlfn.XLOOKUP(Table1_1[[#This Row],[Category]], Budget_Ref[Category], Budget_Ref[Monthly Budget], 0), 0)</f>
        <v>150</v>
      </c>
      <c r="I810" t="str">
        <f>IF(Table1_1[[#This Row],[Type]]="Expense", IF(Table1_1[[#This Row],[Amount]]&gt;Table1_1[[#This Row],[Monthly Budget]], "Over Budget", "OK"), "-")</f>
        <v>Over Budget</v>
      </c>
      <c r="J810">
        <f>IF(Table1_1[[#This Row],[Type]]="Income", Table1_1[[#This Row],[Amount]], -Table1_1[[#This Row],[Amount]])</f>
        <v>-1629.34</v>
      </c>
    </row>
    <row r="811" spans="1:10" x14ac:dyDescent="0.25">
      <c r="A811" s="1">
        <v>44827</v>
      </c>
      <c r="B811" t="s">
        <v>826</v>
      </c>
      <c r="C811" t="s">
        <v>35</v>
      </c>
      <c r="D811" s="2">
        <v>1838.18</v>
      </c>
      <c r="E811" t="s">
        <v>7</v>
      </c>
      <c r="F811" t="s">
        <v>1551</v>
      </c>
      <c r="G811">
        <v>2022</v>
      </c>
      <c r="H811">
        <f>IF(Table1_1[[#This Row],[Type]]="Expense", _xlfn.XLOOKUP(Table1_1[[#This Row],[Category]], Budget_Ref[Category], Budget_Ref[Monthly Budget], 0), 0)</f>
        <v>200</v>
      </c>
      <c r="I811" t="str">
        <f>IF(Table1_1[[#This Row],[Type]]="Expense", IF(Table1_1[[#This Row],[Amount]]&gt;Table1_1[[#This Row],[Monthly Budget]], "Over Budget", "OK"), "-")</f>
        <v>Over Budget</v>
      </c>
      <c r="J811">
        <f>IF(Table1_1[[#This Row],[Type]]="Income", Table1_1[[#This Row],[Amount]], -Table1_1[[#This Row],[Amount]])</f>
        <v>-1838.18</v>
      </c>
    </row>
    <row r="812" spans="1:10" x14ac:dyDescent="0.25">
      <c r="A812" s="1">
        <v>44830</v>
      </c>
      <c r="B812" t="s">
        <v>827</v>
      </c>
      <c r="C812" t="s">
        <v>9</v>
      </c>
      <c r="D812" s="2">
        <v>633.24</v>
      </c>
      <c r="E812" t="s">
        <v>7</v>
      </c>
      <c r="F812" t="s">
        <v>1551</v>
      </c>
      <c r="G812">
        <v>2022</v>
      </c>
      <c r="H812">
        <f>IF(Table1_1[[#This Row],[Type]]="Expense", _xlfn.XLOOKUP(Table1_1[[#This Row],[Category]], Budget_Ref[Category], Budget_Ref[Monthly Budget], 0), 0)</f>
        <v>150</v>
      </c>
      <c r="I812" t="str">
        <f>IF(Table1_1[[#This Row],[Type]]="Expense", IF(Table1_1[[#This Row],[Amount]]&gt;Table1_1[[#This Row],[Monthly Budget]], "Over Budget", "OK"), "-")</f>
        <v>Over Budget</v>
      </c>
      <c r="J812">
        <f>IF(Table1_1[[#This Row],[Type]]="Income", Table1_1[[#This Row],[Amount]], -Table1_1[[#This Row],[Amount]])</f>
        <v>-633.24</v>
      </c>
    </row>
    <row r="813" spans="1:10" x14ac:dyDescent="0.25">
      <c r="A813" s="1">
        <v>44830</v>
      </c>
      <c r="B813" t="s">
        <v>828</v>
      </c>
      <c r="C813" t="s">
        <v>11</v>
      </c>
      <c r="D813" s="2">
        <v>374.26</v>
      </c>
      <c r="E813" t="s">
        <v>7</v>
      </c>
      <c r="F813" t="s">
        <v>1551</v>
      </c>
      <c r="G813">
        <v>2022</v>
      </c>
      <c r="H813">
        <f>IF(Table1_1[[#This Row],[Type]]="Expense", _xlfn.XLOOKUP(Table1_1[[#This Row],[Category]], Budget_Ref[Category], Budget_Ref[Monthly Budget], 0), 0)</f>
        <v>1500</v>
      </c>
      <c r="I813" t="str">
        <f>IF(Table1_1[[#This Row],[Type]]="Expense", IF(Table1_1[[#This Row],[Amount]]&gt;Table1_1[[#This Row],[Monthly Budget]], "Over Budget", "OK"), "-")</f>
        <v>OK</v>
      </c>
      <c r="J813">
        <f>IF(Table1_1[[#This Row],[Type]]="Income", Table1_1[[#This Row],[Amount]], -Table1_1[[#This Row],[Amount]])</f>
        <v>-374.26</v>
      </c>
    </row>
    <row r="814" spans="1:10" x14ac:dyDescent="0.25">
      <c r="A814" s="1">
        <v>44832</v>
      </c>
      <c r="B814" t="s">
        <v>829</v>
      </c>
      <c r="C814" t="s">
        <v>17</v>
      </c>
      <c r="D814" s="2">
        <v>842.3</v>
      </c>
      <c r="E814" t="s">
        <v>7</v>
      </c>
      <c r="F814" t="s">
        <v>1551</v>
      </c>
      <c r="G814">
        <v>2022</v>
      </c>
      <c r="H814">
        <f>IF(Table1_1[[#This Row],[Type]]="Expense", _xlfn.XLOOKUP(Table1_1[[#This Row],[Category]], Budget_Ref[Category], Budget_Ref[Monthly Budget], 0), 0)</f>
        <v>300</v>
      </c>
      <c r="I814" t="str">
        <f>IF(Table1_1[[#This Row],[Type]]="Expense", IF(Table1_1[[#This Row],[Amount]]&gt;Table1_1[[#This Row],[Monthly Budget]], "Over Budget", "OK"), "-")</f>
        <v>Over Budget</v>
      </c>
      <c r="J814">
        <f>IF(Table1_1[[#This Row],[Type]]="Income", Table1_1[[#This Row],[Amount]], -Table1_1[[#This Row],[Amount]])</f>
        <v>-842.3</v>
      </c>
    </row>
    <row r="815" spans="1:10" x14ac:dyDescent="0.25">
      <c r="A815" s="1">
        <v>44833</v>
      </c>
      <c r="B815" t="s">
        <v>830</v>
      </c>
      <c r="C815" t="s">
        <v>20</v>
      </c>
      <c r="D815" s="2">
        <v>3965</v>
      </c>
      <c r="E815" t="s">
        <v>14</v>
      </c>
      <c r="F815" t="s">
        <v>1551</v>
      </c>
      <c r="G815">
        <v>2022</v>
      </c>
      <c r="H815">
        <f>IF(Table1_1[[#This Row],[Type]]="Expense", _xlfn.XLOOKUP(Table1_1[[#This Row],[Category]], Budget_Ref[Category], Budget_Ref[Monthly Budget], 0), 0)</f>
        <v>0</v>
      </c>
      <c r="I815" t="str">
        <f>IF(Table1_1[[#This Row],[Type]]="Expense", IF(Table1_1[[#This Row],[Amount]]&gt;Table1_1[[#This Row],[Monthly Budget]], "Over Budget", "OK"), "-")</f>
        <v>-</v>
      </c>
      <c r="J815">
        <f>IF(Table1_1[[#This Row],[Type]]="Income", Table1_1[[#This Row],[Amount]], -Table1_1[[#This Row],[Amount]])</f>
        <v>3965</v>
      </c>
    </row>
    <row r="816" spans="1:10" x14ac:dyDescent="0.25">
      <c r="A816" s="1">
        <v>44833</v>
      </c>
      <c r="B816" t="s">
        <v>831</v>
      </c>
      <c r="C816" t="s">
        <v>13</v>
      </c>
      <c r="D816" s="2">
        <v>1866</v>
      </c>
      <c r="E816" t="s">
        <v>14</v>
      </c>
      <c r="F816" t="s">
        <v>1551</v>
      </c>
      <c r="G816">
        <v>2022</v>
      </c>
      <c r="H816">
        <f>IF(Table1_1[[#This Row],[Type]]="Expense", _xlfn.XLOOKUP(Table1_1[[#This Row],[Category]], Budget_Ref[Category], Budget_Ref[Monthly Budget], 0), 0)</f>
        <v>0</v>
      </c>
      <c r="I816" t="str">
        <f>IF(Table1_1[[#This Row],[Type]]="Expense", IF(Table1_1[[#This Row],[Amount]]&gt;Table1_1[[#This Row],[Monthly Budget]], "Over Budget", "OK"), "-")</f>
        <v>-</v>
      </c>
      <c r="J816">
        <f>IF(Table1_1[[#This Row],[Type]]="Income", Table1_1[[#This Row],[Amount]], -Table1_1[[#This Row],[Amount]])</f>
        <v>1866</v>
      </c>
    </row>
    <row r="817" spans="1:10" x14ac:dyDescent="0.25">
      <c r="A817" s="1">
        <v>44834</v>
      </c>
      <c r="B817" t="s">
        <v>832</v>
      </c>
      <c r="C817" t="s">
        <v>9</v>
      </c>
      <c r="D817" s="2">
        <v>382.33</v>
      </c>
      <c r="E817" t="s">
        <v>7</v>
      </c>
      <c r="F817" t="s">
        <v>1551</v>
      </c>
      <c r="G817">
        <v>2022</v>
      </c>
      <c r="H817">
        <f>IF(Table1_1[[#This Row],[Type]]="Expense", _xlfn.XLOOKUP(Table1_1[[#This Row],[Category]], Budget_Ref[Category], Budget_Ref[Monthly Budget], 0), 0)</f>
        <v>150</v>
      </c>
      <c r="I817" t="str">
        <f>IF(Table1_1[[#This Row],[Type]]="Expense", IF(Table1_1[[#This Row],[Amount]]&gt;Table1_1[[#This Row],[Monthly Budget]], "Over Budget", "OK"), "-")</f>
        <v>Over Budget</v>
      </c>
      <c r="J817">
        <f>IF(Table1_1[[#This Row],[Type]]="Income", Table1_1[[#This Row],[Amount]], -Table1_1[[#This Row],[Amount]])</f>
        <v>-382.33</v>
      </c>
    </row>
    <row r="818" spans="1:10" x14ac:dyDescent="0.25">
      <c r="A818" s="1">
        <v>44835</v>
      </c>
      <c r="B818" t="s">
        <v>833</v>
      </c>
      <c r="C818" t="s">
        <v>6</v>
      </c>
      <c r="D818" s="2">
        <v>1732.39</v>
      </c>
      <c r="E818" t="s">
        <v>7</v>
      </c>
      <c r="F818" t="s">
        <v>1552</v>
      </c>
      <c r="G818">
        <v>2022</v>
      </c>
      <c r="H818">
        <f>IF(Table1_1[[#This Row],[Type]]="Expense", _xlfn.XLOOKUP(Table1_1[[#This Row],[Category]], Budget_Ref[Category], Budget_Ref[Monthly Budget], 0), 0)</f>
        <v>500</v>
      </c>
      <c r="I818" t="str">
        <f>IF(Table1_1[[#This Row],[Type]]="Expense", IF(Table1_1[[#This Row],[Amount]]&gt;Table1_1[[#This Row],[Monthly Budget]], "Over Budget", "OK"), "-")</f>
        <v>Over Budget</v>
      </c>
      <c r="J818">
        <f>IF(Table1_1[[#This Row],[Type]]="Income", Table1_1[[#This Row],[Amount]], -Table1_1[[#This Row],[Amount]])</f>
        <v>-1732.39</v>
      </c>
    </row>
    <row r="819" spans="1:10" x14ac:dyDescent="0.25">
      <c r="A819" s="1">
        <v>44836</v>
      </c>
      <c r="B819" t="s">
        <v>834</v>
      </c>
      <c r="C819" t="s">
        <v>27</v>
      </c>
      <c r="D819" s="2">
        <v>281.7</v>
      </c>
      <c r="E819" t="s">
        <v>14</v>
      </c>
      <c r="F819" t="s">
        <v>1552</v>
      </c>
      <c r="G819">
        <v>2022</v>
      </c>
      <c r="H819">
        <f>IF(Table1_1[[#This Row],[Type]]="Expense", _xlfn.XLOOKUP(Table1_1[[#This Row],[Category]], Budget_Ref[Category], Budget_Ref[Monthly Budget], 0), 0)</f>
        <v>0</v>
      </c>
      <c r="I819" t="str">
        <f>IF(Table1_1[[#This Row],[Type]]="Expense", IF(Table1_1[[#This Row],[Amount]]&gt;Table1_1[[#This Row],[Monthly Budget]], "Over Budget", "OK"), "-")</f>
        <v>-</v>
      </c>
      <c r="J819">
        <f>IF(Table1_1[[#This Row],[Type]]="Income", Table1_1[[#This Row],[Amount]], -Table1_1[[#This Row],[Amount]])</f>
        <v>281.7</v>
      </c>
    </row>
    <row r="820" spans="1:10" x14ac:dyDescent="0.25">
      <c r="A820" s="1">
        <v>44837</v>
      </c>
      <c r="B820" t="s">
        <v>835</v>
      </c>
      <c r="C820" t="s">
        <v>27</v>
      </c>
      <c r="D820" s="2">
        <v>824.18</v>
      </c>
      <c r="E820" t="s">
        <v>14</v>
      </c>
      <c r="F820" t="s">
        <v>1552</v>
      </c>
      <c r="G820">
        <v>2022</v>
      </c>
      <c r="H820">
        <f>IF(Table1_1[[#This Row],[Type]]="Expense", _xlfn.XLOOKUP(Table1_1[[#This Row],[Category]], Budget_Ref[Category], Budget_Ref[Monthly Budget], 0), 0)</f>
        <v>0</v>
      </c>
      <c r="I820" t="str">
        <f>IF(Table1_1[[#This Row],[Type]]="Expense", IF(Table1_1[[#This Row],[Amount]]&gt;Table1_1[[#This Row],[Monthly Budget]], "Over Budget", "OK"), "-")</f>
        <v>-</v>
      </c>
      <c r="J820">
        <f>IF(Table1_1[[#This Row],[Type]]="Income", Table1_1[[#This Row],[Amount]], -Table1_1[[#This Row],[Amount]])</f>
        <v>824.18</v>
      </c>
    </row>
    <row r="821" spans="1:10" x14ac:dyDescent="0.25">
      <c r="A821" s="1">
        <v>44838</v>
      </c>
      <c r="B821" t="s">
        <v>836</v>
      </c>
      <c r="C821" t="s">
        <v>27</v>
      </c>
      <c r="D821" s="2">
        <v>982.51</v>
      </c>
      <c r="E821" t="s">
        <v>14</v>
      </c>
      <c r="F821" t="s">
        <v>1552</v>
      </c>
      <c r="G821">
        <v>2022</v>
      </c>
      <c r="H821">
        <f>IF(Table1_1[[#This Row],[Type]]="Expense", _xlfn.XLOOKUP(Table1_1[[#This Row],[Category]], Budget_Ref[Category], Budget_Ref[Monthly Budget], 0), 0)</f>
        <v>0</v>
      </c>
      <c r="I821" t="str">
        <f>IF(Table1_1[[#This Row],[Type]]="Expense", IF(Table1_1[[#This Row],[Amount]]&gt;Table1_1[[#This Row],[Monthly Budget]], "Over Budget", "OK"), "-")</f>
        <v>-</v>
      </c>
      <c r="J821">
        <f>IF(Table1_1[[#This Row],[Type]]="Income", Table1_1[[#This Row],[Amount]], -Table1_1[[#This Row],[Amount]])</f>
        <v>982.51</v>
      </c>
    </row>
    <row r="822" spans="1:10" x14ac:dyDescent="0.25">
      <c r="A822" s="1">
        <v>44838</v>
      </c>
      <c r="B822" t="s">
        <v>837</v>
      </c>
      <c r="C822" t="s">
        <v>13</v>
      </c>
      <c r="D822" s="2">
        <v>2306</v>
      </c>
      <c r="E822" t="s">
        <v>14</v>
      </c>
      <c r="F822" t="s">
        <v>1552</v>
      </c>
      <c r="G822">
        <v>2022</v>
      </c>
      <c r="H822">
        <f>IF(Table1_1[[#This Row],[Type]]="Expense", _xlfn.XLOOKUP(Table1_1[[#This Row],[Category]], Budget_Ref[Category], Budget_Ref[Monthly Budget], 0), 0)</f>
        <v>0</v>
      </c>
      <c r="I822" t="str">
        <f>IF(Table1_1[[#This Row],[Type]]="Expense", IF(Table1_1[[#This Row],[Amount]]&gt;Table1_1[[#This Row],[Monthly Budget]], "Over Budget", "OK"), "-")</f>
        <v>-</v>
      </c>
      <c r="J822">
        <f>IF(Table1_1[[#This Row],[Type]]="Income", Table1_1[[#This Row],[Amount]], -Table1_1[[#This Row],[Amount]])</f>
        <v>2306</v>
      </c>
    </row>
    <row r="823" spans="1:10" x14ac:dyDescent="0.25">
      <c r="A823" s="1">
        <v>44839</v>
      </c>
      <c r="B823" t="s">
        <v>838</v>
      </c>
      <c r="C823" t="s">
        <v>35</v>
      </c>
      <c r="D823" s="2">
        <v>457.44</v>
      </c>
      <c r="E823" t="s">
        <v>7</v>
      </c>
      <c r="F823" t="s">
        <v>1552</v>
      </c>
      <c r="G823">
        <v>2022</v>
      </c>
      <c r="H823">
        <f>IF(Table1_1[[#This Row],[Type]]="Expense", _xlfn.XLOOKUP(Table1_1[[#This Row],[Category]], Budget_Ref[Category], Budget_Ref[Monthly Budget], 0), 0)</f>
        <v>200</v>
      </c>
      <c r="I823" t="str">
        <f>IF(Table1_1[[#This Row],[Type]]="Expense", IF(Table1_1[[#This Row],[Amount]]&gt;Table1_1[[#This Row],[Monthly Budget]], "Over Budget", "OK"), "-")</f>
        <v>Over Budget</v>
      </c>
      <c r="J823">
        <f>IF(Table1_1[[#This Row],[Type]]="Income", Table1_1[[#This Row],[Amount]], -Table1_1[[#This Row],[Amount]])</f>
        <v>-457.44</v>
      </c>
    </row>
    <row r="824" spans="1:10" x14ac:dyDescent="0.25">
      <c r="A824" s="1">
        <v>44842</v>
      </c>
      <c r="B824" t="s">
        <v>839</v>
      </c>
      <c r="C824" t="s">
        <v>27</v>
      </c>
      <c r="D824" s="2">
        <v>1135.6400000000001</v>
      </c>
      <c r="E824" t="s">
        <v>14</v>
      </c>
      <c r="F824" t="s">
        <v>1552</v>
      </c>
      <c r="G824">
        <v>2022</v>
      </c>
      <c r="H824">
        <f>IF(Table1_1[[#This Row],[Type]]="Expense", _xlfn.XLOOKUP(Table1_1[[#This Row],[Category]], Budget_Ref[Category], Budget_Ref[Monthly Budget], 0), 0)</f>
        <v>0</v>
      </c>
      <c r="I824" t="str">
        <f>IF(Table1_1[[#This Row],[Type]]="Expense", IF(Table1_1[[#This Row],[Amount]]&gt;Table1_1[[#This Row],[Monthly Budget]], "Over Budget", "OK"), "-")</f>
        <v>-</v>
      </c>
      <c r="J824">
        <f>IF(Table1_1[[#This Row],[Type]]="Income", Table1_1[[#This Row],[Amount]], -Table1_1[[#This Row],[Amount]])</f>
        <v>1135.6400000000001</v>
      </c>
    </row>
    <row r="825" spans="1:10" x14ac:dyDescent="0.25">
      <c r="A825" s="1">
        <v>44844</v>
      </c>
      <c r="B825" t="s">
        <v>840</v>
      </c>
      <c r="C825" t="s">
        <v>27</v>
      </c>
      <c r="D825" s="2">
        <v>1103.96</v>
      </c>
      <c r="E825" t="s">
        <v>14</v>
      </c>
      <c r="F825" t="s">
        <v>1552</v>
      </c>
      <c r="G825">
        <v>2022</v>
      </c>
      <c r="H825">
        <f>IF(Table1_1[[#This Row],[Type]]="Expense", _xlfn.XLOOKUP(Table1_1[[#This Row],[Category]], Budget_Ref[Category], Budget_Ref[Monthly Budget], 0), 0)</f>
        <v>0</v>
      </c>
      <c r="I825" t="str">
        <f>IF(Table1_1[[#This Row],[Type]]="Expense", IF(Table1_1[[#This Row],[Amount]]&gt;Table1_1[[#This Row],[Monthly Budget]], "Over Budget", "OK"), "-")</f>
        <v>-</v>
      </c>
      <c r="J825">
        <f>IF(Table1_1[[#This Row],[Type]]="Income", Table1_1[[#This Row],[Amount]], -Table1_1[[#This Row],[Amount]])</f>
        <v>1103.96</v>
      </c>
    </row>
    <row r="826" spans="1:10" x14ac:dyDescent="0.25">
      <c r="A826" s="1">
        <v>44846</v>
      </c>
      <c r="B826" t="s">
        <v>841</v>
      </c>
      <c r="C826" t="s">
        <v>13</v>
      </c>
      <c r="D826" s="2">
        <v>2694</v>
      </c>
      <c r="E826" t="s">
        <v>14</v>
      </c>
      <c r="F826" t="s">
        <v>1552</v>
      </c>
      <c r="G826">
        <v>2022</v>
      </c>
      <c r="H826">
        <f>IF(Table1_1[[#This Row],[Type]]="Expense", _xlfn.XLOOKUP(Table1_1[[#This Row],[Category]], Budget_Ref[Category], Budget_Ref[Monthly Budget], 0), 0)</f>
        <v>0</v>
      </c>
      <c r="I826" t="str">
        <f>IF(Table1_1[[#This Row],[Type]]="Expense", IF(Table1_1[[#This Row],[Amount]]&gt;Table1_1[[#This Row],[Monthly Budget]], "Over Budget", "OK"), "-")</f>
        <v>-</v>
      </c>
      <c r="J826">
        <f>IF(Table1_1[[#This Row],[Type]]="Income", Table1_1[[#This Row],[Amount]], -Table1_1[[#This Row],[Amount]])</f>
        <v>2694</v>
      </c>
    </row>
    <row r="827" spans="1:10" x14ac:dyDescent="0.25">
      <c r="A827" s="1">
        <v>44846</v>
      </c>
      <c r="B827" t="s">
        <v>842</v>
      </c>
      <c r="C827" t="s">
        <v>25</v>
      </c>
      <c r="D827" s="2">
        <v>1088.67</v>
      </c>
      <c r="E827" t="s">
        <v>7</v>
      </c>
      <c r="F827" t="s">
        <v>1552</v>
      </c>
      <c r="G827">
        <v>2022</v>
      </c>
      <c r="H827">
        <f>IF(Table1_1[[#This Row],[Type]]="Expense", _xlfn.XLOOKUP(Table1_1[[#This Row],[Category]], Budget_Ref[Category], Budget_Ref[Monthly Budget], 0), 0)</f>
        <v>150</v>
      </c>
      <c r="I827" t="str">
        <f>IF(Table1_1[[#This Row],[Type]]="Expense", IF(Table1_1[[#This Row],[Amount]]&gt;Table1_1[[#This Row],[Monthly Budget]], "Over Budget", "OK"), "-")</f>
        <v>Over Budget</v>
      </c>
      <c r="J827">
        <f>IF(Table1_1[[#This Row],[Type]]="Income", Table1_1[[#This Row],[Amount]], -Table1_1[[#This Row],[Amount]])</f>
        <v>-1088.67</v>
      </c>
    </row>
    <row r="828" spans="1:10" x14ac:dyDescent="0.25">
      <c r="A828" s="1">
        <v>44847</v>
      </c>
      <c r="B828" t="s">
        <v>843</v>
      </c>
      <c r="C828" t="s">
        <v>27</v>
      </c>
      <c r="D828" s="2">
        <v>1097.24</v>
      </c>
      <c r="E828" t="s">
        <v>14</v>
      </c>
      <c r="F828" t="s">
        <v>1552</v>
      </c>
      <c r="G828">
        <v>2022</v>
      </c>
      <c r="H828">
        <f>IF(Table1_1[[#This Row],[Type]]="Expense", _xlfn.XLOOKUP(Table1_1[[#This Row],[Category]], Budget_Ref[Category], Budget_Ref[Monthly Budget], 0), 0)</f>
        <v>0</v>
      </c>
      <c r="I828" t="str">
        <f>IF(Table1_1[[#This Row],[Type]]="Expense", IF(Table1_1[[#This Row],[Amount]]&gt;Table1_1[[#This Row],[Monthly Budget]], "Over Budget", "OK"), "-")</f>
        <v>-</v>
      </c>
      <c r="J828">
        <f>IF(Table1_1[[#This Row],[Type]]="Income", Table1_1[[#This Row],[Amount]], -Table1_1[[#This Row],[Amount]])</f>
        <v>1097.24</v>
      </c>
    </row>
    <row r="829" spans="1:10" x14ac:dyDescent="0.25">
      <c r="A829" s="1">
        <v>44853</v>
      </c>
      <c r="B829" t="s">
        <v>844</v>
      </c>
      <c r="C829" t="s">
        <v>11</v>
      </c>
      <c r="D829" s="2">
        <v>1474.62</v>
      </c>
      <c r="E829" t="s">
        <v>7</v>
      </c>
      <c r="F829" t="s">
        <v>1552</v>
      </c>
      <c r="G829">
        <v>2022</v>
      </c>
      <c r="H829">
        <f>IF(Table1_1[[#This Row],[Type]]="Expense", _xlfn.XLOOKUP(Table1_1[[#This Row],[Category]], Budget_Ref[Category], Budget_Ref[Monthly Budget], 0), 0)</f>
        <v>1500</v>
      </c>
      <c r="I829" t="str">
        <f>IF(Table1_1[[#This Row],[Type]]="Expense", IF(Table1_1[[#This Row],[Amount]]&gt;Table1_1[[#This Row],[Monthly Budget]], "Over Budget", "OK"), "-")</f>
        <v>OK</v>
      </c>
      <c r="J829">
        <f>IF(Table1_1[[#This Row],[Type]]="Income", Table1_1[[#This Row],[Amount]], -Table1_1[[#This Row],[Amount]])</f>
        <v>-1474.62</v>
      </c>
    </row>
    <row r="830" spans="1:10" x14ac:dyDescent="0.25">
      <c r="A830" s="1">
        <v>44853</v>
      </c>
      <c r="B830" t="s">
        <v>845</v>
      </c>
      <c r="C830" t="s">
        <v>22</v>
      </c>
      <c r="D830" s="2">
        <v>602.44000000000005</v>
      </c>
      <c r="E830" t="s">
        <v>7</v>
      </c>
      <c r="F830" t="s">
        <v>1552</v>
      </c>
      <c r="G830">
        <v>2022</v>
      </c>
      <c r="H830">
        <f>IF(Table1_1[[#This Row],[Type]]="Expense", _xlfn.XLOOKUP(Table1_1[[#This Row],[Category]], Budget_Ref[Category], Budget_Ref[Monthly Budget], 0), 0)</f>
        <v>200</v>
      </c>
      <c r="I830" t="str">
        <f>IF(Table1_1[[#This Row],[Type]]="Expense", IF(Table1_1[[#This Row],[Amount]]&gt;Table1_1[[#This Row],[Monthly Budget]], "Over Budget", "OK"), "-")</f>
        <v>Over Budget</v>
      </c>
      <c r="J830">
        <f>IF(Table1_1[[#This Row],[Type]]="Income", Table1_1[[#This Row],[Amount]], -Table1_1[[#This Row],[Amount]])</f>
        <v>-602.44000000000005</v>
      </c>
    </row>
    <row r="831" spans="1:10" x14ac:dyDescent="0.25">
      <c r="A831" s="1">
        <v>44854</v>
      </c>
      <c r="B831" t="s">
        <v>846</v>
      </c>
      <c r="C831" t="s">
        <v>27</v>
      </c>
      <c r="D831" s="2">
        <v>533</v>
      </c>
      <c r="E831" t="s">
        <v>14</v>
      </c>
      <c r="F831" t="s">
        <v>1552</v>
      </c>
      <c r="G831">
        <v>2022</v>
      </c>
      <c r="H831">
        <f>IF(Table1_1[[#This Row],[Type]]="Expense", _xlfn.XLOOKUP(Table1_1[[#This Row],[Category]], Budget_Ref[Category], Budget_Ref[Monthly Budget], 0), 0)</f>
        <v>0</v>
      </c>
      <c r="I831" t="str">
        <f>IF(Table1_1[[#This Row],[Type]]="Expense", IF(Table1_1[[#This Row],[Amount]]&gt;Table1_1[[#This Row],[Monthly Budget]], "Over Budget", "OK"), "-")</f>
        <v>-</v>
      </c>
      <c r="J831">
        <f>IF(Table1_1[[#This Row],[Type]]="Income", Table1_1[[#This Row],[Amount]], -Table1_1[[#This Row],[Amount]])</f>
        <v>533</v>
      </c>
    </row>
    <row r="832" spans="1:10" x14ac:dyDescent="0.25">
      <c r="A832" s="1">
        <v>44855</v>
      </c>
      <c r="B832" t="s">
        <v>847</v>
      </c>
      <c r="C832" t="s">
        <v>11</v>
      </c>
      <c r="D832" s="2">
        <v>883.75</v>
      </c>
      <c r="E832" t="s">
        <v>7</v>
      </c>
      <c r="F832" t="s">
        <v>1552</v>
      </c>
      <c r="G832">
        <v>2022</v>
      </c>
      <c r="H832">
        <f>IF(Table1_1[[#This Row],[Type]]="Expense", _xlfn.XLOOKUP(Table1_1[[#This Row],[Category]], Budget_Ref[Category], Budget_Ref[Monthly Budget], 0), 0)</f>
        <v>1500</v>
      </c>
      <c r="I832" t="str">
        <f>IF(Table1_1[[#This Row],[Type]]="Expense", IF(Table1_1[[#This Row],[Amount]]&gt;Table1_1[[#This Row],[Monthly Budget]], "Over Budget", "OK"), "-")</f>
        <v>OK</v>
      </c>
      <c r="J832">
        <f>IF(Table1_1[[#This Row],[Type]]="Income", Table1_1[[#This Row],[Amount]], -Table1_1[[#This Row],[Amount]])</f>
        <v>-883.75</v>
      </c>
    </row>
    <row r="833" spans="1:10" x14ac:dyDescent="0.25">
      <c r="A833" s="1">
        <v>44856</v>
      </c>
      <c r="B833" t="s">
        <v>848</v>
      </c>
      <c r="C833" t="s">
        <v>22</v>
      </c>
      <c r="D833" s="2">
        <v>427.66</v>
      </c>
      <c r="E833" t="s">
        <v>7</v>
      </c>
      <c r="F833" t="s">
        <v>1552</v>
      </c>
      <c r="G833">
        <v>2022</v>
      </c>
      <c r="H833">
        <f>IF(Table1_1[[#This Row],[Type]]="Expense", _xlfn.XLOOKUP(Table1_1[[#This Row],[Category]], Budget_Ref[Category], Budget_Ref[Monthly Budget], 0), 0)</f>
        <v>200</v>
      </c>
      <c r="I833" t="str">
        <f>IF(Table1_1[[#This Row],[Type]]="Expense", IF(Table1_1[[#This Row],[Amount]]&gt;Table1_1[[#This Row],[Monthly Budget]], "Over Budget", "OK"), "-")</f>
        <v>Over Budget</v>
      </c>
      <c r="J833">
        <f>IF(Table1_1[[#This Row],[Type]]="Income", Table1_1[[#This Row],[Amount]], -Table1_1[[#This Row],[Amount]])</f>
        <v>-427.66</v>
      </c>
    </row>
    <row r="834" spans="1:10" x14ac:dyDescent="0.25">
      <c r="A834" s="1">
        <v>44857</v>
      </c>
      <c r="B834" t="s">
        <v>849</v>
      </c>
      <c r="C834" t="s">
        <v>25</v>
      </c>
      <c r="D834" s="2">
        <v>1723.49</v>
      </c>
      <c r="E834" t="s">
        <v>7</v>
      </c>
      <c r="F834" t="s">
        <v>1552</v>
      </c>
      <c r="G834">
        <v>2022</v>
      </c>
      <c r="H834">
        <f>IF(Table1_1[[#This Row],[Type]]="Expense", _xlfn.XLOOKUP(Table1_1[[#This Row],[Category]], Budget_Ref[Category], Budget_Ref[Monthly Budget], 0), 0)</f>
        <v>150</v>
      </c>
      <c r="I834" t="str">
        <f>IF(Table1_1[[#This Row],[Type]]="Expense", IF(Table1_1[[#This Row],[Amount]]&gt;Table1_1[[#This Row],[Monthly Budget]], "Over Budget", "OK"), "-")</f>
        <v>Over Budget</v>
      </c>
      <c r="J834">
        <f>IF(Table1_1[[#This Row],[Type]]="Income", Table1_1[[#This Row],[Amount]], -Table1_1[[#This Row],[Amount]])</f>
        <v>-1723.49</v>
      </c>
    </row>
    <row r="835" spans="1:10" x14ac:dyDescent="0.25">
      <c r="A835" s="1">
        <v>44859</v>
      </c>
      <c r="B835" t="s">
        <v>850</v>
      </c>
      <c r="C835" t="s">
        <v>17</v>
      </c>
      <c r="D835" s="2">
        <v>340.3</v>
      </c>
      <c r="E835" t="s">
        <v>7</v>
      </c>
      <c r="F835" t="s">
        <v>1552</v>
      </c>
      <c r="G835">
        <v>2022</v>
      </c>
      <c r="H835">
        <f>IF(Table1_1[[#This Row],[Type]]="Expense", _xlfn.XLOOKUP(Table1_1[[#This Row],[Category]], Budget_Ref[Category], Budget_Ref[Monthly Budget], 0), 0)</f>
        <v>300</v>
      </c>
      <c r="I835" t="str">
        <f>IF(Table1_1[[#This Row],[Type]]="Expense", IF(Table1_1[[#This Row],[Amount]]&gt;Table1_1[[#This Row],[Monthly Budget]], "Over Budget", "OK"), "-")</f>
        <v>Over Budget</v>
      </c>
      <c r="J835">
        <f>IF(Table1_1[[#This Row],[Type]]="Income", Table1_1[[#This Row],[Amount]], -Table1_1[[#This Row],[Amount]])</f>
        <v>-340.3</v>
      </c>
    </row>
    <row r="836" spans="1:10" x14ac:dyDescent="0.25">
      <c r="A836" s="1">
        <v>44862</v>
      </c>
      <c r="B836" t="s">
        <v>851</v>
      </c>
      <c r="C836" t="s">
        <v>13</v>
      </c>
      <c r="D836" s="2">
        <v>2195</v>
      </c>
      <c r="E836" t="s">
        <v>14</v>
      </c>
      <c r="F836" t="s">
        <v>1552</v>
      </c>
      <c r="G836">
        <v>2022</v>
      </c>
      <c r="H836">
        <f>IF(Table1_1[[#This Row],[Type]]="Expense", _xlfn.XLOOKUP(Table1_1[[#This Row],[Category]], Budget_Ref[Category], Budget_Ref[Monthly Budget], 0), 0)</f>
        <v>0</v>
      </c>
      <c r="I836" t="str">
        <f>IF(Table1_1[[#This Row],[Type]]="Expense", IF(Table1_1[[#This Row],[Amount]]&gt;Table1_1[[#This Row],[Monthly Budget]], "Over Budget", "OK"), "-")</f>
        <v>-</v>
      </c>
      <c r="J836">
        <f>IF(Table1_1[[#This Row],[Type]]="Income", Table1_1[[#This Row],[Amount]], -Table1_1[[#This Row],[Amount]])</f>
        <v>2195</v>
      </c>
    </row>
    <row r="837" spans="1:10" x14ac:dyDescent="0.25">
      <c r="A837" s="1">
        <v>44864</v>
      </c>
      <c r="B837" t="s">
        <v>852</v>
      </c>
      <c r="C837" t="s">
        <v>25</v>
      </c>
      <c r="D837" s="2">
        <v>1069.24</v>
      </c>
      <c r="E837" t="s">
        <v>7</v>
      </c>
      <c r="F837" t="s">
        <v>1552</v>
      </c>
      <c r="G837">
        <v>2022</v>
      </c>
      <c r="H837">
        <f>IF(Table1_1[[#This Row],[Type]]="Expense", _xlfn.XLOOKUP(Table1_1[[#This Row],[Category]], Budget_Ref[Category], Budget_Ref[Monthly Budget], 0), 0)</f>
        <v>150</v>
      </c>
      <c r="I837" t="str">
        <f>IF(Table1_1[[#This Row],[Type]]="Expense", IF(Table1_1[[#This Row],[Amount]]&gt;Table1_1[[#This Row],[Monthly Budget]], "Over Budget", "OK"), "-")</f>
        <v>Over Budget</v>
      </c>
      <c r="J837">
        <f>IF(Table1_1[[#This Row],[Type]]="Income", Table1_1[[#This Row],[Amount]], -Table1_1[[#This Row],[Amount]])</f>
        <v>-1069.24</v>
      </c>
    </row>
    <row r="838" spans="1:10" x14ac:dyDescent="0.25">
      <c r="A838" s="1">
        <v>44865</v>
      </c>
      <c r="B838" t="s">
        <v>853</v>
      </c>
      <c r="C838" t="s">
        <v>9</v>
      </c>
      <c r="D838" s="2">
        <v>654.07000000000005</v>
      </c>
      <c r="E838" t="s">
        <v>7</v>
      </c>
      <c r="F838" t="s">
        <v>1552</v>
      </c>
      <c r="G838">
        <v>2022</v>
      </c>
      <c r="H838">
        <f>IF(Table1_1[[#This Row],[Type]]="Expense", _xlfn.XLOOKUP(Table1_1[[#This Row],[Category]], Budget_Ref[Category], Budget_Ref[Monthly Budget], 0), 0)</f>
        <v>150</v>
      </c>
      <c r="I838" t="str">
        <f>IF(Table1_1[[#This Row],[Type]]="Expense", IF(Table1_1[[#This Row],[Amount]]&gt;Table1_1[[#This Row],[Monthly Budget]], "Over Budget", "OK"), "-")</f>
        <v>Over Budget</v>
      </c>
      <c r="J838">
        <f>IF(Table1_1[[#This Row],[Type]]="Income", Table1_1[[#This Row],[Amount]], -Table1_1[[#This Row],[Amount]])</f>
        <v>-654.07000000000005</v>
      </c>
    </row>
    <row r="839" spans="1:10" x14ac:dyDescent="0.25">
      <c r="A839" s="1">
        <v>44868</v>
      </c>
      <c r="B839" t="s">
        <v>854</v>
      </c>
      <c r="C839" t="s">
        <v>35</v>
      </c>
      <c r="D839" s="2">
        <v>1149.74</v>
      </c>
      <c r="E839" t="s">
        <v>7</v>
      </c>
      <c r="F839" t="s">
        <v>1553</v>
      </c>
      <c r="G839">
        <v>2022</v>
      </c>
      <c r="H839">
        <f>IF(Table1_1[[#This Row],[Type]]="Expense", _xlfn.XLOOKUP(Table1_1[[#This Row],[Category]], Budget_Ref[Category], Budget_Ref[Monthly Budget], 0), 0)</f>
        <v>200</v>
      </c>
      <c r="I839" t="str">
        <f>IF(Table1_1[[#This Row],[Type]]="Expense", IF(Table1_1[[#This Row],[Amount]]&gt;Table1_1[[#This Row],[Monthly Budget]], "Over Budget", "OK"), "-")</f>
        <v>Over Budget</v>
      </c>
      <c r="J839">
        <f>IF(Table1_1[[#This Row],[Type]]="Income", Table1_1[[#This Row],[Amount]], -Table1_1[[#This Row],[Amount]])</f>
        <v>-1149.74</v>
      </c>
    </row>
    <row r="840" spans="1:10" x14ac:dyDescent="0.25">
      <c r="A840" s="1">
        <v>44869</v>
      </c>
      <c r="B840" t="s">
        <v>855</v>
      </c>
      <c r="C840" t="s">
        <v>11</v>
      </c>
      <c r="D840" s="2">
        <v>279.82</v>
      </c>
      <c r="E840" t="s">
        <v>7</v>
      </c>
      <c r="F840" t="s">
        <v>1553</v>
      </c>
      <c r="G840">
        <v>2022</v>
      </c>
      <c r="H840">
        <f>IF(Table1_1[[#This Row],[Type]]="Expense", _xlfn.XLOOKUP(Table1_1[[#This Row],[Category]], Budget_Ref[Category], Budget_Ref[Monthly Budget], 0), 0)</f>
        <v>1500</v>
      </c>
      <c r="I840" t="str">
        <f>IF(Table1_1[[#This Row],[Type]]="Expense", IF(Table1_1[[#This Row],[Amount]]&gt;Table1_1[[#This Row],[Monthly Budget]], "Over Budget", "OK"), "-")</f>
        <v>OK</v>
      </c>
      <c r="J840">
        <f>IF(Table1_1[[#This Row],[Type]]="Income", Table1_1[[#This Row],[Amount]], -Table1_1[[#This Row],[Amount]])</f>
        <v>-279.82</v>
      </c>
    </row>
    <row r="841" spans="1:10" x14ac:dyDescent="0.25">
      <c r="A841" s="1">
        <v>44870</v>
      </c>
      <c r="B841" t="s">
        <v>856</v>
      </c>
      <c r="C841" t="s">
        <v>17</v>
      </c>
      <c r="D841" s="2">
        <v>1838.35</v>
      </c>
      <c r="E841" t="s">
        <v>7</v>
      </c>
      <c r="F841" t="s">
        <v>1553</v>
      </c>
      <c r="G841">
        <v>2022</v>
      </c>
      <c r="H841">
        <f>IF(Table1_1[[#This Row],[Type]]="Expense", _xlfn.XLOOKUP(Table1_1[[#This Row],[Category]], Budget_Ref[Category], Budget_Ref[Monthly Budget], 0), 0)</f>
        <v>300</v>
      </c>
      <c r="I841" t="str">
        <f>IF(Table1_1[[#This Row],[Type]]="Expense", IF(Table1_1[[#This Row],[Amount]]&gt;Table1_1[[#This Row],[Monthly Budget]], "Over Budget", "OK"), "-")</f>
        <v>Over Budget</v>
      </c>
      <c r="J841">
        <f>IF(Table1_1[[#This Row],[Type]]="Income", Table1_1[[#This Row],[Amount]], -Table1_1[[#This Row],[Amount]])</f>
        <v>-1838.35</v>
      </c>
    </row>
    <row r="842" spans="1:10" x14ac:dyDescent="0.25">
      <c r="A842" s="1">
        <v>44872</v>
      </c>
      <c r="B842" t="s">
        <v>857</v>
      </c>
      <c r="C842" t="s">
        <v>9</v>
      </c>
      <c r="D842" s="2">
        <v>1405.84</v>
      </c>
      <c r="E842" t="s">
        <v>7</v>
      </c>
      <c r="F842" t="s">
        <v>1553</v>
      </c>
      <c r="G842">
        <v>2022</v>
      </c>
      <c r="H842">
        <f>IF(Table1_1[[#This Row],[Type]]="Expense", _xlfn.XLOOKUP(Table1_1[[#This Row],[Category]], Budget_Ref[Category], Budget_Ref[Monthly Budget], 0), 0)</f>
        <v>150</v>
      </c>
      <c r="I842" t="str">
        <f>IF(Table1_1[[#This Row],[Type]]="Expense", IF(Table1_1[[#This Row],[Amount]]&gt;Table1_1[[#This Row],[Monthly Budget]], "Over Budget", "OK"), "-")</f>
        <v>Over Budget</v>
      </c>
      <c r="J842">
        <f>IF(Table1_1[[#This Row],[Type]]="Income", Table1_1[[#This Row],[Amount]], -Table1_1[[#This Row],[Amount]])</f>
        <v>-1405.84</v>
      </c>
    </row>
    <row r="843" spans="1:10" x14ac:dyDescent="0.25">
      <c r="A843" s="1">
        <v>44872</v>
      </c>
      <c r="B843" t="s">
        <v>858</v>
      </c>
      <c r="C843" t="s">
        <v>13</v>
      </c>
      <c r="D843" s="2">
        <v>3138</v>
      </c>
      <c r="E843" t="s">
        <v>14</v>
      </c>
      <c r="F843" t="s">
        <v>1553</v>
      </c>
      <c r="G843">
        <v>2022</v>
      </c>
      <c r="H843">
        <f>IF(Table1_1[[#This Row],[Type]]="Expense", _xlfn.XLOOKUP(Table1_1[[#This Row],[Category]], Budget_Ref[Category], Budget_Ref[Monthly Budget], 0), 0)</f>
        <v>0</v>
      </c>
      <c r="I843" t="str">
        <f>IF(Table1_1[[#This Row],[Type]]="Expense", IF(Table1_1[[#This Row],[Amount]]&gt;Table1_1[[#This Row],[Monthly Budget]], "Over Budget", "OK"), "-")</f>
        <v>-</v>
      </c>
      <c r="J843">
        <f>IF(Table1_1[[#This Row],[Type]]="Income", Table1_1[[#This Row],[Amount]], -Table1_1[[#This Row],[Amount]])</f>
        <v>3138</v>
      </c>
    </row>
    <row r="844" spans="1:10" x14ac:dyDescent="0.25">
      <c r="A844" s="1">
        <v>44874</v>
      </c>
      <c r="B844" t="s">
        <v>859</v>
      </c>
      <c r="C844" t="s">
        <v>17</v>
      </c>
      <c r="D844" s="2">
        <v>984.02</v>
      </c>
      <c r="E844" t="s">
        <v>7</v>
      </c>
      <c r="F844" t="s">
        <v>1553</v>
      </c>
      <c r="G844">
        <v>2022</v>
      </c>
      <c r="H844">
        <f>IF(Table1_1[[#This Row],[Type]]="Expense", _xlfn.XLOOKUP(Table1_1[[#This Row],[Category]], Budget_Ref[Category], Budget_Ref[Monthly Budget], 0), 0)</f>
        <v>300</v>
      </c>
      <c r="I844" t="str">
        <f>IF(Table1_1[[#This Row],[Type]]="Expense", IF(Table1_1[[#This Row],[Amount]]&gt;Table1_1[[#This Row],[Monthly Budget]], "Over Budget", "OK"), "-")</f>
        <v>Over Budget</v>
      </c>
      <c r="J844">
        <f>IF(Table1_1[[#This Row],[Type]]="Income", Table1_1[[#This Row],[Amount]], -Table1_1[[#This Row],[Amount]])</f>
        <v>-984.02</v>
      </c>
    </row>
    <row r="845" spans="1:10" x14ac:dyDescent="0.25">
      <c r="A845" s="1">
        <v>44875</v>
      </c>
      <c r="B845" t="s">
        <v>860</v>
      </c>
      <c r="C845" t="s">
        <v>35</v>
      </c>
      <c r="D845" s="2">
        <v>1259.3499999999999</v>
      </c>
      <c r="E845" t="s">
        <v>7</v>
      </c>
      <c r="F845" t="s">
        <v>1553</v>
      </c>
      <c r="G845">
        <v>2022</v>
      </c>
      <c r="H845">
        <f>IF(Table1_1[[#This Row],[Type]]="Expense", _xlfn.XLOOKUP(Table1_1[[#This Row],[Category]], Budget_Ref[Category], Budget_Ref[Monthly Budget], 0), 0)</f>
        <v>200</v>
      </c>
      <c r="I845" t="str">
        <f>IF(Table1_1[[#This Row],[Type]]="Expense", IF(Table1_1[[#This Row],[Amount]]&gt;Table1_1[[#This Row],[Monthly Budget]], "Over Budget", "OK"), "-")</f>
        <v>Over Budget</v>
      </c>
      <c r="J845">
        <f>IF(Table1_1[[#This Row],[Type]]="Income", Table1_1[[#This Row],[Amount]], -Table1_1[[#This Row],[Amount]])</f>
        <v>-1259.3499999999999</v>
      </c>
    </row>
    <row r="846" spans="1:10" x14ac:dyDescent="0.25">
      <c r="A846" s="1">
        <v>44878</v>
      </c>
      <c r="B846" t="s">
        <v>861</v>
      </c>
      <c r="C846" t="s">
        <v>11</v>
      </c>
      <c r="D846" s="2">
        <v>1270.92</v>
      </c>
      <c r="E846" t="s">
        <v>7</v>
      </c>
      <c r="F846" t="s">
        <v>1553</v>
      </c>
      <c r="G846">
        <v>2022</v>
      </c>
      <c r="H846">
        <f>IF(Table1_1[[#This Row],[Type]]="Expense", _xlfn.XLOOKUP(Table1_1[[#This Row],[Category]], Budget_Ref[Category], Budget_Ref[Monthly Budget], 0), 0)</f>
        <v>1500</v>
      </c>
      <c r="I846" t="str">
        <f>IF(Table1_1[[#This Row],[Type]]="Expense", IF(Table1_1[[#This Row],[Amount]]&gt;Table1_1[[#This Row],[Monthly Budget]], "Over Budget", "OK"), "-")</f>
        <v>OK</v>
      </c>
      <c r="J846">
        <f>IF(Table1_1[[#This Row],[Type]]="Income", Table1_1[[#This Row],[Amount]], -Table1_1[[#This Row],[Amount]])</f>
        <v>-1270.92</v>
      </c>
    </row>
    <row r="847" spans="1:10" x14ac:dyDescent="0.25">
      <c r="A847" s="1">
        <v>44879</v>
      </c>
      <c r="B847" t="s">
        <v>862</v>
      </c>
      <c r="C847" t="s">
        <v>11</v>
      </c>
      <c r="D847" s="2">
        <v>811.67</v>
      </c>
      <c r="E847" t="s">
        <v>7</v>
      </c>
      <c r="F847" t="s">
        <v>1553</v>
      </c>
      <c r="G847">
        <v>2022</v>
      </c>
      <c r="H847">
        <f>IF(Table1_1[[#This Row],[Type]]="Expense", _xlfn.XLOOKUP(Table1_1[[#This Row],[Category]], Budget_Ref[Category], Budget_Ref[Monthly Budget], 0), 0)</f>
        <v>1500</v>
      </c>
      <c r="I847" t="str">
        <f>IF(Table1_1[[#This Row],[Type]]="Expense", IF(Table1_1[[#This Row],[Amount]]&gt;Table1_1[[#This Row],[Monthly Budget]], "Over Budget", "OK"), "-")</f>
        <v>OK</v>
      </c>
      <c r="J847">
        <f>IF(Table1_1[[#This Row],[Type]]="Income", Table1_1[[#This Row],[Amount]], -Table1_1[[#This Row],[Amount]])</f>
        <v>-811.67</v>
      </c>
    </row>
    <row r="848" spans="1:10" x14ac:dyDescent="0.25">
      <c r="A848" s="1">
        <v>44879</v>
      </c>
      <c r="B848" t="s">
        <v>863</v>
      </c>
      <c r="C848" t="s">
        <v>25</v>
      </c>
      <c r="D848" s="2">
        <v>914.84</v>
      </c>
      <c r="E848" t="s">
        <v>7</v>
      </c>
      <c r="F848" t="s">
        <v>1553</v>
      </c>
      <c r="G848">
        <v>2022</v>
      </c>
      <c r="H848">
        <f>IF(Table1_1[[#This Row],[Type]]="Expense", _xlfn.XLOOKUP(Table1_1[[#This Row],[Category]], Budget_Ref[Category], Budget_Ref[Monthly Budget], 0), 0)</f>
        <v>150</v>
      </c>
      <c r="I848" t="str">
        <f>IF(Table1_1[[#This Row],[Type]]="Expense", IF(Table1_1[[#This Row],[Amount]]&gt;Table1_1[[#This Row],[Monthly Budget]], "Over Budget", "OK"), "-")</f>
        <v>Over Budget</v>
      </c>
      <c r="J848">
        <f>IF(Table1_1[[#This Row],[Type]]="Income", Table1_1[[#This Row],[Amount]], -Table1_1[[#This Row],[Amount]])</f>
        <v>-914.84</v>
      </c>
    </row>
    <row r="849" spans="1:10" x14ac:dyDescent="0.25">
      <c r="A849" s="1">
        <v>44880</v>
      </c>
      <c r="B849" t="s">
        <v>864</v>
      </c>
      <c r="C849" t="s">
        <v>6</v>
      </c>
      <c r="D849" s="2">
        <v>1739.13</v>
      </c>
      <c r="E849" t="s">
        <v>7</v>
      </c>
      <c r="F849" t="s">
        <v>1553</v>
      </c>
      <c r="G849">
        <v>2022</v>
      </c>
      <c r="H849">
        <f>IF(Table1_1[[#This Row],[Type]]="Expense", _xlfn.XLOOKUP(Table1_1[[#This Row],[Category]], Budget_Ref[Category], Budget_Ref[Monthly Budget], 0), 0)</f>
        <v>500</v>
      </c>
      <c r="I849" t="str">
        <f>IF(Table1_1[[#This Row],[Type]]="Expense", IF(Table1_1[[#This Row],[Amount]]&gt;Table1_1[[#This Row],[Monthly Budget]], "Over Budget", "OK"), "-")</f>
        <v>Over Budget</v>
      </c>
      <c r="J849">
        <f>IF(Table1_1[[#This Row],[Type]]="Income", Table1_1[[#This Row],[Amount]], -Table1_1[[#This Row],[Amount]])</f>
        <v>-1739.13</v>
      </c>
    </row>
    <row r="850" spans="1:10" x14ac:dyDescent="0.25">
      <c r="A850" s="1">
        <v>44882</v>
      </c>
      <c r="B850" t="s">
        <v>865</v>
      </c>
      <c r="C850" t="s">
        <v>11</v>
      </c>
      <c r="D850" s="2">
        <v>1464.55</v>
      </c>
      <c r="E850" t="s">
        <v>7</v>
      </c>
      <c r="F850" t="s">
        <v>1553</v>
      </c>
      <c r="G850">
        <v>2022</v>
      </c>
      <c r="H850">
        <f>IF(Table1_1[[#This Row],[Type]]="Expense", _xlfn.XLOOKUP(Table1_1[[#This Row],[Category]], Budget_Ref[Category], Budget_Ref[Monthly Budget], 0), 0)</f>
        <v>1500</v>
      </c>
      <c r="I850" t="str">
        <f>IF(Table1_1[[#This Row],[Type]]="Expense", IF(Table1_1[[#This Row],[Amount]]&gt;Table1_1[[#This Row],[Monthly Budget]], "Over Budget", "OK"), "-")</f>
        <v>OK</v>
      </c>
      <c r="J850">
        <f>IF(Table1_1[[#This Row],[Type]]="Income", Table1_1[[#This Row],[Amount]], -Table1_1[[#This Row],[Amount]])</f>
        <v>-1464.55</v>
      </c>
    </row>
    <row r="851" spans="1:10" x14ac:dyDescent="0.25">
      <c r="A851" s="1">
        <v>44882</v>
      </c>
      <c r="B851" t="s">
        <v>866</v>
      </c>
      <c r="C851" t="s">
        <v>25</v>
      </c>
      <c r="D851" s="2">
        <v>1701.71</v>
      </c>
      <c r="E851" t="s">
        <v>7</v>
      </c>
      <c r="F851" t="s">
        <v>1553</v>
      </c>
      <c r="G851">
        <v>2022</v>
      </c>
      <c r="H851">
        <f>IF(Table1_1[[#This Row],[Type]]="Expense", _xlfn.XLOOKUP(Table1_1[[#This Row],[Category]], Budget_Ref[Category], Budget_Ref[Monthly Budget], 0), 0)</f>
        <v>150</v>
      </c>
      <c r="I851" t="str">
        <f>IF(Table1_1[[#This Row],[Type]]="Expense", IF(Table1_1[[#This Row],[Amount]]&gt;Table1_1[[#This Row],[Monthly Budget]], "Over Budget", "OK"), "-")</f>
        <v>Over Budget</v>
      </c>
      <c r="J851">
        <f>IF(Table1_1[[#This Row],[Type]]="Income", Table1_1[[#This Row],[Amount]], -Table1_1[[#This Row],[Amount]])</f>
        <v>-1701.71</v>
      </c>
    </row>
    <row r="852" spans="1:10" x14ac:dyDescent="0.25">
      <c r="A852" s="1">
        <v>44883</v>
      </c>
      <c r="B852" t="s">
        <v>867</v>
      </c>
      <c r="C852" t="s">
        <v>17</v>
      </c>
      <c r="D852" s="2">
        <v>443.48</v>
      </c>
      <c r="E852" t="s">
        <v>7</v>
      </c>
      <c r="F852" t="s">
        <v>1553</v>
      </c>
      <c r="G852">
        <v>2022</v>
      </c>
      <c r="H852">
        <f>IF(Table1_1[[#This Row],[Type]]="Expense", _xlfn.XLOOKUP(Table1_1[[#This Row],[Category]], Budget_Ref[Category], Budget_Ref[Monthly Budget], 0), 0)</f>
        <v>300</v>
      </c>
      <c r="I852" t="str">
        <f>IF(Table1_1[[#This Row],[Type]]="Expense", IF(Table1_1[[#This Row],[Amount]]&gt;Table1_1[[#This Row],[Monthly Budget]], "Over Budget", "OK"), "-")</f>
        <v>Over Budget</v>
      </c>
      <c r="J852">
        <f>IF(Table1_1[[#This Row],[Type]]="Income", Table1_1[[#This Row],[Amount]], -Table1_1[[#This Row],[Amount]])</f>
        <v>-443.48</v>
      </c>
    </row>
    <row r="853" spans="1:10" x14ac:dyDescent="0.25">
      <c r="A853" s="1">
        <v>44884</v>
      </c>
      <c r="B853" t="s">
        <v>868</v>
      </c>
      <c r="C853" t="s">
        <v>22</v>
      </c>
      <c r="D853" s="2">
        <v>994.48</v>
      </c>
      <c r="E853" t="s">
        <v>7</v>
      </c>
      <c r="F853" t="s">
        <v>1553</v>
      </c>
      <c r="G853">
        <v>2022</v>
      </c>
      <c r="H853">
        <f>IF(Table1_1[[#This Row],[Type]]="Expense", _xlfn.XLOOKUP(Table1_1[[#This Row],[Category]], Budget_Ref[Category], Budget_Ref[Monthly Budget], 0), 0)</f>
        <v>200</v>
      </c>
      <c r="I853" t="str">
        <f>IF(Table1_1[[#This Row],[Type]]="Expense", IF(Table1_1[[#This Row],[Amount]]&gt;Table1_1[[#This Row],[Monthly Budget]], "Over Budget", "OK"), "-")</f>
        <v>Over Budget</v>
      </c>
      <c r="J853">
        <f>IF(Table1_1[[#This Row],[Type]]="Income", Table1_1[[#This Row],[Amount]], -Table1_1[[#This Row],[Amount]])</f>
        <v>-994.48</v>
      </c>
    </row>
    <row r="854" spans="1:10" x14ac:dyDescent="0.25">
      <c r="A854" s="1">
        <v>44886</v>
      </c>
      <c r="B854" t="s">
        <v>869</v>
      </c>
      <c r="C854" t="s">
        <v>35</v>
      </c>
      <c r="D854" s="2">
        <v>682.13</v>
      </c>
      <c r="E854" t="s">
        <v>7</v>
      </c>
      <c r="F854" t="s">
        <v>1553</v>
      </c>
      <c r="G854">
        <v>2022</v>
      </c>
      <c r="H854">
        <f>IF(Table1_1[[#This Row],[Type]]="Expense", _xlfn.XLOOKUP(Table1_1[[#This Row],[Category]], Budget_Ref[Category], Budget_Ref[Monthly Budget], 0), 0)</f>
        <v>200</v>
      </c>
      <c r="I854" t="str">
        <f>IF(Table1_1[[#This Row],[Type]]="Expense", IF(Table1_1[[#This Row],[Amount]]&gt;Table1_1[[#This Row],[Monthly Budget]], "Over Budget", "OK"), "-")</f>
        <v>Over Budget</v>
      </c>
      <c r="J854">
        <f>IF(Table1_1[[#This Row],[Type]]="Income", Table1_1[[#This Row],[Amount]], -Table1_1[[#This Row],[Amount]])</f>
        <v>-682.13</v>
      </c>
    </row>
    <row r="855" spans="1:10" x14ac:dyDescent="0.25">
      <c r="A855" s="1">
        <v>44887</v>
      </c>
      <c r="B855" t="s">
        <v>870</v>
      </c>
      <c r="C855" t="s">
        <v>27</v>
      </c>
      <c r="D855" s="2">
        <v>1578.72</v>
      </c>
      <c r="E855" t="s">
        <v>14</v>
      </c>
      <c r="F855" t="s">
        <v>1553</v>
      </c>
      <c r="G855">
        <v>2022</v>
      </c>
      <c r="H855">
        <f>IF(Table1_1[[#This Row],[Type]]="Expense", _xlfn.XLOOKUP(Table1_1[[#This Row],[Category]], Budget_Ref[Category], Budget_Ref[Monthly Budget], 0), 0)</f>
        <v>0</v>
      </c>
      <c r="I855" t="str">
        <f>IF(Table1_1[[#This Row],[Type]]="Expense", IF(Table1_1[[#This Row],[Amount]]&gt;Table1_1[[#This Row],[Monthly Budget]], "Over Budget", "OK"), "-")</f>
        <v>-</v>
      </c>
      <c r="J855">
        <f>IF(Table1_1[[#This Row],[Type]]="Income", Table1_1[[#This Row],[Amount]], -Table1_1[[#This Row],[Amount]])</f>
        <v>1578.72</v>
      </c>
    </row>
    <row r="856" spans="1:10" x14ac:dyDescent="0.25">
      <c r="A856" s="1">
        <v>44891</v>
      </c>
      <c r="B856" t="s">
        <v>871</v>
      </c>
      <c r="C856" t="s">
        <v>6</v>
      </c>
      <c r="D856" s="2">
        <v>101.43</v>
      </c>
      <c r="E856" t="s">
        <v>7</v>
      </c>
      <c r="F856" t="s">
        <v>1553</v>
      </c>
      <c r="G856">
        <v>2022</v>
      </c>
      <c r="H856">
        <f>IF(Table1_1[[#This Row],[Type]]="Expense", _xlfn.XLOOKUP(Table1_1[[#This Row],[Category]], Budget_Ref[Category], Budget_Ref[Monthly Budget], 0), 0)</f>
        <v>500</v>
      </c>
      <c r="I856" t="str">
        <f>IF(Table1_1[[#This Row],[Type]]="Expense", IF(Table1_1[[#This Row],[Amount]]&gt;Table1_1[[#This Row],[Monthly Budget]], "Over Budget", "OK"), "-")</f>
        <v>OK</v>
      </c>
      <c r="J856">
        <f>IF(Table1_1[[#This Row],[Type]]="Income", Table1_1[[#This Row],[Amount]], -Table1_1[[#This Row],[Amount]])</f>
        <v>-101.43</v>
      </c>
    </row>
    <row r="857" spans="1:10" x14ac:dyDescent="0.25">
      <c r="A857" s="1">
        <v>44891</v>
      </c>
      <c r="B857" t="s">
        <v>872</v>
      </c>
      <c r="C857" t="s">
        <v>27</v>
      </c>
      <c r="D857" s="2">
        <v>42.4</v>
      </c>
      <c r="E857" t="s">
        <v>14</v>
      </c>
      <c r="F857" t="s">
        <v>1553</v>
      </c>
      <c r="G857">
        <v>2022</v>
      </c>
      <c r="H857">
        <f>IF(Table1_1[[#This Row],[Type]]="Expense", _xlfn.XLOOKUP(Table1_1[[#This Row],[Category]], Budget_Ref[Category], Budget_Ref[Monthly Budget], 0), 0)</f>
        <v>0</v>
      </c>
      <c r="I857" t="str">
        <f>IF(Table1_1[[#This Row],[Type]]="Expense", IF(Table1_1[[#This Row],[Amount]]&gt;Table1_1[[#This Row],[Monthly Budget]], "Over Budget", "OK"), "-")</f>
        <v>-</v>
      </c>
      <c r="J857">
        <f>IF(Table1_1[[#This Row],[Type]]="Income", Table1_1[[#This Row],[Amount]], -Table1_1[[#This Row],[Amount]])</f>
        <v>42.4</v>
      </c>
    </row>
    <row r="858" spans="1:10" x14ac:dyDescent="0.25">
      <c r="A858" s="1">
        <v>44893</v>
      </c>
      <c r="B858" t="s">
        <v>873</v>
      </c>
      <c r="C858" t="s">
        <v>9</v>
      </c>
      <c r="D858" s="2">
        <v>888.16</v>
      </c>
      <c r="E858" t="s">
        <v>7</v>
      </c>
      <c r="F858" t="s">
        <v>1553</v>
      </c>
      <c r="G858">
        <v>2022</v>
      </c>
      <c r="H858">
        <f>IF(Table1_1[[#This Row],[Type]]="Expense", _xlfn.XLOOKUP(Table1_1[[#This Row],[Category]], Budget_Ref[Category], Budget_Ref[Monthly Budget], 0), 0)</f>
        <v>150</v>
      </c>
      <c r="I858" t="str">
        <f>IF(Table1_1[[#This Row],[Type]]="Expense", IF(Table1_1[[#This Row],[Amount]]&gt;Table1_1[[#This Row],[Monthly Budget]], "Over Budget", "OK"), "-")</f>
        <v>Over Budget</v>
      </c>
      <c r="J858">
        <f>IF(Table1_1[[#This Row],[Type]]="Income", Table1_1[[#This Row],[Amount]], -Table1_1[[#This Row],[Amount]])</f>
        <v>-888.16</v>
      </c>
    </row>
    <row r="859" spans="1:10" x14ac:dyDescent="0.25">
      <c r="A859" s="1">
        <v>44893</v>
      </c>
      <c r="B859" t="s">
        <v>874</v>
      </c>
      <c r="C859" t="s">
        <v>20</v>
      </c>
      <c r="D859" s="2">
        <v>2157</v>
      </c>
      <c r="E859" t="s">
        <v>14</v>
      </c>
      <c r="F859" t="s">
        <v>1553</v>
      </c>
      <c r="G859">
        <v>2022</v>
      </c>
      <c r="H859">
        <f>IF(Table1_1[[#This Row],[Type]]="Expense", _xlfn.XLOOKUP(Table1_1[[#This Row],[Category]], Budget_Ref[Category], Budget_Ref[Monthly Budget], 0), 0)</f>
        <v>0</v>
      </c>
      <c r="I859" t="str">
        <f>IF(Table1_1[[#This Row],[Type]]="Expense", IF(Table1_1[[#This Row],[Amount]]&gt;Table1_1[[#This Row],[Monthly Budget]], "Over Budget", "OK"), "-")</f>
        <v>-</v>
      </c>
      <c r="J859">
        <f>IF(Table1_1[[#This Row],[Type]]="Income", Table1_1[[#This Row],[Amount]], -Table1_1[[#This Row],[Amount]])</f>
        <v>2157</v>
      </c>
    </row>
    <row r="860" spans="1:10" x14ac:dyDescent="0.25">
      <c r="A860" s="1">
        <v>44896</v>
      </c>
      <c r="B860" t="s">
        <v>875</v>
      </c>
      <c r="C860" t="s">
        <v>9</v>
      </c>
      <c r="D860" s="2">
        <v>1765.47</v>
      </c>
      <c r="E860" t="s">
        <v>7</v>
      </c>
      <c r="F860" t="s">
        <v>1554</v>
      </c>
      <c r="G860">
        <v>2022</v>
      </c>
      <c r="H860">
        <f>IF(Table1_1[[#This Row],[Type]]="Expense", _xlfn.XLOOKUP(Table1_1[[#This Row],[Category]], Budget_Ref[Category], Budget_Ref[Monthly Budget], 0), 0)</f>
        <v>150</v>
      </c>
      <c r="I860" t="str">
        <f>IF(Table1_1[[#This Row],[Type]]="Expense", IF(Table1_1[[#This Row],[Amount]]&gt;Table1_1[[#This Row],[Monthly Budget]], "Over Budget", "OK"), "-")</f>
        <v>Over Budget</v>
      </c>
      <c r="J860">
        <f>IF(Table1_1[[#This Row],[Type]]="Income", Table1_1[[#This Row],[Amount]], -Table1_1[[#This Row],[Amount]])</f>
        <v>-1765.47</v>
      </c>
    </row>
    <row r="861" spans="1:10" x14ac:dyDescent="0.25">
      <c r="A861" s="1">
        <v>44898</v>
      </c>
      <c r="B861" t="s">
        <v>876</v>
      </c>
      <c r="C861" t="s">
        <v>35</v>
      </c>
      <c r="D861" s="2">
        <v>195.75</v>
      </c>
      <c r="E861" t="s">
        <v>7</v>
      </c>
      <c r="F861" t="s">
        <v>1554</v>
      </c>
      <c r="G861">
        <v>2022</v>
      </c>
      <c r="H861">
        <f>IF(Table1_1[[#This Row],[Type]]="Expense", _xlfn.XLOOKUP(Table1_1[[#This Row],[Category]], Budget_Ref[Category], Budget_Ref[Monthly Budget], 0), 0)</f>
        <v>200</v>
      </c>
      <c r="I861" t="str">
        <f>IF(Table1_1[[#This Row],[Type]]="Expense", IF(Table1_1[[#This Row],[Amount]]&gt;Table1_1[[#This Row],[Monthly Budget]], "Over Budget", "OK"), "-")</f>
        <v>OK</v>
      </c>
      <c r="J861">
        <f>IF(Table1_1[[#This Row],[Type]]="Income", Table1_1[[#This Row],[Amount]], -Table1_1[[#This Row],[Amount]])</f>
        <v>-195.75</v>
      </c>
    </row>
    <row r="862" spans="1:10" x14ac:dyDescent="0.25">
      <c r="A862" s="1">
        <v>44899</v>
      </c>
      <c r="B862" t="s">
        <v>877</v>
      </c>
      <c r="C862" t="s">
        <v>11</v>
      </c>
      <c r="D862" s="2">
        <v>749.97</v>
      </c>
      <c r="E862" t="s">
        <v>7</v>
      </c>
      <c r="F862" t="s">
        <v>1554</v>
      </c>
      <c r="G862">
        <v>2022</v>
      </c>
      <c r="H862">
        <f>IF(Table1_1[[#This Row],[Type]]="Expense", _xlfn.XLOOKUP(Table1_1[[#This Row],[Category]], Budget_Ref[Category], Budget_Ref[Monthly Budget], 0), 0)</f>
        <v>1500</v>
      </c>
      <c r="I862" t="str">
        <f>IF(Table1_1[[#This Row],[Type]]="Expense", IF(Table1_1[[#This Row],[Amount]]&gt;Table1_1[[#This Row],[Monthly Budget]], "Over Budget", "OK"), "-")</f>
        <v>OK</v>
      </c>
      <c r="J862">
        <f>IF(Table1_1[[#This Row],[Type]]="Income", Table1_1[[#This Row],[Amount]], -Table1_1[[#This Row],[Amount]])</f>
        <v>-749.97</v>
      </c>
    </row>
    <row r="863" spans="1:10" x14ac:dyDescent="0.25">
      <c r="A863" s="1">
        <v>44900</v>
      </c>
      <c r="B863" t="s">
        <v>878</v>
      </c>
      <c r="C863" t="s">
        <v>9</v>
      </c>
      <c r="D863" s="2">
        <v>113.06</v>
      </c>
      <c r="E863" t="s">
        <v>7</v>
      </c>
      <c r="F863" t="s">
        <v>1554</v>
      </c>
      <c r="G863">
        <v>2022</v>
      </c>
      <c r="H863">
        <f>IF(Table1_1[[#This Row],[Type]]="Expense", _xlfn.XLOOKUP(Table1_1[[#This Row],[Category]], Budget_Ref[Category], Budget_Ref[Monthly Budget], 0), 0)</f>
        <v>150</v>
      </c>
      <c r="I863" t="str">
        <f>IF(Table1_1[[#This Row],[Type]]="Expense", IF(Table1_1[[#This Row],[Amount]]&gt;Table1_1[[#This Row],[Monthly Budget]], "Over Budget", "OK"), "-")</f>
        <v>OK</v>
      </c>
      <c r="J863">
        <f>IF(Table1_1[[#This Row],[Type]]="Income", Table1_1[[#This Row],[Amount]], -Table1_1[[#This Row],[Amount]])</f>
        <v>-113.06</v>
      </c>
    </row>
    <row r="864" spans="1:10" x14ac:dyDescent="0.25">
      <c r="A864" s="1">
        <v>44900</v>
      </c>
      <c r="B864" t="s">
        <v>879</v>
      </c>
      <c r="C864" t="s">
        <v>22</v>
      </c>
      <c r="D864" s="2">
        <v>864.17</v>
      </c>
      <c r="E864" t="s">
        <v>7</v>
      </c>
      <c r="F864" t="s">
        <v>1554</v>
      </c>
      <c r="G864">
        <v>2022</v>
      </c>
      <c r="H864">
        <f>IF(Table1_1[[#This Row],[Type]]="Expense", _xlfn.XLOOKUP(Table1_1[[#This Row],[Category]], Budget_Ref[Category], Budget_Ref[Monthly Budget], 0), 0)</f>
        <v>200</v>
      </c>
      <c r="I864" t="str">
        <f>IF(Table1_1[[#This Row],[Type]]="Expense", IF(Table1_1[[#This Row],[Amount]]&gt;Table1_1[[#This Row],[Monthly Budget]], "Over Budget", "OK"), "-")</f>
        <v>Over Budget</v>
      </c>
      <c r="J864">
        <f>IF(Table1_1[[#This Row],[Type]]="Income", Table1_1[[#This Row],[Amount]], -Table1_1[[#This Row],[Amount]])</f>
        <v>-864.17</v>
      </c>
    </row>
    <row r="865" spans="1:10" x14ac:dyDescent="0.25">
      <c r="A865" s="1">
        <v>44902</v>
      </c>
      <c r="B865" t="s">
        <v>880</v>
      </c>
      <c r="C865" t="s">
        <v>13</v>
      </c>
      <c r="D865" s="2">
        <v>508</v>
      </c>
      <c r="E865" t="s">
        <v>14</v>
      </c>
      <c r="F865" t="s">
        <v>1554</v>
      </c>
      <c r="G865">
        <v>2022</v>
      </c>
      <c r="H865">
        <f>IF(Table1_1[[#This Row],[Type]]="Expense", _xlfn.XLOOKUP(Table1_1[[#This Row],[Category]], Budget_Ref[Category], Budget_Ref[Monthly Budget], 0), 0)</f>
        <v>0</v>
      </c>
      <c r="I865" t="str">
        <f>IF(Table1_1[[#This Row],[Type]]="Expense", IF(Table1_1[[#This Row],[Amount]]&gt;Table1_1[[#This Row],[Monthly Budget]], "Over Budget", "OK"), "-")</f>
        <v>-</v>
      </c>
      <c r="J865">
        <f>IF(Table1_1[[#This Row],[Type]]="Income", Table1_1[[#This Row],[Amount]], -Table1_1[[#This Row],[Amount]])</f>
        <v>508</v>
      </c>
    </row>
    <row r="866" spans="1:10" x14ac:dyDescent="0.25">
      <c r="A866" s="1">
        <v>44907</v>
      </c>
      <c r="B866" t="s">
        <v>881</v>
      </c>
      <c r="C866" t="s">
        <v>11</v>
      </c>
      <c r="D866" s="2">
        <v>274.07</v>
      </c>
      <c r="E866" t="s">
        <v>7</v>
      </c>
      <c r="F866" t="s">
        <v>1554</v>
      </c>
      <c r="G866">
        <v>2022</v>
      </c>
      <c r="H866">
        <f>IF(Table1_1[[#This Row],[Type]]="Expense", _xlfn.XLOOKUP(Table1_1[[#This Row],[Category]], Budget_Ref[Category], Budget_Ref[Monthly Budget], 0), 0)</f>
        <v>1500</v>
      </c>
      <c r="I866" t="str">
        <f>IF(Table1_1[[#This Row],[Type]]="Expense", IF(Table1_1[[#This Row],[Amount]]&gt;Table1_1[[#This Row],[Monthly Budget]], "Over Budget", "OK"), "-")</f>
        <v>OK</v>
      </c>
      <c r="J866">
        <f>IF(Table1_1[[#This Row],[Type]]="Income", Table1_1[[#This Row],[Amount]], -Table1_1[[#This Row],[Amount]])</f>
        <v>-274.07</v>
      </c>
    </row>
    <row r="867" spans="1:10" x14ac:dyDescent="0.25">
      <c r="A867" s="1">
        <v>44908</v>
      </c>
      <c r="B867" t="s">
        <v>882</v>
      </c>
      <c r="C867" t="s">
        <v>27</v>
      </c>
      <c r="D867" s="2">
        <v>28.48</v>
      </c>
      <c r="E867" t="s">
        <v>14</v>
      </c>
      <c r="F867" t="s">
        <v>1554</v>
      </c>
      <c r="G867">
        <v>2022</v>
      </c>
      <c r="H867">
        <f>IF(Table1_1[[#This Row],[Type]]="Expense", _xlfn.XLOOKUP(Table1_1[[#This Row],[Category]], Budget_Ref[Category], Budget_Ref[Monthly Budget], 0), 0)</f>
        <v>0</v>
      </c>
      <c r="I867" t="str">
        <f>IF(Table1_1[[#This Row],[Type]]="Expense", IF(Table1_1[[#This Row],[Amount]]&gt;Table1_1[[#This Row],[Monthly Budget]], "Over Budget", "OK"), "-")</f>
        <v>-</v>
      </c>
      <c r="J867">
        <f>IF(Table1_1[[#This Row],[Type]]="Income", Table1_1[[#This Row],[Amount]], -Table1_1[[#This Row],[Amount]])</f>
        <v>28.48</v>
      </c>
    </row>
    <row r="868" spans="1:10" x14ac:dyDescent="0.25">
      <c r="A868" s="1">
        <v>44910</v>
      </c>
      <c r="B868" t="s">
        <v>883</v>
      </c>
      <c r="C868" t="s">
        <v>11</v>
      </c>
      <c r="D868" s="2">
        <v>1976.43</v>
      </c>
      <c r="E868" t="s">
        <v>7</v>
      </c>
      <c r="F868" t="s">
        <v>1554</v>
      </c>
      <c r="G868">
        <v>2022</v>
      </c>
      <c r="H868">
        <f>IF(Table1_1[[#This Row],[Type]]="Expense", _xlfn.XLOOKUP(Table1_1[[#This Row],[Category]], Budget_Ref[Category], Budget_Ref[Monthly Budget], 0), 0)</f>
        <v>1500</v>
      </c>
      <c r="I868" t="str">
        <f>IF(Table1_1[[#This Row],[Type]]="Expense", IF(Table1_1[[#This Row],[Amount]]&gt;Table1_1[[#This Row],[Monthly Budget]], "Over Budget", "OK"), "-")</f>
        <v>Over Budget</v>
      </c>
      <c r="J868">
        <f>IF(Table1_1[[#This Row],[Type]]="Income", Table1_1[[#This Row],[Amount]], -Table1_1[[#This Row],[Amount]])</f>
        <v>-1976.43</v>
      </c>
    </row>
    <row r="869" spans="1:10" x14ac:dyDescent="0.25">
      <c r="A869" s="1">
        <v>44911</v>
      </c>
      <c r="B869" t="s">
        <v>884</v>
      </c>
      <c r="C869" t="s">
        <v>9</v>
      </c>
      <c r="D869" s="2">
        <v>960.62</v>
      </c>
      <c r="E869" t="s">
        <v>7</v>
      </c>
      <c r="F869" t="s">
        <v>1554</v>
      </c>
      <c r="G869">
        <v>2022</v>
      </c>
      <c r="H869">
        <f>IF(Table1_1[[#This Row],[Type]]="Expense", _xlfn.XLOOKUP(Table1_1[[#This Row],[Category]], Budget_Ref[Category], Budget_Ref[Monthly Budget], 0), 0)</f>
        <v>150</v>
      </c>
      <c r="I869" t="str">
        <f>IF(Table1_1[[#This Row],[Type]]="Expense", IF(Table1_1[[#This Row],[Amount]]&gt;Table1_1[[#This Row],[Monthly Budget]], "Over Budget", "OK"), "-")</f>
        <v>Over Budget</v>
      </c>
      <c r="J869">
        <f>IF(Table1_1[[#This Row],[Type]]="Income", Table1_1[[#This Row],[Amount]], -Table1_1[[#This Row],[Amount]])</f>
        <v>-960.62</v>
      </c>
    </row>
    <row r="870" spans="1:10" x14ac:dyDescent="0.25">
      <c r="A870" s="1">
        <v>44913</v>
      </c>
      <c r="B870" t="s">
        <v>885</v>
      </c>
      <c r="C870" t="s">
        <v>11</v>
      </c>
      <c r="D870" s="2">
        <v>1464.22</v>
      </c>
      <c r="E870" t="s">
        <v>7</v>
      </c>
      <c r="F870" t="s">
        <v>1554</v>
      </c>
      <c r="G870">
        <v>2022</v>
      </c>
      <c r="H870">
        <f>IF(Table1_1[[#This Row],[Type]]="Expense", _xlfn.XLOOKUP(Table1_1[[#This Row],[Category]], Budget_Ref[Category], Budget_Ref[Monthly Budget], 0), 0)</f>
        <v>1500</v>
      </c>
      <c r="I870" t="str">
        <f>IF(Table1_1[[#This Row],[Type]]="Expense", IF(Table1_1[[#This Row],[Amount]]&gt;Table1_1[[#This Row],[Monthly Budget]], "Over Budget", "OK"), "-")</f>
        <v>OK</v>
      </c>
      <c r="J870">
        <f>IF(Table1_1[[#This Row],[Type]]="Income", Table1_1[[#This Row],[Amount]], -Table1_1[[#This Row],[Amount]])</f>
        <v>-1464.22</v>
      </c>
    </row>
    <row r="871" spans="1:10" x14ac:dyDescent="0.25">
      <c r="A871" s="1">
        <v>44917</v>
      </c>
      <c r="B871" t="s">
        <v>886</v>
      </c>
      <c r="C871" t="s">
        <v>20</v>
      </c>
      <c r="D871" s="2">
        <v>3511</v>
      </c>
      <c r="E871" t="s">
        <v>14</v>
      </c>
      <c r="F871" t="s">
        <v>1554</v>
      </c>
      <c r="G871">
        <v>2022</v>
      </c>
      <c r="H871">
        <f>IF(Table1_1[[#This Row],[Type]]="Expense", _xlfn.XLOOKUP(Table1_1[[#This Row],[Category]], Budget_Ref[Category], Budget_Ref[Monthly Budget], 0), 0)</f>
        <v>0</v>
      </c>
      <c r="I871" t="str">
        <f>IF(Table1_1[[#This Row],[Type]]="Expense", IF(Table1_1[[#This Row],[Amount]]&gt;Table1_1[[#This Row],[Monthly Budget]], "Over Budget", "OK"), "-")</f>
        <v>-</v>
      </c>
      <c r="J871">
        <f>IF(Table1_1[[#This Row],[Type]]="Income", Table1_1[[#This Row],[Amount]], -Table1_1[[#This Row],[Amount]])</f>
        <v>3511</v>
      </c>
    </row>
    <row r="872" spans="1:10" x14ac:dyDescent="0.25">
      <c r="A872" s="1">
        <v>44923</v>
      </c>
      <c r="B872" t="s">
        <v>887</v>
      </c>
      <c r="C872" t="s">
        <v>9</v>
      </c>
      <c r="D872" s="2">
        <v>771.61</v>
      </c>
      <c r="E872" t="s">
        <v>7</v>
      </c>
      <c r="F872" t="s">
        <v>1554</v>
      </c>
      <c r="G872">
        <v>2022</v>
      </c>
      <c r="H872">
        <f>IF(Table1_1[[#This Row],[Type]]="Expense", _xlfn.XLOOKUP(Table1_1[[#This Row],[Category]], Budget_Ref[Category], Budget_Ref[Monthly Budget], 0), 0)</f>
        <v>150</v>
      </c>
      <c r="I872" t="str">
        <f>IF(Table1_1[[#This Row],[Type]]="Expense", IF(Table1_1[[#This Row],[Amount]]&gt;Table1_1[[#This Row],[Monthly Budget]], "Over Budget", "OK"), "-")</f>
        <v>Over Budget</v>
      </c>
      <c r="J872">
        <f>IF(Table1_1[[#This Row],[Type]]="Income", Table1_1[[#This Row],[Amount]], -Table1_1[[#This Row],[Amount]])</f>
        <v>-771.61</v>
      </c>
    </row>
    <row r="873" spans="1:10" x14ac:dyDescent="0.25">
      <c r="A873" s="1">
        <v>44925</v>
      </c>
      <c r="B873" t="s">
        <v>888</v>
      </c>
      <c r="C873" t="s">
        <v>9</v>
      </c>
      <c r="D873" s="2">
        <v>1286.74</v>
      </c>
      <c r="E873" t="s">
        <v>7</v>
      </c>
      <c r="F873" t="s">
        <v>1554</v>
      </c>
      <c r="G873">
        <v>2022</v>
      </c>
      <c r="H873">
        <f>IF(Table1_1[[#This Row],[Type]]="Expense", _xlfn.XLOOKUP(Table1_1[[#This Row],[Category]], Budget_Ref[Category], Budget_Ref[Monthly Budget], 0), 0)</f>
        <v>150</v>
      </c>
      <c r="I873" t="str">
        <f>IF(Table1_1[[#This Row],[Type]]="Expense", IF(Table1_1[[#This Row],[Amount]]&gt;Table1_1[[#This Row],[Monthly Budget]], "Over Budget", "OK"), "-")</f>
        <v>Over Budget</v>
      </c>
      <c r="J873">
        <f>IF(Table1_1[[#This Row],[Type]]="Income", Table1_1[[#This Row],[Amount]], -Table1_1[[#This Row],[Amount]])</f>
        <v>-1286.74</v>
      </c>
    </row>
    <row r="874" spans="1:10" x14ac:dyDescent="0.25">
      <c r="A874" s="1">
        <v>44926</v>
      </c>
      <c r="B874" t="s">
        <v>889</v>
      </c>
      <c r="C874" t="s">
        <v>11</v>
      </c>
      <c r="D874" s="2">
        <v>1065.71</v>
      </c>
      <c r="E874" t="s">
        <v>7</v>
      </c>
      <c r="F874" t="s">
        <v>1554</v>
      </c>
      <c r="G874">
        <v>2022</v>
      </c>
      <c r="H874">
        <f>IF(Table1_1[[#This Row],[Type]]="Expense", _xlfn.XLOOKUP(Table1_1[[#This Row],[Category]], Budget_Ref[Category], Budget_Ref[Monthly Budget], 0), 0)</f>
        <v>1500</v>
      </c>
      <c r="I874" t="str">
        <f>IF(Table1_1[[#This Row],[Type]]="Expense", IF(Table1_1[[#This Row],[Amount]]&gt;Table1_1[[#This Row],[Monthly Budget]], "Over Budget", "OK"), "-")</f>
        <v>OK</v>
      </c>
      <c r="J874">
        <f>IF(Table1_1[[#This Row],[Type]]="Income", Table1_1[[#This Row],[Amount]], -Table1_1[[#This Row],[Amount]])</f>
        <v>-1065.71</v>
      </c>
    </row>
    <row r="875" spans="1:10" x14ac:dyDescent="0.25">
      <c r="A875" s="1">
        <v>44929</v>
      </c>
      <c r="B875" t="s">
        <v>890</v>
      </c>
      <c r="C875" t="s">
        <v>13</v>
      </c>
      <c r="D875" s="2">
        <v>4105</v>
      </c>
      <c r="E875" t="s">
        <v>14</v>
      </c>
      <c r="F875" t="s">
        <v>1555</v>
      </c>
      <c r="G875">
        <v>2023</v>
      </c>
      <c r="H875">
        <f>IF(Table1_1[[#This Row],[Type]]="Expense", _xlfn.XLOOKUP(Table1_1[[#This Row],[Category]], Budget_Ref[Category], Budget_Ref[Monthly Budget], 0), 0)</f>
        <v>0</v>
      </c>
      <c r="I875" t="str">
        <f>IF(Table1_1[[#This Row],[Type]]="Expense", IF(Table1_1[[#This Row],[Amount]]&gt;Table1_1[[#This Row],[Monthly Budget]], "Over Budget", "OK"), "-")</f>
        <v>-</v>
      </c>
      <c r="J875">
        <f>IF(Table1_1[[#This Row],[Type]]="Income", Table1_1[[#This Row],[Amount]], -Table1_1[[#This Row],[Amount]])</f>
        <v>4105</v>
      </c>
    </row>
    <row r="876" spans="1:10" x14ac:dyDescent="0.25">
      <c r="A876" s="1">
        <v>44930</v>
      </c>
      <c r="B876" t="s">
        <v>891</v>
      </c>
      <c r="C876" t="s">
        <v>22</v>
      </c>
      <c r="D876" s="2">
        <v>1259.8800000000001</v>
      </c>
      <c r="E876" t="s">
        <v>7</v>
      </c>
      <c r="F876" t="s">
        <v>1555</v>
      </c>
      <c r="G876">
        <v>2023</v>
      </c>
      <c r="H876">
        <f>IF(Table1_1[[#This Row],[Type]]="Expense", _xlfn.XLOOKUP(Table1_1[[#This Row],[Category]], Budget_Ref[Category], Budget_Ref[Monthly Budget], 0), 0)</f>
        <v>200</v>
      </c>
      <c r="I876" t="str">
        <f>IF(Table1_1[[#This Row],[Type]]="Expense", IF(Table1_1[[#This Row],[Amount]]&gt;Table1_1[[#This Row],[Monthly Budget]], "Over Budget", "OK"), "-")</f>
        <v>Over Budget</v>
      </c>
      <c r="J876">
        <f>IF(Table1_1[[#This Row],[Type]]="Income", Table1_1[[#This Row],[Amount]], -Table1_1[[#This Row],[Amount]])</f>
        <v>-1259.8800000000001</v>
      </c>
    </row>
    <row r="877" spans="1:10" x14ac:dyDescent="0.25">
      <c r="A877" s="1">
        <v>44930</v>
      </c>
      <c r="B877" t="s">
        <v>892</v>
      </c>
      <c r="C877" t="s">
        <v>20</v>
      </c>
      <c r="D877" s="2">
        <v>4124</v>
      </c>
      <c r="E877" t="s">
        <v>14</v>
      </c>
      <c r="F877" t="s">
        <v>1555</v>
      </c>
      <c r="G877">
        <v>2023</v>
      </c>
      <c r="H877">
        <f>IF(Table1_1[[#This Row],[Type]]="Expense", _xlfn.XLOOKUP(Table1_1[[#This Row],[Category]], Budget_Ref[Category], Budget_Ref[Monthly Budget], 0), 0)</f>
        <v>0</v>
      </c>
      <c r="I877" t="str">
        <f>IF(Table1_1[[#This Row],[Type]]="Expense", IF(Table1_1[[#This Row],[Amount]]&gt;Table1_1[[#This Row],[Monthly Budget]], "Over Budget", "OK"), "-")</f>
        <v>-</v>
      </c>
      <c r="J877">
        <f>IF(Table1_1[[#This Row],[Type]]="Income", Table1_1[[#This Row],[Amount]], -Table1_1[[#This Row],[Amount]])</f>
        <v>4124</v>
      </c>
    </row>
    <row r="878" spans="1:10" x14ac:dyDescent="0.25">
      <c r="A878" s="1">
        <v>44932</v>
      </c>
      <c r="B878" t="s">
        <v>893</v>
      </c>
      <c r="C878" t="s">
        <v>11</v>
      </c>
      <c r="D878" s="2">
        <v>1794.22</v>
      </c>
      <c r="E878" t="s">
        <v>7</v>
      </c>
      <c r="F878" t="s">
        <v>1555</v>
      </c>
      <c r="G878">
        <v>2023</v>
      </c>
      <c r="H878">
        <f>IF(Table1_1[[#This Row],[Type]]="Expense", _xlfn.XLOOKUP(Table1_1[[#This Row],[Category]], Budget_Ref[Category], Budget_Ref[Monthly Budget], 0), 0)</f>
        <v>1500</v>
      </c>
      <c r="I878" t="str">
        <f>IF(Table1_1[[#This Row],[Type]]="Expense", IF(Table1_1[[#This Row],[Amount]]&gt;Table1_1[[#This Row],[Monthly Budget]], "Over Budget", "OK"), "-")</f>
        <v>Over Budget</v>
      </c>
      <c r="J878">
        <f>IF(Table1_1[[#This Row],[Type]]="Income", Table1_1[[#This Row],[Amount]], -Table1_1[[#This Row],[Amount]])</f>
        <v>-1794.22</v>
      </c>
    </row>
    <row r="879" spans="1:10" x14ac:dyDescent="0.25">
      <c r="A879" s="1">
        <v>44935</v>
      </c>
      <c r="B879" t="s">
        <v>894</v>
      </c>
      <c r="C879" t="s">
        <v>13</v>
      </c>
      <c r="D879" s="2">
        <v>3645</v>
      </c>
      <c r="E879" t="s">
        <v>14</v>
      </c>
      <c r="F879" t="s">
        <v>1555</v>
      </c>
      <c r="G879">
        <v>2023</v>
      </c>
      <c r="H879">
        <f>IF(Table1_1[[#This Row],[Type]]="Expense", _xlfn.XLOOKUP(Table1_1[[#This Row],[Category]], Budget_Ref[Category], Budget_Ref[Monthly Budget], 0), 0)</f>
        <v>0</v>
      </c>
      <c r="I879" t="str">
        <f>IF(Table1_1[[#This Row],[Type]]="Expense", IF(Table1_1[[#This Row],[Amount]]&gt;Table1_1[[#This Row],[Monthly Budget]], "Over Budget", "OK"), "-")</f>
        <v>-</v>
      </c>
      <c r="J879">
        <f>IF(Table1_1[[#This Row],[Type]]="Income", Table1_1[[#This Row],[Amount]], -Table1_1[[#This Row],[Amount]])</f>
        <v>3645</v>
      </c>
    </row>
    <row r="880" spans="1:10" x14ac:dyDescent="0.25">
      <c r="A880" s="1">
        <v>44936</v>
      </c>
      <c r="B880" t="s">
        <v>895</v>
      </c>
      <c r="C880" t="s">
        <v>17</v>
      </c>
      <c r="D880" s="2">
        <v>635.86</v>
      </c>
      <c r="E880" t="s">
        <v>7</v>
      </c>
      <c r="F880" t="s">
        <v>1555</v>
      </c>
      <c r="G880">
        <v>2023</v>
      </c>
      <c r="H880">
        <f>IF(Table1_1[[#This Row],[Type]]="Expense", _xlfn.XLOOKUP(Table1_1[[#This Row],[Category]], Budget_Ref[Category], Budget_Ref[Monthly Budget], 0), 0)</f>
        <v>300</v>
      </c>
      <c r="I880" t="str">
        <f>IF(Table1_1[[#This Row],[Type]]="Expense", IF(Table1_1[[#This Row],[Amount]]&gt;Table1_1[[#This Row],[Monthly Budget]], "Over Budget", "OK"), "-")</f>
        <v>Over Budget</v>
      </c>
      <c r="J880">
        <f>IF(Table1_1[[#This Row],[Type]]="Income", Table1_1[[#This Row],[Amount]], -Table1_1[[#This Row],[Amount]])</f>
        <v>-635.86</v>
      </c>
    </row>
    <row r="881" spans="1:10" x14ac:dyDescent="0.25">
      <c r="A881" s="1">
        <v>44937</v>
      </c>
      <c r="B881" t="s">
        <v>896</v>
      </c>
      <c r="C881" t="s">
        <v>20</v>
      </c>
      <c r="D881" s="2">
        <v>1190</v>
      </c>
      <c r="E881" t="s">
        <v>14</v>
      </c>
      <c r="F881" t="s">
        <v>1555</v>
      </c>
      <c r="G881">
        <v>2023</v>
      </c>
      <c r="H881">
        <f>IF(Table1_1[[#This Row],[Type]]="Expense", _xlfn.XLOOKUP(Table1_1[[#This Row],[Category]], Budget_Ref[Category], Budget_Ref[Monthly Budget], 0), 0)</f>
        <v>0</v>
      </c>
      <c r="I881" t="str">
        <f>IF(Table1_1[[#This Row],[Type]]="Expense", IF(Table1_1[[#This Row],[Amount]]&gt;Table1_1[[#This Row],[Monthly Budget]], "Over Budget", "OK"), "-")</f>
        <v>-</v>
      </c>
      <c r="J881">
        <f>IF(Table1_1[[#This Row],[Type]]="Income", Table1_1[[#This Row],[Amount]], -Table1_1[[#This Row],[Amount]])</f>
        <v>1190</v>
      </c>
    </row>
    <row r="882" spans="1:10" x14ac:dyDescent="0.25">
      <c r="A882" s="1">
        <v>44939</v>
      </c>
      <c r="B882" t="s">
        <v>897</v>
      </c>
      <c r="C882" t="s">
        <v>35</v>
      </c>
      <c r="D882" s="2">
        <v>1560.15</v>
      </c>
      <c r="E882" t="s">
        <v>7</v>
      </c>
      <c r="F882" t="s">
        <v>1555</v>
      </c>
      <c r="G882">
        <v>2023</v>
      </c>
      <c r="H882">
        <f>IF(Table1_1[[#This Row],[Type]]="Expense", _xlfn.XLOOKUP(Table1_1[[#This Row],[Category]], Budget_Ref[Category], Budget_Ref[Monthly Budget], 0), 0)</f>
        <v>200</v>
      </c>
      <c r="I882" t="str">
        <f>IF(Table1_1[[#This Row],[Type]]="Expense", IF(Table1_1[[#This Row],[Amount]]&gt;Table1_1[[#This Row],[Monthly Budget]], "Over Budget", "OK"), "-")</f>
        <v>Over Budget</v>
      </c>
      <c r="J882">
        <f>IF(Table1_1[[#This Row],[Type]]="Income", Table1_1[[#This Row],[Amount]], -Table1_1[[#This Row],[Amount]])</f>
        <v>-1560.15</v>
      </c>
    </row>
    <row r="883" spans="1:10" x14ac:dyDescent="0.25">
      <c r="A883" s="1">
        <v>44941</v>
      </c>
      <c r="B883" t="s">
        <v>898</v>
      </c>
      <c r="C883" t="s">
        <v>35</v>
      </c>
      <c r="D883" s="2">
        <v>418.84</v>
      </c>
      <c r="E883" t="s">
        <v>7</v>
      </c>
      <c r="F883" t="s">
        <v>1555</v>
      </c>
      <c r="G883">
        <v>2023</v>
      </c>
      <c r="H883">
        <f>IF(Table1_1[[#This Row],[Type]]="Expense", _xlfn.XLOOKUP(Table1_1[[#This Row],[Category]], Budget_Ref[Category], Budget_Ref[Monthly Budget], 0), 0)</f>
        <v>200</v>
      </c>
      <c r="I883" t="str">
        <f>IF(Table1_1[[#This Row],[Type]]="Expense", IF(Table1_1[[#This Row],[Amount]]&gt;Table1_1[[#This Row],[Monthly Budget]], "Over Budget", "OK"), "-")</f>
        <v>Over Budget</v>
      </c>
      <c r="J883">
        <f>IF(Table1_1[[#This Row],[Type]]="Income", Table1_1[[#This Row],[Amount]], -Table1_1[[#This Row],[Amount]])</f>
        <v>-418.84</v>
      </c>
    </row>
    <row r="884" spans="1:10" x14ac:dyDescent="0.25">
      <c r="A884" s="1">
        <v>44942</v>
      </c>
      <c r="B884" t="s">
        <v>899</v>
      </c>
      <c r="C884" t="s">
        <v>22</v>
      </c>
      <c r="D884" s="2">
        <v>1498.21</v>
      </c>
      <c r="E884" t="s">
        <v>7</v>
      </c>
      <c r="F884" t="s">
        <v>1555</v>
      </c>
      <c r="G884">
        <v>2023</v>
      </c>
      <c r="H884">
        <f>IF(Table1_1[[#This Row],[Type]]="Expense", _xlfn.XLOOKUP(Table1_1[[#This Row],[Category]], Budget_Ref[Category], Budget_Ref[Monthly Budget], 0), 0)</f>
        <v>200</v>
      </c>
      <c r="I884" t="str">
        <f>IF(Table1_1[[#This Row],[Type]]="Expense", IF(Table1_1[[#This Row],[Amount]]&gt;Table1_1[[#This Row],[Monthly Budget]], "Over Budget", "OK"), "-")</f>
        <v>Over Budget</v>
      </c>
      <c r="J884">
        <f>IF(Table1_1[[#This Row],[Type]]="Income", Table1_1[[#This Row],[Amount]], -Table1_1[[#This Row],[Amount]])</f>
        <v>-1498.21</v>
      </c>
    </row>
    <row r="885" spans="1:10" x14ac:dyDescent="0.25">
      <c r="A885" s="1">
        <v>44943</v>
      </c>
      <c r="B885" t="s">
        <v>900</v>
      </c>
      <c r="C885" t="s">
        <v>6</v>
      </c>
      <c r="D885" s="2">
        <v>1569.77</v>
      </c>
      <c r="E885" t="s">
        <v>7</v>
      </c>
      <c r="F885" t="s">
        <v>1555</v>
      </c>
      <c r="G885">
        <v>2023</v>
      </c>
      <c r="H885">
        <f>IF(Table1_1[[#This Row],[Type]]="Expense", _xlfn.XLOOKUP(Table1_1[[#This Row],[Category]], Budget_Ref[Category], Budget_Ref[Monthly Budget], 0), 0)</f>
        <v>500</v>
      </c>
      <c r="I885" t="str">
        <f>IF(Table1_1[[#This Row],[Type]]="Expense", IF(Table1_1[[#This Row],[Amount]]&gt;Table1_1[[#This Row],[Monthly Budget]], "Over Budget", "OK"), "-")</f>
        <v>Over Budget</v>
      </c>
      <c r="J885">
        <f>IF(Table1_1[[#This Row],[Type]]="Income", Table1_1[[#This Row],[Amount]], -Table1_1[[#This Row],[Amount]])</f>
        <v>-1569.77</v>
      </c>
    </row>
    <row r="886" spans="1:10" x14ac:dyDescent="0.25">
      <c r="A886" s="1">
        <v>44944</v>
      </c>
      <c r="B886" t="s">
        <v>901</v>
      </c>
      <c r="C886" t="s">
        <v>22</v>
      </c>
      <c r="D886" s="2">
        <v>994.83</v>
      </c>
      <c r="E886" t="s">
        <v>7</v>
      </c>
      <c r="F886" t="s">
        <v>1555</v>
      </c>
      <c r="G886">
        <v>2023</v>
      </c>
      <c r="H886">
        <f>IF(Table1_1[[#This Row],[Type]]="Expense", _xlfn.XLOOKUP(Table1_1[[#This Row],[Category]], Budget_Ref[Category], Budget_Ref[Monthly Budget], 0), 0)</f>
        <v>200</v>
      </c>
      <c r="I886" t="str">
        <f>IF(Table1_1[[#This Row],[Type]]="Expense", IF(Table1_1[[#This Row],[Amount]]&gt;Table1_1[[#This Row],[Monthly Budget]], "Over Budget", "OK"), "-")</f>
        <v>Over Budget</v>
      </c>
      <c r="J886">
        <f>IF(Table1_1[[#This Row],[Type]]="Income", Table1_1[[#This Row],[Amount]], -Table1_1[[#This Row],[Amount]])</f>
        <v>-994.83</v>
      </c>
    </row>
    <row r="887" spans="1:10" x14ac:dyDescent="0.25">
      <c r="A887" s="1">
        <v>44945</v>
      </c>
      <c r="B887" t="s">
        <v>902</v>
      </c>
      <c r="C887" t="s">
        <v>20</v>
      </c>
      <c r="D887" s="2">
        <v>1081</v>
      </c>
      <c r="E887" t="s">
        <v>14</v>
      </c>
      <c r="F887" t="s">
        <v>1555</v>
      </c>
      <c r="G887">
        <v>2023</v>
      </c>
      <c r="H887">
        <f>IF(Table1_1[[#This Row],[Type]]="Expense", _xlfn.XLOOKUP(Table1_1[[#This Row],[Category]], Budget_Ref[Category], Budget_Ref[Monthly Budget], 0), 0)</f>
        <v>0</v>
      </c>
      <c r="I887" t="str">
        <f>IF(Table1_1[[#This Row],[Type]]="Expense", IF(Table1_1[[#This Row],[Amount]]&gt;Table1_1[[#This Row],[Monthly Budget]], "Over Budget", "OK"), "-")</f>
        <v>-</v>
      </c>
      <c r="J887">
        <f>IF(Table1_1[[#This Row],[Type]]="Income", Table1_1[[#This Row],[Amount]], -Table1_1[[#This Row],[Amount]])</f>
        <v>1081</v>
      </c>
    </row>
    <row r="888" spans="1:10" x14ac:dyDescent="0.25">
      <c r="A888" s="1">
        <v>44945</v>
      </c>
      <c r="B888" t="s">
        <v>903</v>
      </c>
      <c r="C888" t="s">
        <v>6</v>
      </c>
      <c r="D888" s="2">
        <v>1973.9</v>
      </c>
      <c r="E888" t="s">
        <v>7</v>
      </c>
      <c r="F888" t="s">
        <v>1555</v>
      </c>
      <c r="G888">
        <v>2023</v>
      </c>
      <c r="H888">
        <f>IF(Table1_1[[#This Row],[Type]]="Expense", _xlfn.XLOOKUP(Table1_1[[#This Row],[Category]], Budget_Ref[Category], Budget_Ref[Monthly Budget], 0), 0)</f>
        <v>500</v>
      </c>
      <c r="I888" t="str">
        <f>IF(Table1_1[[#This Row],[Type]]="Expense", IF(Table1_1[[#This Row],[Amount]]&gt;Table1_1[[#This Row],[Monthly Budget]], "Over Budget", "OK"), "-")</f>
        <v>Over Budget</v>
      </c>
      <c r="J888">
        <f>IF(Table1_1[[#This Row],[Type]]="Income", Table1_1[[#This Row],[Amount]], -Table1_1[[#This Row],[Amount]])</f>
        <v>-1973.9</v>
      </c>
    </row>
    <row r="889" spans="1:10" x14ac:dyDescent="0.25">
      <c r="A889" s="1">
        <v>44945</v>
      </c>
      <c r="B889" t="s">
        <v>904</v>
      </c>
      <c r="C889" t="s">
        <v>9</v>
      </c>
      <c r="D889" s="2">
        <v>779.81</v>
      </c>
      <c r="E889" t="s">
        <v>7</v>
      </c>
      <c r="F889" t="s">
        <v>1555</v>
      </c>
      <c r="G889">
        <v>2023</v>
      </c>
      <c r="H889">
        <f>IF(Table1_1[[#This Row],[Type]]="Expense", _xlfn.XLOOKUP(Table1_1[[#This Row],[Category]], Budget_Ref[Category], Budget_Ref[Monthly Budget], 0), 0)</f>
        <v>150</v>
      </c>
      <c r="I889" t="str">
        <f>IF(Table1_1[[#This Row],[Type]]="Expense", IF(Table1_1[[#This Row],[Amount]]&gt;Table1_1[[#This Row],[Monthly Budget]], "Over Budget", "OK"), "-")</f>
        <v>Over Budget</v>
      </c>
      <c r="J889">
        <f>IF(Table1_1[[#This Row],[Type]]="Income", Table1_1[[#This Row],[Amount]], -Table1_1[[#This Row],[Amount]])</f>
        <v>-779.81</v>
      </c>
    </row>
    <row r="890" spans="1:10" x14ac:dyDescent="0.25">
      <c r="A890" s="1">
        <v>44945</v>
      </c>
      <c r="B890" t="s">
        <v>905</v>
      </c>
      <c r="C890" t="s">
        <v>17</v>
      </c>
      <c r="D890" s="2">
        <v>737.17</v>
      </c>
      <c r="E890" t="s">
        <v>7</v>
      </c>
      <c r="F890" t="s">
        <v>1555</v>
      </c>
      <c r="G890">
        <v>2023</v>
      </c>
      <c r="H890">
        <f>IF(Table1_1[[#This Row],[Type]]="Expense", _xlfn.XLOOKUP(Table1_1[[#This Row],[Category]], Budget_Ref[Category], Budget_Ref[Monthly Budget], 0), 0)</f>
        <v>300</v>
      </c>
      <c r="I890" t="str">
        <f>IF(Table1_1[[#This Row],[Type]]="Expense", IF(Table1_1[[#This Row],[Amount]]&gt;Table1_1[[#This Row],[Monthly Budget]], "Over Budget", "OK"), "-")</f>
        <v>Over Budget</v>
      </c>
      <c r="J890">
        <f>IF(Table1_1[[#This Row],[Type]]="Income", Table1_1[[#This Row],[Amount]], -Table1_1[[#This Row],[Amount]])</f>
        <v>-737.17</v>
      </c>
    </row>
    <row r="891" spans="1:10" x14ac:dyDescent="0.25">
      <c r="A891" s="1">
        <v>44945</v>
      </c>
      <c r="B891" t="s">
        <v>906</v>
      </c>
      <c r="C891" t="s">
        <v>27</v>
      </c>
      <c r="D891" s="2">
        <v>1909.36</v>
      </c>
      <c r="E891" t="s">
        <v>14</v>
      </c>
      <c r="F891" t="s">
        <v>1555</v>
      </c>
      <c r="G891">
        <v>2023</v>
      </c>
      <c r="H891">
        <f>IF(Table1_1[[#This Row],[Type]]="Expense", _xlfn.XLOOKUP(Table1_1[[#This Row],[Category]], Budget_Ref[Category], Budget_Ref[Monthly Budget], 0), 0)</f>
        <v>0</v>
      </c>
      <c r="I891" t="str">
        <f>IF(Table1_1[[#This Row],[Type]]="Expense", IF(Table1_1[[#This Row],[Amount]]&gt;Table1_1[[#This Row],[Monthly Budget]], "Over Budget", "OK"), "-")</f>
        <v>-</v>
      </c>
      <c r="J891">
        <f>IF(Table1_1[[#This Row],[Type]]="Income", Table1_1[[#This Row],[Amount]], -Table1_1[[#This Row],[Amount]])</f>
        <v>1909.36</v>
      </c>
    </row>
    <row r="892" spans="1:10" x14ac:dyDescent="0.25">
      <c r="A892" s="1">
        <v>44946</v>
      </c>
      <c r="B892" t="s">
        <v>907</v>
      </c>
      <c r="C892" t="s">
        <v>6</v>
      </c>
      <c r="D892" s="2">
        <v>1178.8499999999999</v>
      </c>
      <c r="E892" t="s">
        <v>7</v>
      </c>
      <c r="F892" t="s">
        <v>1555</v>
      </c>
      <c r="G892">
        <v>2023</v>
      </c>
      <c r="H892">
        <f>IF(Table1_1[[#This Row],[Type]]="Expense", _xlfn.XLOOKUP(Table1_1[[#This Row],[Category]], Budget_Ref[Category], Budget_Ref[Monthly Budget], 0), 0)</f>
        <v>500</v>
      </c>
      <c r="I892" t="str">
        <f>IF(Table1_1[[#This Row],[Type]]="Expense", IF(Table1_1[[#This Row],[Amount]]&gt;Table1_1[[#This Row],[Monthly Budget]], "Over Budget", "OK"), "-")</f>
        <v>Over Budget</v>
      </c>
      <c r="J892">
        <f>IF(Table1_1[[#This Row],[Type]]="Income", Table1_1[[#This Row],[Amount]], -Table1_1[[#This Row],[Amount]])</f>
        <v>-1178.8499999999999</v>
      </c>
    </row>
    <row r="893" spans="1:10" x14ac:dyDescent="0.25">
      <c r="A893" s="1">
        <v>44947</v>
      </c>
      <c r="B893" t="s">
        <v>908</v>
      </c>
      <c r="C893" t="s">
        <v>13</v>
      </c>
      <c r="D893" s="2">
        <v>826</v>
      </c>
      <c r="E893" t="s">
        <v>14</v>
      </c>
      <c r="F893" t="s">
        <v>1555</v>
      </c>
      <c r="G893">
        <v>2023</v>
      </c>
      <c r="H893">
        <f>IF(Table1_1[[#This Row],[Type]]="Expense", _xlfn.XLOOKUP(Table1_1[[#This Row],[Category]], Budget_Ref[Category], Budget_Ref[Monthly Budget], 0), 0)</f>
        <v>0</v>
      </c>
      <c r="I893" t="str">
        <f>IF(Table1_1[[#This Row],[Type]]="Expense", IF(Table1_1[[#This Row],[Amount]]&gt;Table1_1[[#This Row],[Monthly Budget]], "Over Budget", "OK"), "-")</f>
        <v>-</v>
      </c>
      <c r="J893">
        <f>IF(Table1_1[[#This Row],[Type]]="Income", Table1_1[[#This Row],[Amount]], -Table1_1[[#This Row],[Amount]])</f>
        <v>826</v>
      </c>
    </row>
    <row r="894" spans="1:10" x14ac:dyDescent="0.25">
      <c r="A894" s="1">
        <v>44947</v>
      </c>
      <c r="B894" t="s">
        <v>909</v>
      </c>
      <c r="C894" t="s">
        <v>17</v>
      </c>
      <c r="D894" s="2">
        <v>1018.16</v>
      </c>
      <c r="E894" t="s">
        <v>7</v>
      </c>
      <c r="F894" t="s">
        <v>1555</v>
      </c>
      <c r="G894">
        <v>2023</v>
      </c>
      <c r="H894">
        <f>IF(Table1_1[[#This Row],[Type]]="Expense", _xlfn.XLOOKUP(Table1_1[[#This Row],[Category]], Budget_Ref[Category], Budget_Ref[Monthly Budget], 0), 0)</f>
        <v>300</v>
      </c>
      <c r="I894" t="str">
        <f>IF(Table1_1[[#This Row],[Type]]="Expense", IF(Table1_1[[#This Row],[Amount]]&gt;Table1_1[[#This Row],[Monthly Budget]], "Over Budget", "OK"), "-")</f>
        <v>Over Budget</v>
      </c>
      <c r="J894">
        <f>IF(Table1_1[[#This Row],[Type]]="Income", Table1_1[[#This Row],[Amount]], -Table1_1[[#This Row],[Amount]])</f>
        <v>-1018.16</v>
      </c>
    </row>
    <row r="895" spans="1:10" x14ac:dyDescent="0.25">
      <c r="A895" s="1">
        <v>44948</v>
      </c>
      <c r="B895" t="s">
        <v>910</v>
      </c>
      <c r="C895" t="s">
        <v>17</v>
      </c>
      <c r="D895" s="2">
        <v>852.91</v>
      </c>
      <c r="E895" t="s">
        <v>7</v>
      </c>
      <c r="F895" t="s">
        <v>1555</v>
      </c>
      <c r="G895">
        <v>2023</v>
      </c>
      <c r="H895">
        <f>IF(Table1_1[[#This Row],[Type]]="Expense", _xlfn.XLOOKUP(Table1_1[[#This Row],[Category]], Budget_Ref[Category], Budget_Ref[Monthly Budget], 0), 0)</f>
        <v>300</v>
      </c>
      <c r="I895" t="str">
        <f>IF(Table1_1[[#This Row],[Type]]="Expense", IF(Table1_1[[#This Row],[Amount]]&gt;Table1_1[[#This Row],[Monthly Budget]], "Over Budget", "OK"), "-")</f>
        <v>Over Budget</v>
      </c>
      <c r="J895">
        <f>IF(Table1_1[[#This Row],[Type]]="Income", Table1_1[[#This Row],[Amount]], -Table1_1[[#This Row],[Amount]])</f>
        <v>-852.91</v>
      </c>
    </row>
    <row r="896" spans="1:10" x14ac:dyDescent="0.25">
      <c r="A896" s="1">
        <v>44949</v>
      </c>
      <c r="B896" t="s">
        <v>911</v>
      </c>
      <c r="C896" t="s">
        <v>9</v>
      </c>
      <c r="D896" s="2">
        <v>562.16</v>
      </c>
      <c r="E896" t="s">
        <v>7</v>
      </c>
      <c r="F896" t="s">
        <v>1555</v>
      </c>
      <c r="G896">
        <v>2023</v>
      </c>
      <c r="H896">
        <f>IF(Table1_1[[#This Row],[Type]]="Expense", _xlfn.XLOOKUP(Table1_1[[#This Row],[Category]], Budget_Ref[Category], Budget_Ref[Monthly Budget], 0), 0)</f>
        <v>150</v>
      </c>
      <c r="I896" t="str">
        <f>IF(Table1_1[[#This Row],[Type]]="Expense", IF(Table1_1[[#This Row],[Amount]]&gt;Table1_1[[#This Row],[Monthly Budget]], "Over Budget", "OK"), "-")</f>
        <v>Over Budget</v>
      </c>
      <c r="J896">
        <f>IF(Table1_1[[#This Row],[Type]]="Income", Table1_1[[#This Row],[Amount]], -Table1_1[[#This Row],[Amount]])</f>
        <v>-562.16</v>
      </c>
    </row>
    <row r="897" spans="1:10" x14ac:dyDescent="0.25">
      <c r="A897" s="1">
        <v>44949</v>
      </c>
      <c r="B897" t="s">
        <v>912</v>
      </c>
      <c r="C897" t="s">
        <v>22</v>
      </c>
      <c r="D897" s="2">
        <v>1948.88</v>
      </c>
      <c r="E897" t="s">
        <v>7</v>
      </c>
      <c r="F897" t="s">
        <v>1555</v>
      </c>
      <c r="G897">
        <v>2023</v>
      </c>
      <c r="H897">
        <f>IF(Table1_1[[#This Row],[Type]]="Expense", _xlfn.XLOOKUP(Table1_1[[#This Row],[Category]], Budget_Ref[Category], Budget_Ref[Monthly Budget], 0), 0)</f>
        <v>200</v>
      </c>
      <c r="I897" t="str">
        <f>IF(Table1_1[[#This Row],[Type]]="Expense", IF(Table1_1[[#This Row],[Amount]]&gt;Table1_1[[#This Row],[Monthly Budget]], "Over Budget", "OK"), "-")</f>
        <v>Over Budget</v>
      </c>
      <c r="J897">
        <f>IF(Table1_1[[#This Row],[Type]]="Income", Table1_1[[#This Row],[Amount]], -Table1_1[[#This Row],[Amount]])</f>
        <v>-1948.88</v>
      </c>
    </row>
    <row r="898" spans="1:10" x14ac:dyDescent="0.25">
      <c r="A898" s="1">
        <v>44949</v>
      </c>
      <c r="B898" t="s">
        <v>913</v>
      </c>
      <c r="C898" t="s">
        <v>20</v>
      </c>
      <c r="D898" s="2">
        <v>3700</v>
      </c>
      <c r="E898" t="s">
        <v>14</v>
      </c>
      <c r="F898" t="s">
        <v>1555</v>
      </c>
      <c r="G898">
        <v>2023</v>
      </c>
      <c r="H898">
        <f>IF(Table1_1[[#This Row],[Type]]="Expense", _xlfn.XLOOKUP(Table1_1[[#This Row],[Category]], Budget_Ref[Category], Budget_Ref[Monthly Budget], 0), 0)</f>
        <v>0</v>
      </c>
      <c r="I898" t="str">
        <f>IF(Table1_1[[#This Row],[Type]]="Expense", IF(Table1_1[[#This Row],[Amount]]&gt;Table1_1[[#This Row],[Monthly Budget]], "Over Budget", "OK"), "-")</f>
        <v>-</v>
      </c>
      <c r="J898">
        <f>IF(Table1_1[[#This Row],[Type]]="Income", Table1_1[[#This Row],[Amount]], -Table1_1[[#This Row],[Amount]])</f>
        <v>3700</v>
      </c>
    </row>
    <row r="899" spans="1:10" x14ac:dyDescent="0.25">
      <c r="A899" s="1">
        <v>44950</v>
      </c>
      <c r="B899" t="s">
        <v>914</v>
      </c>
      <c r="C899" t="s">
        <v>11</v>
      </c>
      <c r="D899" s="2">
        <v>627.24</v>
      </c>
      <c r="E899" t="s">
        <v>7</v>
      </c>
      <c r="F899" t="s">
        <v>1555</v>
      </c>
      <c r="G899">
        <v>2023</v>
      </c>
      <c r="H899">
        <f>IF(Table1_1[[#This Row],[Type]]="Expense", _xlfn.XLOOKUP(Table1_1[[#This Row],[Category]], Budget_Ref[Category], Budget_Ref[Monthly Budget], 0), 0)</f>
        <v>1500</v>
      </c>
      <c r="I899" t="str">
        <f>IF(Table1_1[[#This Row],[Type]]="Expense", IF(Table1_1[[#This Row],[Amount]]&gt;Table1_1[[#This Row],[Monthly Budget]], "Over Budget", "OK"), "-")</f>
        <v>OK</v>
      </c>
      <c r="J899">
        <f>IF(Table1_1[[#This Row],[Type]]="Income", Table1_1[[#This Row],[Amount]], -Table1_1[[#This Row],[Amount]])</f>
        <v>-627.24</v>
      </c>
    </row>
    <row r="900" spans="1:10" x14ac:dyDescent="0.25">
      <c r="A900" s="1">
        <v>44950</v>
      </c>
      <c r="B900" t="s">
        <v>915</v>
      </c>
      <c r="C900" t="s">
        <v>22</v>
      </c>
      <c r="D900" s="2">
        <v>125.23</v>
      </c>
      <c r="E900" t="s">
        <v>7</v>
      </c>
      <c r="F900" t="s">
        <v>1555</v>
      </c>
      <c r="G900">
        <v>2023</v>
      </c>
      <c r="H900">
        <f>IF(Table1_1[[#This Row],[Type]]="Expense", _xlfn.XLOOKUP(Table1_1[[#This Row],[Category]], Budget_Ref[Category], Budget_Ref[Monthly Budget], 0), 0)</f>
        <v>200</v>
      </c>
      <c r="I900" t="str">
        <f>IF(Table1_1[[#This Row],[Type]]="Expense", IF(Table1_1[[#This Row],[Amount]]&gt;Table1_1[[#This Row],[Monthly Budget]], "Over Budget", "OK"), "-")</f>
        <v>OK</v>
      </c>
      <c r="J900">
        <f>IF(Table1_1[[#This Row],[Type]]="Income", Table1_1[[#This Row],[Amount]], -Table1_1[[#This Row],[Amount]])</f>
        <v>-125.23</v>
      </c>
    </row>
    <row r="901" spans="1:10" x14ac:dyDescent="0.25">
      <c r="A901" s="1">
        <v>44950</v>
      </c>
      <c r="B901" t="s">
        <v>916</v>
      </c>
      <c r="C901" t="s">
        <v>20</v>
      </c>
      <c r="D901" s="2">
        <v>1450</v>
      </c>
      <c r="E901" t="s">
        <v>14</v>
      </c>
      <c r="F901" t="s">
        <v>1555</v>
      </c>
      <c r="G901">
        <v>2023</v>
      </c>
      <c r="H901">
        <f>IF(Table1_1[[#This Row],[Type]]="Expense", _xlfn.XLOOKUP(Table1_1[[#This Row],[Category]], Budget_Ref[Category], Budget_Ref[Monthly Budget], 0), 0)</f>
        <v>0</v>
      </c>
      <c r="I901" t="str">
        <f>IF(Table1_1[[#This Row],[Type]]="Expense", IF(Table1_1[[#This Row],[Amount]]&gt;Table1_1[[#This Row],[Monthly Budget]], "Over Budget", "OK"), "-")</f>
        <v>-</v>
      </c>
      <c r="J901">
        <f>IF(Table1_1[[#This Row],[Type]]="Income", Table1_1[[#This Row],[Amount]], -Table1_1[[#This Row],[Amount]])</f>
        <v>1450</v>
      </c>
    </row>
    <row r="902" spans="1:10" x14ac:dyDescent="0.25">
      <c r="A902" s="1">
        <v>44950</v>
      </c>
      <c r="B902" t="s">
        <v>917</v>
      </c>
      <c r="C902" t="s">
        <v>6</v>
      </c>
      <c r="D902" s="2">
        <v>625.49</v>
      </c>
      <c r="E902" t="s">
        <v>7</v>
      </c>
      <c r="F902" t="s">
        <v>1555</v>
      </c>
      <c r="G902">
        <v>2023</v>
      </c>
      <c r="H902">
        <f>IF(Table1_1[[#This Row],[Type]]="Expense", _xlfn.XLOOKUP(Table1_1[[#This Row],[Category]], Budget_Ref[Category], Budget_Ref[Monthly Budget], 0), 0)</f>
        <v>500</v>
      </c>
      <c r="I902" t="str">
        <f>IF(Table1_1[[#This Row],[Type]]="Expense", IF(Table1_1[[#This Row],[Amount]]&gt;Table1_1[[#This Row],[Monthly Budget]], "Over Budget", "OK"), "-")</f>
        <v>Over Budget</v>
      </c>
      <c r="J902">
        <f>IF(Table1_1[[#This Row],[Type]]="Income", Table1_1[[#This Row],[Amount]], -Table1_1[[#This Row],[Amount]])</f>
        <v>-625.49</v>
      </c>
    </row>
    <row r="903" spans="1:10" x14ac:dyDescent="0.25">
      <c r="A903" s="1">
        <v>44950</v>
      </c>
      <c r="B903" t="s">
        <v>918</v>
      </c>
      <c r="C903" t="s">
        <v>9</v>
      </c>
      <c r="D903" s="2">
        <v>247.69</v>
      </c>
      <c r="E903" t="s">
        <v>7</v>
      </c>
      <c r="F903" t="s">
        <v>1555</v>
      </c>
      <c r="G903">
        <v>2023</v>
      </c>
      <c r="H903">
        <f>IF(Table1_1[[#This Row],[Type]]="Expense", _xlfn.XLOOKUP(Table1_1[[#This Row],[Category]], Budget_Ref[Category], Budget_Ref[Monthly Budget], 0), 0)</f>
        <v>150</v>
      </c>
      <c r="I903" t="str">
        <f>IF(Table1_1[[#This Row],[Type]]="Expense", IF(Table1_1[[#This Row],[Amount]]&gt;Table1_1[[#This Row],[Monthly Budget]], "Over Budget", "OK"), "-")</f>
        <v>Over Budget</v>
      </c>
      <c r="J903">
        <f>IF(Table1_1[[#This Row],[Type]]="Income", Table1_1[[#This Row],[Amount]], -Table1_1[[#This Row],[Amount]])</f>
        <v>-247.69</v>
      </c>
    </row>
    <row r="904" spans="1:10" x14ac:dyDescent="0.25">
      <c r="A904" s="1">
        <v>44950</v>
      </c>
      <c r="B904" t="s">
        <v>919</v>
      </c>
      <c r="C904" t="s">
        <v>6</v>
      </c>
      <c r="D904" s="2">
        <v>336.03</v>
      </c>
      <c r="E904" t="s">
        <v>7</v>
      </c>
      <c r="F904" t="s">
        <v>1555</v>
      </c>
      <c r="G904">
        <v>2023</v>
      </c>
      <c r="H904">
        <f>IF(Table1_1[[#This Row],[Type]]="Expense", _xlfn.XLOOKUP(Table1_1[[#This Row],[Category]], Budget_Ref[Category], Budget_Ref[Monthly Budget], 0), 0)</f>
        <v>500</v>
      </c>
      <c r="I904" t="str">
        <f>IF(Table1_1[[#This Row],[Type]]="Expense", IF(Table1_1[[#This Row],[Amount]]&gt;Table1_1[[#This Row],[Monthly Budget]], "Over Budget", "OK"), "-")</f>
        <v>OK</v>
      </c>
      <c r="J904">
        <f>IF(Table1_1[[#This Row],[Type]]="Income", Table1_1[[#This Row],[Amount]], -Table1_1[[#This Row],[Amount]])</f>
        <v>-336.03</v>
      </c>
    </row>
    <row r="905" spans="1:10" x14ac:dyDescent="0.25">
      <c r="A905" s="1">
        <v>44951</v>
      </c>
      <c r="B905" t="s">
        <v>920</v>
      </c>
      <c r="C905" t="s">
        <v>35</v>
      </c>
      <c r="D905" s="2">
        <v>342.26</v>
      </c>
      <c r="E905" t="s">
        <v>7</v>
      </c>
      <c r="F905" t="s">
        <v>1555</v>
      </c>
      <c r="G905">
        <v>2023</v>
      </c>
      <c r="H905">
        <f>IF(Table1_1[[#This Row],[Type]]="Expense", _xlfn.XLOOKUP(Table1_1[[#This Row],[Category]], Budget_Ref[Category], Budget_Ref[Monthly Budget], 0), 0)</f>
        <v>200</v>
      </c>
      <c r="I905" t="str">
        <f>IF(Table1_1[[#This Row],[Type]]="Expense", IF(Table1_1[[#This Row],[Amount]]&gt;Table1_1[[#This Row],[Monthly Budget]], "Over Budget", "OK"), "-")</f>
        <v>Over Budget</v>
      </c>
      <c r="J905">
        <f>IF(Table1_1[[#This Row],[Type]]="Income", Table1_1[[#This Row],[Amount]], -Table1_1[[#This Row],[Amount]])</f>
        <v>-342.26</v>
      </c>
    </row>
    <row r="906" spans="1:10" x14ac:dyDescent="0.25">
      <c r="A906" s="1">
        <v>44952</v>
      </c>
      <c r="B906" t="s">
        <v>921</v>
      </c>
      <c r="C906" t="s">
        <v>20</v>
      </c>
      <c r="D906" s="2">
        <v>1467</v>
      </c>
      <c r="E906" t="s">
        <v>14</v>
      </c>
      <c r="F906" t="s">
        <v>1555</v>
      </c>
      <c r="G906">
        <v>2023</v>
      </c>
      <c r="H906">
        <f>IF(Table1_1[[#This Row],[Type]]="Expense", _xlfn.XLOOKUP(Table1_1[[#This Row],[Category]], Budget_Ref[Category], Budget_Ref[Monthly Budget], 0), 0)</f>
        <v>0</v>
      </c>
      <c r="I906" t="str">
        <f>IF(Table1_1[[#This Row],[Type]]="Expense", IF(Table1_1[[#This Row],[Amount]]&gt;Table1_1[[#This Row],[Monthly Budget]], "Over Budget", "OK"), "-")</f>
        <v>-</v>
      </c>
      <c r="J906">
        <f>IF(Table1_1[[#This Row],[Type]]="Income", Table1_1[[#This Row],[Amount]], -Table1_1[[#This Row],[Amount]])</f>
        <v>1467</v>
      </c>
    </row>
    <row r="907" spans="1:10" x14ac:dyDescent="0.25">
      <c r="A907" s="1">
        <v>44953</v>
      </c>
      <c r="B907" t="s">
        <v>922</v>
      </c>
      <c r="C907" t="s">
        <v>6</v>
      </c>
      <c r="D907" s="2">
        <v>676.67</v>
      </c>
      <c r="E907" t="s">
        <v>7</v>
      </c>
      <c r="F907" t="s">
        <v>1555</v>
      </c>
      <c r="G907">
        <v>2023</v>
      </c>
      <c r="H907">
        <f>IF(Table1_1[[#This Row],[Type]]="Expense", _xlfn.XLOOKUP(Table1_1[[#This Row],[Category]], Budget_Ref[Category], Budget_Ref[Monthly Budget], 0), 0)</f>
        <v>500</v>
      </c>
      <c r="I907" t="str">
        <f>IF(Table1_1[[#This Row],[Type]]="Expense", IF(Table1_1[[#This Row],[Amount]]&gt;Table1_1[[#This Row],[Monthly Budget]], "Over Budget", "OK"), "-")</f>
        <v>Over Budget</v>
      </c>
      <c r="J907">
        <f>IF(Table1_1[[#This Row],[Type]]="Income", Table1_1[[#This Row],[Amount]], -Table1_1[[#This Row],[Amount]])</f>
        <v>-676.67</v>
      </c>
    </row>
    <row r="908" spans="1:10" x14ac:dyDescent="0.25">
      <c r="A908" s="1">
        <v>44953</v>
      </c>
      <c r="B908" t="s">
        <v>923</v>
      </c>
      <c r="C908" t="s">
        <v>11</v>
      </c>
      <c r="D908" s="2">
        <v>533.27</v>
      </c>
      <c r="E908" t="s">
        <v>7</v>
      </c>
      <c r="F908" t="s">
        <v>1555</v>
      </c>
      <c r="G908">
        <v>2023</v>
      </c>
      <c r="H908">
        <f>IF(Table1_1[[#This Row],[Type]]="Expense", _xlfn.XLOOKUP(Table1_1[[#This Row],[Category]], Budget_Ref[Category], Budget_Ref[Monthly Budget], 0), 0)</f>
        <v>1500</v>
      </c>
      <c r="I908" t="str">
        <f>IF(Table1_1[[#This Row],[Type]]="Expense", IF(Table1_1[[#This Row],[Amount]]&gt;Table1_1[[#This Row],[Monthly Budget]], "Over Budget", "OK"), "-")</f>
        <v>OK</v>
      </c>
      <c r="J908">
        <f>IF(Table1_1[[#This Row],[Type]]="Income", Table1_1[[#This Row],[Amount]], -Table1_1[[#This Row],[Amount]])</f>
        <v>-533.27</v>
      </c>
    </row>
    <row r="909" spans="1:10" x14ac:dyDescent="0.25">
      <c r="A909" s="1">
        <v>44954</v>
      </c>
      <c r="B909" t="s">
        <v>924</v>
      </c>
      <c r="C909" t="s">
        <v>11</v>
      </c>
      <c r="D909" s="2">
        <v>997.33</v>
      </c>
      <c r="E909" t="s">
        <v>7</v>
      </c>
      <c r="F909" t="s">
        <v>1555</v>
      </c>
      <c r="G909">
        <v>2023</v>
      </c>
      <c r="H909">
        <f>IF(Table1_1[[#This Row],[Type]]="Expense", _xlfn.XLOOKUP(Table1_1[[#This Row],[Category]], Budget_Ref[Category], Budget_Ref[Monthly Budget], 0), 0)</f>
        <v>1500</v>
      </c>
      <c r="I909" t="str">
        <f>IF(Table1_1[[#This Row],[Type]]="Expense", IF(Table1_1[[#This Row],[Amount]]&gt;Table1_1[[#This Row],[Monthly Budget]], "Over Budget", "OK"), "-")</f>
        <v>OK</v>
      </c>
      <c r="J909">
        <f>IF(Table1_1[[#This Row],[Type]]="Income", Table1_1[[#This Row],[Amount]], -Table1_1[[#This Row],[Amount]])</f>
        <v>-997.33</v>
      </c>
    </row>
    <row r="910" spans="1:10" x14ac:dyDescent="0.25">
      <c r="A910" s="1">
        <v>44955</v>
      </c>
      <c r="B910" t="s">
        <v>925</v>
      </c>
      <c r="C910" t="s">
        <v>6</v>
      </c>
      <c r="D910" s="2">
        <v>1004.22</v>
      </c>
      <c r="E910" t="s">
        <v>7</v>
      </c>
      <c r="F910" t="s">
        <v>1555</v>
      </c>
      <c r="G910">
        <v>2023</v>
      </c>
      <c r="H910">
        <f>IF(Table1_1[[#This Row],[Type]]="Expense", _xlfn.XLOOKUP(Table1_1[[#This Row],[Category]], Budget_Ref[Category], Budget_Ref[Monthly Budget], 0), 0)</f>
        <v>500</v>
      </c>
      <c r="I910" t="str">
        <f>IF(Table1_1[[#This Row],[Type]]="Expense", IF(Table1_1[[#This Row],[Amount]]&gt;Table1_1[[#This Row],[Monthly Budget]], "Over Budget", "OK"), "-")</f>
        <v>Over Budget</v>
      </c>
      <c r="J910">
        <f>IF(Table1_1[[#This Row],[Type]]="Income", Table1_1[[#This Row],[Amount]], -Table1_1[[#This Row],[Amount]])</f>
        <v>-1004.22</v>
      </c>
    </row>
    <row r="911" spans="1:10" x14ac:dyDescent="0.25">
      <c r="A911" s="1">
        <v>44955</v>
      </c>
      <c r="B911" t="s">
        <v>926</v>
      </c>
      <c r="C911" t="s">
        <v>25</v>
      </c>
      <c r="D911" s="2">
        <v>323.05</v>
      </c>
      <c r="E911" t="s">
        <v>7</v>
      </c>
      <c r="F911" t="s">
        <v>1555</v>
      </c>
      <c r="G911">
        <v>2023</v>
      </c>
      <c r="H911">
        <f>IF(Table1_1[[#This Row],[Type]]="Expense", _xlfn.XLOOKUP(Table1_1[[#This Row],[Category]], Budget_Ref[Category], Budget_Ref[Monthly Budget], 0), 0)</f>
        <v>150</v>
      </c>
      <c r="I911" t="str">
        <f>IF(Table1_1[[#This Row],[Type]]="Expense", IF(Table1_1[[#This Row],[Amount]]&gt;Table1_1[[#This Row],[Monthly Budget]], "Over Budget", "OK"), "-")</f>
        <v>Over Budget</v>
      </c>
      <c r="J911">
        <f>IF(Table1_1[[#This Row],[Type]]="Income", Table1_1[[#This Row],[Amount]], -Table1_1[[#This Row],[Amount]])</f>
        <v>-323.05</v>
      </c>
    </row>
    <row r="912" spans="1:10" x14ac:dyDescent="0.25">
      <c r="A912" s="1">
        <v>44956</v>
      </c>
      <c r="B912" t="s">
        <v>927</v>
      </c>
      <c r="C912" t="s">
        <v>11</v>
      </c>
      <c r="D912" s="2">
        <v>464.52</v>
      </c>
      <c r="E912" t="s">
        <v>7</v>
      </c>
      <c r="F912" t="s">
        <v>1555</v>
      </c>
      <c r="G912">
        <v>2023</v>
      </c>
      <c r="H912">
        <f>IF(Table1_1[[#This Row],[Type]]="Expense", _xlfn.XLOOKUP(Table1_1[[#This Row],[Category]], Budget_Ref[Category], Budget_Ref[Monthly Budget], 0), 0)</f>
        <v>1500</v>
      </c>
      <c r="I912" t="str">
        <f>IF(Table1_1[[#This Row],[Type]]="Expense", IF(Table1_1[[#This Row],[Amount]]&gt;Table1_1[[#This Row],[Monthly Budget]], "Over Budget", "OK"), "-")</f>
        <v>OK</v>
      </c>
      <c r="J912">
        <f>IF(Table1_1[[#This Row],[Type]]="Income", Table1_1[[#This Row],[Amount]], -Table1_1[[#This Row],[Amount]])</f>
        <v>-464.52</v>
      </c>
    </row>
    <row r="913" spans="1:10" x14ac:dyDescent="0.25">
      <c r="A913" s="1">
        <v>44957</v>
      </c>
      <c r="B913" t="s">
        <v>928</v>
      </c>
      <c r="C913" t="s">
        <v>6</v>
      </c>
      <c r="D913" s="2">
        <v>1718.79</v>
      </c>
      <c r="E913" t="s">
        <v>7</v>
      </c>
      <c r="F913" t="s">
        <v>1555</v>
      </c>
      <c r="G913">
        <v>2023</v>
      </c>
      <c r="H913">
        <f>IF(Table1_1[[#This Row],[Type]]="Expense", _xlfn.XLOOKUP(Table1_1[[#This Row],[Category]], Budget_Ref[Category], Budget_Ref[Monthly Budget], 0), 0)</f>
        <v>500</v>
      </c>
      <c r="I913" t="str">
        <f>IF(Table1_1[[#This Row],[Type]]="Expense", IF(Table1_1[[#This Row],[Amount]]&gt;Table1_1[[#This Row],[Monthly Budget]], "Over Budget", "OK"), "-")</f>
        <v>Over Budget</v>
      </c>
      <c r="J913">
        <f>IF(Table1_1[[#This Row],[Type]]="Income", Table1_1[[#This Row],[Amount]], -Table1_1[[#This Row],[Amount]])</f>
        <v>-1718.79</v>
      </c>
    </row>
    <row r="914" spans="1:10" x14ac:dyDescent="0.25">
      <c r="A914" s="1">
        <v>44957</v>
      </c>
      <c r="B914" t="s">
        <v>929</v>
      </c>
      <c r="C914" t="s">
        <v>13</v>
      </c>
      <c r="D914" s="2">
        <v>4364</v>
      </c>
      <c r="E914" t="s">
        <v>14</v>
      </c>
      <c r="F914" t="s">
        <v>1555</v>
      </c>
      <c r="G914">
        <v>2023</v>
      </c>
      <c r="H914">
        <f>IF(Table1_1[[#This Row],[Type]]="Expense", _xlfn.XLOOKUP(Table1_1[[#This Row],[Category]], Budget_Ref[Category], Budget_Ref[Monthly Budget], 0), 0)</f>
        <v>0</v>
      </c>
      <c r="I914" t="str">
        <f>IF(Table1_1[[#This Row],[Type]]="Expense", IF(Table1_1[[#This Row],[Amount]]&gt;Table1_1[[#This Row],[Monthly Budget]], "Over Budget", "OK"), "-")</f>
        <v>-</v>
      </c>
      <c r="J914">
        <f>IF(Table1_1[[#This Row],[Type]]="Income", Table1_1[[#This Row],[Amount]], -Table1_1[[#This Row],[Amount]])</f>
        <v>4364</v>
      </c>
    </row>
    <row r="915" spans="1:10" x14ac:dyDescent="0.25">
      <c r="A915" s="1">
        <v>44958</v>
      </c>
      <c r="B915" t="s">
        <v>930</v>
      </c>
      <c r="C915" t="s">
        <v>9</v>
      </c>
      <c r="D915" s="2">
        <v>366.13</v>
      </c>
      <c r="E915" t="s">
        <v>7</v>
      </c>
      <c r="F915" t="s">
        <v>1556</v>
      </c>
      <c r="G915">
        <v>2023</v>
      </c>
      <c r="H915">
        <f>IF(Table1_1[[#This Row],[Type]]="Expense", _xlfn.XLOOKUP(Table1_1[[#This Row],[Category]], Budget_Ref[Category], Budget_Ref[Monthly Budget], 0), 0)</f>
        <v>150</v>
      </c>
      <c r="I915" t="str">
        <f>IF(Table1_1[[#This Row],[Type]]="Expense", IF(Table1_1[[#This Row],[Amount]]&gt;Table1_1[[#This Row],[Monthly Budget]], "Over Budget", "OK"), "-")</f>
        <v>Over Budget</v>
      </c>
      <c r="J915">
        <f>IF(Table1_1[[#This Row],[Type]]="Income", Table1_1[[#This Row],[Amount]], -Table1_1[[#This Row],[Amount]])</f>
        <v>-366.13</v>
      </c>
    </row>
    <row r="916" spans="1:10" x14ac:dyDescent="0.25">
      <c r="A916" s="1">
        <v>44959</v>
      </c>
      <c r="B916" t="s">
        <v>931</v>
      </c>
      <c r="C916" t="s">
        <v>6</v>
      </c>
      <c r="D916" s="2">
        <v>1110.2</v>
      </c>
      <c r="E916" t="s">
        <v>7</v>
      </c>
      <c r="F916" t="s">
        <v>1556</v>
      </c>
      <c r="G916">
        <v>2023</v>
      </c>
      <c r="H916">
        <f>IF(Table1_1[[#This Row],[Type]]="Expense", _xlfn.XLOOKUP(Table1_1[[#This Row],[Category]], Budget_Ref[Category], Budget_Ref[Monthly Budget], 0), 0)</f>
        <v>500</v>
      </c>
      <c r="I916" t="str">
        <f>IF(Table1_1[[#This Row],[Type]]="Expense", IF(Table1_1[[#This Row],[Amount]]&gt;Table1_1[[#This Row],[Monthly Budget]], "Over Budget", "OK"), "-")</f>
        <v>Over Budget</v>
      </c>
      <c r="J916">
        <f>IF(Table1_1[[#This Row],[Type]]="Income", Table1_1[[#This Row],[Amount]], -Table1_1[[#This Row],[Amount]])</f>
        <v>-1110.2</v>
      </c>
    </row>
    <row r="917" spans="1:10" x14ac:dyDescent="0.25">
      <c r="A917" s="1">
        <v>44960</v>
      </c>
      <c r="B917" t="s">
        <v>932</v>
      </c>
      <c r="C917" t="s">
        <v>17</v>
      </c>
      <c r="D917" s="2">
        <v>456.79</v>
      </c>
      <c r="E917" t="s">
        <v>7</v>
      </c>
      <c r="F917" t="s">
        <v>1556</v>
      </c>
      <c r="G917">
        <v>2023</v>
      </c>
      <c r="H917">
        <f>IF(Table1_1[[#This Row],[Type]]="Expense", _xlfn.XLOOKUP(Table1_1[[#This Row],[Category]], Budget_Ref[Category], Budget_Ref[Monthly Budget], 0), 0)</f>
        <v>300</v>
      </c>
      <c r="I917" t="str">
        <f>IF(Table1_1[[#This Row],[Type]]="Expense", IF(Table1_1[[#This Row],[Amount]]&gt;Table1_1[[#This Row],[Monthly Budget]], "Over Budget", "OK"), "-")</f>
        <v>Over Budget</v>
      </c>
      <c r="J917">
        <f>IF(Table1_1[[#This Row],[Type]]="Income", Table1_1[[#This Row],[Amount]], -Table1_1[[#This Row],[Amount]])</f>
        <v>-456.79</v>
      </c>
    </row>
    <row r="918" spans="1:10" x14ac:dyDescent="0.25">
      <c r="A918" s="1">
        <v>44963</v>
      </c>
      <c r="B918" t="s">
        <v>933</v>
      </c>
      <c r="C918" t="s">
        <v>25</v>
      </c>
      <c r="D918" s="2">
        <v>549.79999999999995</v>
      </c>
      <c r="E918" t="s">
        <v>7</v>
      </c>
      <c r="F918" t="s">
        <v>1556</v>
      </c>
      <c r="G918">
        <v>2023</v>
      </c>
      <c r="H918">
        <f>IF(Table1_1[[#This Row],[Type]]="Expense", _xlfn.XLOOKUP(Table1_1[[#This Row],[Category]], Budget_Ref[Category], Budget_Ref[Monthly Budget], 0), 0)</f>
        <v>150</v>
      </c>
      <c r="I918" t="str">
        <f>IF(Table1_1[[#This Row],[Type]]="Expense", IF(Table1_1[[#This Row],[Amount]]&gt;Table1_1[[#This Row],[Monthly Budget]], "Over Budget", "OK"), "-")</f>
        <v>Over Budget</v>
      </c>
      <c r="J918">
        <f>IF(Table1_1[[#This Row],[Type]]="Income", Table1_1[[#This Row],[Amount]], -Table1_1[[#This Row],[Amount]])</f>
        <v>-549.79999999999995</v>
      </c>
    </row>
    <row r="919" spans="1:10" x14ac:dyDescent="0.25">
      <c r="A919" s="1">
        <v>44964</v>
      </c>
      <c r="B919" t="s">
        <v>934</v>
      </c>
      <c r="C919" t="s">
        <v>20</v>
      </c>
      <c r="D919" s="2">
        <v>1478</v>
      </c>
      <c r="E919" t="s">
        <v>14</v>
      </c>
      <c r="F919" t="s">
        <v>1556</v>
      </c>
      <c r="G919">
        <v>2023</v>
      </c>
      <c r="H919">
        <f>IF(Table1_1[[#This Row],[Type]]="Expense", _xlfn.XLOOKUP(Table1_1[[#This Row],[Category]], Budget_Ref[Category], Budget_Ref[Monthly Budget], 0), 0)</f>
        <v>0</v>
      </c>
      <c r="I919" t="str">
        <f>IF(Table1_1[[#This Row],[Type]]="Expense", IF(Table1_1[[#This Row],[Amount]]&gt;Table1_1[[#This Row],[Monthly Budget]], "Over Budget", "OK"), "-")</f>
        <v>-</v>
      </c>
      <c r="J919">
        <f>IF(Table1_1[[#This Row],[Type]]="Income", Table1_1[[#This Row],[Amount]], -Table1_1[[#This Row],[Amount]])</f>
        <v>1478</v>
      </c>
    </row>
    <row r="920" spans="1:10" x14ac:dyDescent="0.25">
      <c r="A920" s="1">
        <v>44964</v>
      </c>
      <c r="B920" t="s">
        <v>935</v>
      </c>
      <c r="C920" t="s">
        <v>6</v>
      </c>
      <c r="D920" s="2">
        <v>366.9</v>
      </c>
      <c r="E920" t="s">
        <v>7</v>
      </c>
      <c r="F920" t="s">
        <v>1556</v>
      </c>
      <c r="G920">
        <v>2023</v>
      </c>
      <c r="H920">
        <f>IF(Table1_1[[#This Row],[Type]]="Expense", _xlfn.XLOOKUP(Table1_1[[#This Row],[Category]], Budget_Ref[Category], Budget_Ref[Monthly Budget], 0), 0)</f>
        <v>500</v>
      </c>
      <c r="I920" t="str">
        <f>IF(Table1_1[[#This Row],[Type]]="Expense", IF(Table1_1[[#This Row],[Amount]]&gt;Table1_1[[#This Row],[Monthly Budget]], "Over Budget", "OK"), "-")</f>
        <v>OK</v>
      </c>
      <c r="J920">
        <f>IF(Table1_1[[#This Row],[Type]]="Income", Table1_1[[#This Row],[Amount]], -Table1_1[[#This Row],[Amount]])</f>
        <v>-366.9</v>
      </c>
    </row>
    <row r="921" spans="1:10" x14ac:dyDescent="0.25">
      <c r="A921" s="1">
        <v>44965</v>
      </c>
      <c r="B921" t="s">
        <v>936</v>
      </c>
      <c r="C921" t="s">
        <v>6</v>
      </c>
      <c r="D921" s="2">
        <v>1908.62</v>
      </c>
      <c r="E921" t="s">
        <v>7</v>
      </c>
      <c r="F921" t="s">
        <v>1556</v>
      </c>
      <c r="G921">
        <v>2023</v>
      </c>
      <c r="H921">
        <f>IF(Table1_1[[#This Row],[Type]]="Expense", _xlfn.XLOOKUP(Table1_1[[#This Row],[Category]], Budget_Ref[Category], Budget_Ref[Monthly Budget], 0), 0)</f>
        <v>500</v>
      </c>
      <c r="I921" t="str">
        <f>IF(Table1_1[[#This Row],[Type]]="Expense", IF(Table1_1[[#This Row],[Amount]]&gt;Table1_1[[#This Row],[Monthly Budget]], "Over Budget", "OK"), "-")</f>
        <v>Over Budget</v>
      </c>
      <c r="J921">
        <f>IF(Table1_1[[#This Row],[Type]]="Income", Table1_1[[#This Row],[Amount]], -Table1_1[[#This Row],[Amount]])</f>
        <v>-1908.62</v>
      </c>
    </row>
    <row r="922" spans="1:10" x14ac:dyDescent="0.25">
      <c r="A922" s="1">
        <v>44965</v>
      </c>
      <c r="B922" t="s">
        <v>937</v>
      </c>
      <c r="C922" t="s">
        <v>20</v>
      </c>
      <c r="D922" s="2">
        <v>2812</v>
      </c>
      <c r="E922" t="s">
        <v>14</v>
      </c>
      <c r="F922" t="s">
        <v>1556</v>
      </c>
      <c r="G922">
        <v>2023</v>
      </c>
      <c r="H922">
        <f>IF(Table1_1[[#This Row],[Type]]="Expense", _xlfn.XLOOKUP(Table1_1[[#This Row],[Category]], Budget_Ref[Category], Budget_Ref[Monthly Budget], 0), 0)</f>
        <v>0</v>
      </c>
      <c r="I922" t="str">
        <f>IF(Table1_1[[#This Row],[Type]]="Expense", IF(Table1_1[[#This Row],[Amount]]&gt;Table1_1[[#This Row],[Monthly Budget]], "Over Budget", "OK"), "-")</f>
        <v>-</v>
      </c>
      <c r="J922">
        <f>IF(Table1_1[[#This Row],[Type]]="Income", Table1_1[[#This Row],[Amount]], -Table1_1[[#This Row],[Amount]])</f>
        <v>2812</v>
      </c>
    </row>
    <row r="923" spans="1:10" x14ac:dyDescent="0.25">
      <c r="A923" s="1">
        <v>44966</v>
      </c>
      <c r="B923" t="s">
        <v>938</v>
      </c>
      <c r="C923" t="s">
        <v>35</v>
      </c>
      <c r="D923" s="2">
        <v>661.33</v>
      </c>
      <c r="E923" t="s">
        <v>7</v>
      </c>
      <c r="F923" t="s">
        <v>1556</v>
      </c>
      <c r="G923">
        <v>2023</v>
      </c>
      <c r="H923">
        <f>IF(Table1_1[[#This Row],[Type]]="Expense", _xlfn.XLOOKUP(Table1_1[[#This Row],[Category]], Budget_Ref[Category], Budget_Ref[Monthly Budget], 0), 0)</f>
        <v>200</v>
      </c>
      <c r="I923" t="str">
        <f>IF(Table1_1[[#This Row],[Type]]="Expense", IF(Table1_1[[#This Row],[Amount]]&gt;Table1_1[[#This Row],[Monthly Budget]], "Over Budget", "OK"), "-")</f>
        <v>Over Budget</v>
      </c>
      <c r="J923">
        <f>IF(Table1_1[[#This Row],[Type]]="Income", Table1_1[[#This Row],[Amount]], -Table1_1[[#This Row],[Amount]])</f>
        <v>-661.33</v>
      </c>
    </row>
    <row r="924" spans="1:10" x14ac:dyDescent="0.25">
      <c r="A924" s="1">
        <v>44969</v>
      </c>
      <c r="B924" t="s">
        <v>939</v>
      </c>
      <c r="C924" t="s">
        <v>6</v>
      </c>
      <c r="D924" s="2">
        <v>744.15</v>
      </c>
      <c r="E924" t="s">
        <v>7</v>
      </c>
      <c r="F924" t="s">
        <v>1556</v>
      </c>
      <c r="G924">
        <v>2023</v>
      </c>
      <c r="H924">
        <f>IF(Table1_1[[#This Row],[Type]]="Expense", _xlfn.XLOOKUP(Table1_1[[#This Row],[Category]], Budget_Ref[Category], Budget_Ref[Monthly Budget], 0), 0)</f>
        <v>500</v>
      </c>
      <c r="I924" t="str">
        <f>IF(Table1_1[[#This Row],[Type]]="Expense", IF(Table1_1[[#This Row],[Amount]]&gt;Table1_1[[#This Row],[Monthly Budget]], "Over Budget", "OK"), "-")</f>
        <v>Over Budget</v>
      </c>
      <c r="J924">
        <f>IF(Table1_1[[#This Row],[Type]]="Income", Table1_1[[#This Row],[Amount]], -Table1_1[[#This Row],[Amount]])</f>
        <v>-744.15</v>
      </c>
    </row>
    <row r="925" spans="1:10" x14ac:dyDescent="0.25">
      <c r="A925" s="1">
        <v>44970</v>
      </c>
      <c r="B925" t="s">
        <v>940</v>
      </c>
      <c r="C925" t="s">
        <v>35</v>
      </c>
      <c r="D925" s="2">
        <v>1481.76</v>
      </c>
      <c r="E925" t="s">
        <v>7</v>
      </c>
      <c r="F925" t="s">
        <v>1556</v>
      </c>
      <c r="G925">
        <v>2023</v>
      </c>
      <c r="H925">
        <f>IF(Table1_1[[#This Row],[Type]]="Expense", _xlfn.XLOOKUP(Table1_1[[#This Row],[Category]], Budget_Ref[Category], Budget_Ref[Monthly Budget], 0), 0)</f>
        <v>200</v>
      </c>
      <c r="I925" t="str">
        <f>IF(Table1_1[[#This Row],[Type]]="Expense", IF(Table1_1[[#This Row],[Amount]]&gt;Table1_1[[#This Row],[Monthly Budget]], "Over Budget", "OK"), "-")</f>
        <v>Over Budget</v>
      </c>
      <c r="J925">
        <f>IF(Table1_1[[#This Row],[Type]]="Income", Table1_1[[#This Row],[Amount]], -Table1_1[[#This Row],[Amount]])</f>
        <v>-1481.76</v>
      </c>
    </row>
    <row r="926" spans="1:10" x14ac:dyDescent="0.25">
      <c r="A926" s="1">
        <v>44972</v>
      </c>
      <c r="B926" t="s">
        <v>941</v>
      </c>
      <c r="C926" t="s">
        <v>25</v>
      </c>
      <c r="D926" s="2">
        <v>1187.46</v>
      </c>
      <c r="E926" t="s">
        <v>7</v>
      </c>
      <c r="F926" t="s">
        <v>1556</v>
      </c>
      <c r="G926">
        <v>2023</v>
      </c>
      <c r="H926">
        <f>IF(Table1_1[[#This Row],[Type]]="Expense", _xlfn.XLOOKUP(Table1_1[[#This Row],[Category]], Budget_Ref[Category], Budget_Ref[Monthly Budget], 0), 0)</f>
        <v>150</v>
      </c>
      <c r="I926" t="str">
        <f>IF(Table1_1[[#This Row],[Type]]="Expense", IF(Table1_1[[#This Row],[Amount]]&gt;Table1_1[[#This Row],[Monthly Budget]], "Over Budget", "OK"), "-")</f>
        <v>Over Budget</v>
      </c>
      <c r="J926">
        <f>IF(Table1_1[[#This Row],[Type]]="Income", Table1_1[[#This Row],[Amount]], -Table1_1[[#This Row],[Amount]])</f>
        <v>-1187.46</v>
      </c>
    </row>
    <row r="927" spans="1:10" x14ac:dyDescent="0.25">
      <c r="A927" s="1">
        <v>44973</v>
      </c>
      <c r="B927" t="s">
        <v>942</v>
      </c>
      <c r="C927" t="s">
        <v>22</v>
      </c>
      <c r="D927" s="2">
        <v>1467.6</v>
      </c>
      <c r="E927" t="s">
        <v>7</v>
      </c>
      <c r="F927" t="s">
        <v>1556</v>
      </c>
      <c r="G927">
        <v>2023</v>
      </c>
      <c r="H927">
        <f>IF(Table1_1[[#This Row],[Type]]="Expense", _xlfn.XLOOKUP(Table1_1[[#This Row],[Category]], Budget_Ref[Category], Budget_Ref[Monthly Budget], 0), 0)</f>
        <v>200</v>
      </c>
      <c r="I927" t="str">
        <f>IF(Table1_1[[#This Row],[Type]]="Expense", IF(Table1_1[[#This Row],[Amount]]&gt;Table1_1[[#This Row],[Monthly Budget]], "Over Budget", "OK"), "-")</f>
        <v>Over Budget</v>
      </c>
      <c r="J927">
        <f>IF(Table1_1[[#This Row],[Type]]="Income", Table1_1[[#This Row],[Amount]], -Table1_1[[#This Row],[Amount]])</f>
        <v>-1467.6</v>
      </c>
    </row>
    <row r="928" spans="1:10" x14ac:dyDescent="0.25">
      <c r="A928" s="1">
        <v>44975</v>
      </c>
      <c r="B928" t="s">
        <v>943</v>
      </c>
      <c r="C928" t="s">
        <v>22</v>
      </c>
      <c r="D928" s="2">
        <v>309.63</v>
      </c>
      <c r="E928" t="s">
        <v>7</v>
      </c>
      <c r="F928" t="s">
        <v>1556</v>
      </c>
      <c r="G928">
        <v>2023</v>
      </c>
      <c r="H928">
        <f>IF(Table1_1[[#This Row],[Type]]="Expense", _xlfn.XLOOKUP(Table1_1[[#This Row],[Category]], Budget_Ref[Category], Budget_Ref[Monthly Budget], 0), 0)</f>
        <v>200</v>
      </c>
      <c r="I928" t="str">
        <f>IF(Table1_1[[#This Row],[Type]]="Expense", IF(Table1_1[[#This Row],[Amount]]&gt;Table1_1[[#This Row],[Monthly Budget]], "Over Budget", "OK"), "-")</f>
        <v>Over Budget</v>
      </c>
      <c r="J928">
        <f>IF(Table1_1[[#This Row],[Type]]="Income", Table1_1[[#This Row],[Amount]], -Table1_1[[#This Row],[Amount]])</f>
        <v>-309.63</v>
      </c>
    </row>
    <row r="929" spans="1:10" x14ac:dyDescent="0.25">
      <c r="A929" s="1">
        <v>44977</v>
      </c>
      <c r="B929" t="s">
        <v>944</v>
      </c>
      <c r="C929" t="s">
        <v>6</v>
      </c>
      <c r="D929" s="2">
        <v>473.67</v>
      </c>
      <c r="E929" t="s">
        <v>7</v>
      </c>
      <c r="F929" t="s">
        <v>1556</v>
      </c>
      <c r="G929">
        <v>2023</v>
      </c>
      <c r="H929">
        <f>IF(Table1_1[[#This Row],[Type]]="Expense", _xlfn.XLOOKUP(Table1_1[[#This Row],[Category]], Budget_Ref[Category], Budget_Ref[Monthly Budget], 0), 0)</f>
        <v>500</v>
      </c>
      <c r="I929" t="str">
        <f>IF(Table1_1[[#This Row],[Type]]="Expense", IF(Table1_1[[#This Row],[Amount]]&gt;Table1_1[[#This Row],[Monthly Budget]], "Over Budget", "OK"), "-")</f>
        <v>OK</v>
      </c>
      <c r="J929">
        <f>IF(Table1_1[[#This Row],[Type]]="Income", Table1_1[[#This Row],[Amount]], -Table1_1[[#This Row],[Amount]])</f>
        <v>-473.67</v>
      </c>
    </row>
    <row r="930" spans="1:10" x14ac:dyDescent="0.25">
      <c r="A930" s="1">
        <v>44977</v>
      </c>
      <c r="B930" t="s">
        <v>945</v>
      </c>
      <c r="C930" t="s">
        <v>6</v>
      </c>
      <c r="D930" s="2">
        <v>1902.47</v>
      </c>
      <c r="E930" t="s">
        <v>7</v>
      </c>
      <c r="F930" t="s">
        <v>1556</v>
      </c>
      <c r="G930">
        <v>2023</v>
      </c>
      <c r="H930">
        <f>IF(Table1_1[[#This Row],[Type]]="Expense", _xlfn.XLOOKUP(Table1_1[[#This Row],[Category]], Budget_Ref[Category], Budget_Ref[Monthly Budget], 0), 0)</f>
        <v>500</v>
      </c>
      <c r="I930" t="str">
        <f>IF(Table1_1[[#This Row],[Type]]="Expense", IF(Table1_1[[#This Row],[Amount]]&gt;Table1_1[[#This Row],[Monthly Budget]], "Over Budget", "OK"), "-")</f>
        <v>Over Budget</v>
      </c>
      <c r="J930">
        <f>IF(Table1_1[[#This Row],[Type]]="Income", Table1_1[[#This Row],[Amount]], -Table1_1[[#This Row],[Amount]])</f>
        <v>-1902.47</v>
      </c>
    </row>
    <row r="931" spans="1:10" x14ac:dyDescent="0.25">
      <c r="A931" s="1">
        <v>44979</v>
      </c>
      <c r="B931" t="s">
        <v>946</v>
      </c>
      <c r="C931" t="s">
        <v>20</v>
      </c>
      <c r="D931" s="2">
        <v>3019</v>
      </c>
      <c r="E931" t="s">
        <v>14</v>
      </c>
      <c r="F931" t="s">
        <v>1556</v>
      </c>
      <c r="G931">
        <v>2023</v>
      </c>
      <c r="H931">
        <f>IF(Table1_1[[#This Row],[Type]]="Expense", _xlfn.XLOOKUP(Table1_1[[#This Row],[Category]], Budget_Ref[Category], Budget_Ref[Monthly Budget], 0), 0)</f>
        <v>0</v>
      </c>
      <c r="I931" t="str">
        <f>IF(Table1_1[[#This Row],[Type]]="Expense", IF(Table1_1[[#This Row],[Amount]]&gt;Table1_1[[#This Row],[Monthly Budget]], "Over Budget", "OK"), "-")</f>
        <v>-</v>
      </c>
      <c r="J931">
        <f>IF(Table1_1[[#This Row],[Type]]="Income", Table1_1[[#This Row],[Amount]], -Table1_1[[#This Row],[Amount]])</f>
        <v>3019</v>
      </c>
    </row>
    <row r="932" spans="1:10" x14ac:dyDescent="0.25">
      <c r="A932" s="1">
        <v>44979</v>
      </c>
      <c r="B932" t="s">
        <v>947</v>
      </c>
      <c r="C932" t="s">
        <v>13</v>
      </c>
      <c r="D932" s="2">
        <v>3939</v>
      </c>
      <c r="E932" t="s">
        <v>14</v>
      </c>
      <c r="F932" t="s">
        <v>1556</v>
      </c>
      <c r="G932">
        <v>2023</v>
      </c>
      <c r="H932">
        <f>IF(Table1_1[[#This Row],[Type]]="Expense", _xlfn.XLOOKUP(Table1_1[[#This Row],[Category]], Budget_Ref[Category], Budget_Ref[Monthly Budget], 0), 0)</f>
        <v>0</v>
      </c>
      <c r="I932" t="str">
        <f>IF(Table1_1[[#This Row],[Type]]="Expense", IF(Table1_1[[#This Row],[Amount]]&gt;Table1_1[[#This Row],[Monthly Budget]], "Over Budget", "OK"), "-")</f>
        <v>-</v>
      </c>
      <c r="J932">
        <f>IF(Table1_1[[#This Row],[Type]]="Income", Table1_1[[#This Row],[Amount]], -Table1_1[[#This Row],[Amount]])</f>
        <v>3939</v>
      </c>
    </row>
    <row r="933" spans="1:10" x14ac:dyDescent="0.25">
      <c r="A933" s="1">
        <v>44981</v>
      </c>
      <c r="B933" t="s">
        <v>948</v>
      </c>
      <c r="C933" t="s">
        <v>6</v>
      </c>
      <c r="D933" s="2">
        <v>1945.39</v>
      </c>
      <c r="E933" t="s">
        <v>7</v>
      </c>
      <c r="F933" t="s">
        <v>1556</v>
      </c>
      <c r="G933">
        <v>2023</v>
      </c>
      <c r="H933">
        <f>IF(Table1_1[[#This Row],[Type]]="Expense", _xlfn.XLOOKUP(Table1_1[[#This Row],[Category]], Budget_Ref[Category], Budget_Ref[Monthly Budget], 0), 0)</f>
        <v>500</v>
      </c>
      <c r="I933" t="str">
        <f>IF(Table1_1[[#This Row],[Type]]="Expense", IF(Table1_1[[#This Row],[Amount]]&gt;Table1_1[[#This Row],[Monthly Budget]], "Over Budget", "OK"), "-")</f>
        <v>Over Budget</v>
      </c>
      <c r="J933">
        <f>IF(Table1_1[[#This Row],[Type]]="Income", Table1_1[[#This Row],[Amount]], -Table1_1[[#This Row],[Amount]])</f>
        <v>-1945.39</v>
      </c>
    </row>
    <row r="934" spans="1:10" x14ac:dyDescent="0.25">
      <c r="A934" s="1">
        <v>44983</v>
      </c>
      <c r="B934" t="s">
        <v>949</v>
      </c>
      <c r="C934" t="s">
        <v>20</v>
      </c>
      <c r="D934" s="2">
        <v>1262</v>
      </c>
      <c r="E934" t="s">
        <v>14</v>
      </c>
      <c r="F934" t="s">
        <v>1556</v>
      </c>
      <c r="G934">
        <v>2023</v>
      </c>
      <c r="H934">
        <f>IF(Table1_1[[#This Row],[Type]]="Expense", _xlfn.XLOOKUP(Table1_1[[#This Row],[Category]], Budget_Ref[Category], Budget_Ref[Monthly Budget], 0), 0)</f>
        <v>0</v>
      </c>
      <c r="I934" t="str">
        <f>IF(Table1_1[[#This Row],[Type]]="Expense", IF(Table1_1[[#This Row],[Amount]]&gt;Table1_1[[#This Row],[Monthly Budget]], "Over Budget", "OK"), "-")</f>
        <v>-</v>
      </c>
      <c r="J934">
        <f>IF(Table1_1[[#This Row],[Type]]="Income", Table1_1[[#This Row],[Amount]], -Table1_1[[#This Row],[Amount]])</f>
        <v>1262</v>
      </c>
    </row>
    <row r="935" spans="1:10" x14ac:dyDescent="0.25">
      <c r="A935" s="1">
        <v>44983</v>
      </c>
      <c r="B935" t="s">
        <v>950</v>
      </c>
      <c r="C935" t="s">
        <v>13</v>
      </c>
      <c r="D935" s="2">
        <v>4757</v>
      </c>
      <c r="E935" t="s">
        <v>14</v>
      </c>
      <c r="F935" t="s">
        <v>1556</v>
      </c>
      <c r="G935">
        <v>2023</v>
      </c>
      <c r="H935">
        <f>IF(Table1_1[[#This Row],[Type]]="Expense", _xlfn.XLOOKUP(Table1_1[[#This Row],[Category]], Budget_Ref[Category], Budget_Ref[Monthly Budget], 0), 0)</f>
        <v>0</v>
      </c>
      <c r="I935" t="str">
        <f>IF(Table1_1[[#This Row],[Type]]="Expense", IF(Table1_1[[#This Row],[Amount]]&gt;Table1_1[[#This Row],[Monthly Budget]], "Over Budget", "OK"), "-")</f>
        <v>-</v>
      </c>
      <c r="J935">
        <f>IF(Table1_1[[#This Row],[Type]]="Income", Table1_1[[#This Row],[Amount]], -Table1_1[[#This Row],[Amount]])</f>
        <v>4757</v>
      </c>
    </row>
    <row r="936" spans="1:10" x14ac:dyDescent="0.25">
      <c r="A936" s="1">
        <v>44983</v>
      </c>
      <c r="B936" t="s">
        <v>951</v>
      </c>
      <c r="C936" t="s">
        <v>25</v>
      </c>
      <c r="D936" s="2">
        <v>922.33</v>
      </c>
      <c r="E936" t="s">
        <v>7</v>
      </c>
      <c r="F936" t="s">
        <v>1556</v>
      </c>
      <c r="G936">
        <v>2023</v>
      </c>
      <c r="H936">
        <f>IF(Table1_1[[#This Row],[Type]]="Expense", _xlfn.XLOOKUP(Table1_1[[#This Row],[Category]], Budget_Ref[Category], Budget_Ref[Monthly Budget], 0), 0)</f>
        <v>150</v>
      </c>
      <c r="I936" t="str">
        <f>IF(Table1_1[[#This Row],[Type]]="Expense", IF(Table1_1[[#This Row],[Amount]]&gt;Table1_1[[#This Row],[Monthly Budget]], "Over Budget", "OK"), "-")</f>
        <v>Over Budget</v>
      </c>
      <c r="J936">
        <f>IF(Table1_1[[#This Row],[Type]]="Income", Table1_1[[#This Row],[Amount]], -Table1_1[[#This Row],[Amount]])</f>
        <v>-922.33</v>
      </c>
    </row>
    <row r="937" spans="1:10" x14ac:dyDescent="0.25">
      <c r="A937" s="1">
        <v>44985</v>
      </c>
      <c r="B937" t="s">
        <v>952</v>
      </c>
      <c r="C937" t="s">
        <v>11</v>
      </c>
      <c r="D937" s="2">
        <v>1015.8</v>
      </c>
      <c r="E937" t="s">
        <v>7</v>
      </c>
      <c r="F937" t="s">
        <v>1556</v>
      </c>
      <c r="G937">
        <v>2023</v>
      </c>
      <c r="H937">
        <f>IF(Table1_1[[#This Row],[Type]]="Expense", _xlfn.XLOOKUP(Table1_1[[#This Row],[Category]], Budget_Ref[Category], Budget_Ref[Monthly Budget], 0), 0)</f>
        <v>1500</v>
      </c>
      <c r="I937" t="str">
        <f>IF(Table1_1[[#This Row],[Type]]="Expense", IF(Table1_1[[#This Row],[Amount]]&gt;Table1_1[[#This Row],[Monthly Budget]], "Over Budget", "OK"), "-")</f>
        <v>OK</v>
      </c>
      <c r="J937">
        <f>IF(Table1_1[[#This Row],[Type]]="Income", Table1_1[[#This Row],[Amount]], -Table1_1[[#This Row],[Amount]])</f>
        <v>-1015.8</v>
      </c>
    </row>
    <row r="938" spans="1:10" x14ac:dyDescent="0.25">
      <c r="A938" s="1">
        <v>44988</v>
      </c>
      <c r="B938" t="s">
        <v>953</v>
      </c>
      <c r="C938" t="s">
        <v>17</v>
      </c>
      <c r="D938" s="2">
        <v>158.91</v>
      </c>
      <c r="E938" t="s">
        <v>7</v>
      </c>
      <c r="F938" t="s">
        <v>1557</v>
      </c>
      <c r="G938">
        <v>2023</v>
      </c>
      <c r="H938">
        <f>IF(Table1_1[[#This Row],[Type]]="Expense", _xlfn.XLOOKUP(Table1_1[[#This Row],[Category]], Budget_Ref[Category], Budget_Ref[Monthly Budget], 0), 0)</f>
        <v>300</v>
      </c>
      <c r="I938" t="str">
        <f>IF(Table1_1[[#This Row],[Type]]="Expense", IF(Table1_1[[#This Row],[Amount]]&gt;Table1_1[[#This Row],[Monthly Budget]], "Over Budget", "OK"), "-")</f>
        <v>OK</v>
      </c>
      <c r="J938">
        <f>IF(Table1_1[[#This Row],[Type]]="Income", Table1_1[[#This Row],[Amount]], -Table1_1[[#This Row],[Amount]])</f>
        <v>-158.91</v>
      </c>
    </row>
    <row r="939" spans="1:10" x14ac:dyDescent="0.25">
      <c r="A939" s="1">
        <v>44988</v>
      </c>
      <c r="B939" t="s">
        <v>954</v>
      </c>
      <c r="C939" t="s">
        <v>17</v>
      </c>
      <c r="D939" s="2">
        <v>1328.26</v>
      </c>
      <c r="E939" t="s">
        <v>7</v>
      </c>
      <c r="F939" t="s">
        <v>1557</v>
      </c>
      <c r="G939">
        <v>2023</v>
      </c>
      <c r="H939">
        <f>IF(Table1_1[[#This Row],[Type]]="Expense", _xlfn.XLOOKUP(Table1_1[[#This Row],[Category]], Budget_Ref[Category], Budget_Ref[Monthly Budget], 0), 0)</f>
        <v>300</v>
      </c>
      <c r="I939" t="str">
        <f>IF(Table1_1[[#This Row],[Type]]="Expense", IF(Table1_1[[#This Row],[Amount]]&gt;Table1_1[[#This Row],[Monthly Budget]], "Over Budget", "OK"), "-")</f>
        <v>Over Budget</v>
      </c>
      <c r="J939">
        <f>IF(Table1_1[[#This Row],[Type]]="Income", Table1_1[[#This Row],[Amount]], -Table1_1[[#This Row],[Amount]])</f>
        <v>-1328.26</v>
      </c>
    </row>
    <row r="940" spans="1:10" x14ac:dyDescent="0.25">
      <c r="A940" s="1">
        <v>44990</v>
      </c>
      <c r="B940" t="s">
        <v>955</v>
      </c>
      <c r="C940" t="s">
        <v>20</v>
      </c>
      <c r="D940" s="2">
        <v>2638</v>
      </c>
      <c r="E940" t="s">
        <v>14</v>
      </c>
      <c r="F940" t="s">
        <v>1557</v>
      </c>
      <c r="G940">
        <v>2023</v>
      </c>
      <c r="H940">
        <f>IF(Table1_1[[#This Row],[Type]]="Expense", _xlfn.XLOOKUP(Table1_1[[#This Row],[Category]], Budget_Ref[Category], Budget_Ref[Monthly Budget], 0), 0)</f>
        <v>0</v>
      </c>
      <c r="I940" t="str">
        <f>IF(Table1_1[[#This Row],[Type]]="Expense", IF(Table1_1[[#This Row],[Amount]]&gt;Table1_1[[#This Row],[Monthly Budget]], "Over Budget", "OK"), "-")</f>
        <v>-</v>
      </c>
      <c r="J940">
        <f>IF(Table1_1[[#This Row],[Type]]="Income", Table1_1[[#This Row],[Amount]], -Table1_1[[#This Row],[Amount]])</f>
        <v>2638</v>
      </c>
    </row>
    <row r="941" spans="1:10" x14ac:dyDescent="0.25">
      <c r="A941" s="1">
        <v>44990</v>
      </c>
      <c r="B941" t="s">
        <v>956</v>
      </c>
      <c r="C941" t="s">
        <v>17</v>
      </c>
      <c r="D941" s="2">
        <v>1404.44</v>
      </c>
      <c r="E941" t="s">
        <v>7</v>
      </c>
      <c r="F941" t="s">
        <v>1557</v>
      </c>
      <c r="G941">
        <v>2023</v>
      </c>
      <c r="H941">
        <f>IF(Table1_1[[#This Row],[Type]]="Expense", _xlfn.XLOOKUP(Table1_1[[#This Row],[Category]], Budget_Ref[Category], Budget_Ref[Monthly Budget], 0), 0)</f>
        <v>300</v>
      </c>
      <c r="I941" t="str">
        <f>IF(Table1_1[[#This Row],[Type]]="Expense", IF(Table1_1[[#This Row],[Amount]]&gt;Table1_1[[#This Row],[Monthly Budget]], "Over Budget", "OK"), "-")</f>
        <v>Over Budget</v>
      </c>
      <c r="J941">
        <f>IF(Table1_1[[#This Row],[Type]]="Income", Table1_1[[#This Row],[Amount]], -Table1_1[[#This Row],[Amount]])</f>
        <v>-1404.44</v>
      </c>
    </row>
    <row r="942" spans="1:10" x14ac:dyDescent="0.25">
      <c r="A942" s="1">
        <v>44990</v>
      </c>
      <c r="B942" t="s">
        <v>957</v>
      </c>
      <c r="C942" t="s">
        <v>25</v>
      </c>
      <c r="D942" s="2">
        <v>910.99</v>
      </c>
      <c r="E942" t="s">
        <v>7</v>
      </c>
      <c r="F942" t="s">
        <v>1557</v>
      </c>
      <c r="G942">
        <v>2023</v>
      </c>
      <c r="H942">
        <f>IF(Table1_1[[#This Row],[Type]]="Expense", _xlfn.XLOOKUP(Table1_1[[#This Row],[Category]], Budget_Ref[Category], Budget_Ref[Monthly Budget], 0), 0)</f>
        <v>150</v>
      </c>
      <c r="I942" t="str">
        <f>IF(Table1_1[[#This Row],[Type]]="Expense", IF(Table1_1[[#This Row],[Amount]]&gt;Table1_1[[#This Row],[Monthly Budget]], "Over Budget", "OK"), "-")</f>
        <v>Over Budget</v>
      </c>
      <c r="J942">
        <f>IF(Table1_1[[#This Row],[Type]]="Income", Table1_1[[#This Row],[Amount]], -Table1_1[[#This Row],[Amount]])</f>
        <v>-910.99</v>
      </c>
    </row>
    <row r="943" spans="1:10" x14ac:dyDescent="0.25">
      <c r="A943" s="1">
        <v>44992</v>
      </c>
      <c r="B943" t="s">
        <v>958</v>
      </c>
      <c r="C943" t="s">
        <v>22</v>
      </c>
      <c r="D943" s="2">
        <v>280.86</v>
      </c>
      <c r="E943" t="s">
        <v>7</v>
      </c>
      <c r="F943" t="s">
        <v>1557</v>
      </c>
      <c r="G943">
        <v>2023</v>
      </c>
      <c r="H943">
        <f>IF(Table1_1[[#This Row],[Type]]="Expense", _xlfn.XLOOKUP(Table1_1[[#This Row],[Category]], Budget_Ref[Category], Budget_Ref[Monthly Budget], 0), 0)</f>
        <v>200</v>
      </c>
      <c r="I943" t="str">
        <f>IF(Table1_1[[#This Row],[Type]]="Expense", IF(Table1_1[[#This Row],[Amount]]&gt;Table1_1[[#This Row],[Monthly Budget]], "Over Budget", "OK"), "-")</f>
        <v>Over Budget</v>
      </c>
      <c r="J943">
        <f>IF(Table1_1[[#This Row],[Type]]="Income", Table1_1[[#This Row],[Amount]], -Table1_1[[#This Row],[Amount]])</f>
        <v>-280.86</v>
      </c>
    </row>
    <row r="944" spans="1:10" x14ac:dyDescent="0.25">
      <c r="A944" s="1">
        <v>44993</v>
      </c>
      <c r="B944" t="s">
        <v>959</v>
      </c>
      <c r="C944" t="s">
        <v>11</v>
      </c>
      <c r="D944" s="2">
        <v>319.27</v>
      </c>
      <c r="E944" t="s">
        <v>7</v>
      </c>
      <c r="F944" t="s">
        <v>1557</v>
      </c>
      <c r="G944">
        <v>2023</v>
      </c>
      <c r="H944">
        <f>IF(Table1_1[[#This Row],[Type]]="Expense", _xlfn.XLOOKUP(Table1_1[[#This Row],[Category]], Budget_Ref[Category], Budget_Ref[Monthly Budget], 0), 0)</f>
        <v>1500</v>
      </c>
      <c r="I944" t="str">
        <f>IF(Table1_1[[#This Row],[Type]]="Expense", IF(Table1_1[[#This Row],[Amount]]&gt;Table1_1[[#This Row],[Monthly Budget]], "Over Budget", "OK"), "-")</f>
        <v>OK</v>
      </c>
      <c r="J944">
        <f>IF(Table1_1[[#This Row],[Type]]="Income", Table1_1[[#This Row],[Amount]], -Table1_1[[#This Row],[Amount]])</f>
        <v>-319.27</v>
      </c>
    </row>
    <row r="945" spans="1:10" x14ac:dyDescent="0.25">
      <c r="A945" s="1">
        <v>44993</v>
      </c>
      <c r="B945" t="s">
        <v>960</v>
      </c>
      <c r="C945" t="s">
        <v>20</v>
      </c>
      <c r="D945" s="2">
        <v>3072</v>
      </c>
      <c r="E945" t="s">
        <v>14</v>
      </c>
      <c r="F945" t="s">
        <v>1557</v>
      </c>
      <c r="G945">
        <v>2023</v>
      </c>
      <c r="H945">
        <f>IF(Table1_1[[#This Row],[Type]]="Expense", _xlfn.XLOOKUP(Table1_1[[#This Row],[Category]], Budget_Ref[Category], Budget_Ref[Monthly Budget], 0), 0)</f>
        <v>0</v>
      </c>
      <c r="I945" t="str">
        <f>IF(Table1_1[[#This Row],[Type]]="Expense", IF(Table1_1[[#This Row],[Amount]]&gt;Table1_1[[#This Row],[Monthly Budget]], "Over Budget", "OK"), "-")</f>
        <v>-</v>
      </c>
      <c r="J945">
        <f>IF(Table1_1[[#This Row],[Type]]="Income", Table1_1[[#This Row],[Amount]], -Table1_1[[#This Row],[Amount]])</f>
        <v>3072</v>
      </c>
    </row>
    <row r="946" spans="1:10" x14ac:dyDescent="0.25">
      <c r="A946" s="1">
        <v>44993</v>
      </c>
      <c r="B946" t="s">
        <v>961</v>
      </c>
      <c r="C946" t="s">
        <v>25</v>
      </c>
      <c r="D946" s="2">
        <v>1929.62</v>
      </c>
      <c r="E946" t="s">
        <v>7</v>
      </c>
      <c r="F946" t="s">
        <v>1557</v>
      </c>
      <c r="G946">
        <v>2023</v>
      </c>
      <c r="H946">
        <f>IF(Table1_1[[#This Row],[Type]]="Expense", _xlfn.XLOOKUP(Table1_1[[#This Row],[Category]], Budget_Ref[Category], Budget_Ref[Monthly Budget], 0), 0)</f>
        <v>150</v>
      </c>
      <c r="I946" t="str">
        <f>IF(Table1_1[[#This Row],[Type]]="Expense", IF(Table1_1[[#This Row],[Amount]]&gt;Table1_1[[#This Row],[Monthly Budget]], "Over Budget", "OK"), "-")</f>
        <v>Over Budget</v>
      </c>
      <c r="J946">
        <f>IF(Table1_1[[#This Row],[Type]]="Income", Table1_1[[#This Row],[Amount]], -Table1_1[[#This Row],[Amount]])</f>
        <v>-1929.62</v>
      </c>
    </row>
    <row r="947" spans="1:10" x14ac:dyDescent="0.25">
      <c r="A947" s="1">
        <v>44993</v>
      </c>
      <c r="B947" t="s">
        <v>962</v>
      </c>
      <c r="C947" t="s">
        <v>35</v>
      </c>
      <c r="D947" s="2">
        <v>932.06</v>
      </c>
      <c r="E947" t="s">
        <v>7</v>
      </c>
      <c r="F947" t="s">
        <v>1557</v>
      </c>
      <c r="G947">
        <v>2023</v>
      </c>
      <c r="H947">
        <f>IF(Table1_1[[#This Row],[Type]]="Expense", _xlfn.XLOOKUP(Table1_1[[#This Row],[Category]], Budget_Ref[Category], Budget_Ref[Monthly Budget], 0), 0)</f>
        <v>200</v>
      </c>
      <c r="I947" t="str">
        <f>IF(Table1_1[[#This Row],[Type]]="Expense", IF(Table1_1[[#This Row],[Amount]]&gt;Table1_1[[#This Row],[Monthly Budget]], "Over Budget", "OK"), "-")</f>
        <v>Over Budget</v>
      </c>
      <c r="J947">
        <f>IF(Table1_1[[#This Row],[Type]]="Income", Table1_1[[#This Row],[Amount]], -Table1_1[[#This Row],[Amount]])</f>
        <v>-932.06</v>
      </c>
    </row>
    <row r="948" spans="1:10" x14ac:dyDescent="0.25">
      <c r="A948" s="1">
        <v>44995</v>
      </c>
      <c r="B948" t="s">
        <v>963</v>
      </c>
      <c r="C948" t="s">
        <v>11</v>
      </c>
      <c r="D948" s="2">
        <v>323.64999999999998</v>
      </c>
      <c r="E948" t="s">
        <v>7</v>
      </c>
      <c r="F948" t="s">
        <v>1557</v>
      </c>
      <c r="G948">
        <v>2023</v>
      </c>
      <c r="H948">
        <f>IF(Table1_1[[#This Row],[Type]]="Expense", _xlfn.XLOOKUP(Table1_1[[#This Row],[Category]], Budget_Ref[Category], Budget_Ref[Monthly Budget], 0), 0)</f>
        <v>1500</v>
      </c>
      <c r="I948" t="str">
        <f>IF(Table1_1[[#This Row],[Type]]="Expense", IF(Table1_1[[#This Row],[Amount]]&gt;Table1_1[[#This Row],[Monthly Budget]], "Over Budget", "OK"), "-")</f>
        <v>OK</v>
      </c>
      <c r="J948">
        <f>IF(Table1_1[[#This Row],[Type]]="Income", Table1_1[[#This Row],[Amount]], -Table1_1[[#This Row],[Amount]])</f>
        <v>-323.64999999999998</v>
      </c>
    </row>
    <row r="949" spans="1:10" x14ac:dyDescent="0.25">
      <c r="A949" s="1">
        <v>44995</v>
      </c>
      <c r="B949" t="s">
        <v>964</v>
      </c>
      <c r="C949" t="s">
        <v>6</v>
      </c>
      <c r="D949" s="2">
        <v>437.89</v>
      </c>
      <c r="E949" t="s">
        <v>7</v>
      </c>
      <c r="F949" t="s">
        <v>1557</v>
      </c>
      <c r="G949">
        <v>2023</v>
      </c>
      <c r="H949">
        <f>IF(Table1_1[[#This Row],[Type]]="Expense", _xlfn.XLOOKUP(Table1_1[[#This Row],[Category]], Budget_Ref[Category], Budget_Ref[Monthly Budget], 0), 0)</f>
        <v>500</v>
      </c>
      <c r="I949" t="str">
        <f>IF(Table1_1[[#This Row],[Type]]="Expense", IF(Table1_1[[#This Row],[Amount]]&gt;Table1_1[[#This Row],[Monthly Budget]], "Over Budget", "OK"), "-")</f>
        <v>OK</v>
      </c>
      <c r="J949">
        <f>IF(Table1_1[[#This Row],[Type]]="Income", Table1_1[[#This Row],[Amount]], -Table1_1[[#This Row],[Amount]])</f>
        <v>-437.89</v>
      </c>
    </row>
    <row r="950" spans="1:10" x14ac:dyDescent="0.25">
      <c r="A950" s="1">
        <v>44997</v>
      </c>
      <c r="B950" t="s">
        <v>965</v>
      </c>
      <c r="C950" t="s">
        <v>9</v>
      </c>
      <c r="D950" s="2">
        <v>191.51</v>
      </c>
      <c r="E950" t="s">
        <v>7</v>
      </c>
      <c r="F950" t="s">
        <v>1557</v>
      </c>
      <c r="G950">
        <v>2023</v>
      </c>
      <c r="H950">
        <f>IF(Table1_1[[#This Row],[Type]]="Expense", _xlfn.XLOOKUP(Table1_1[[#This Row],[Category]], Budget_Ref[Category], Budget_Ref[Monthly Budget], 0), 0)</f>
        <v>150</v>
      </c>
      <c r="I950" t="str">
        <f>IF(Table1_1[[#This Row],[Type]]="Expense", IF(Table1_1[[#This Row],[Amount]]&gt;Table1_1[[#This Row],[Monthly Budget]], "Over Budget", "OK"), "-")</f>
        <v>Over Budget</v>
      </c>
      <c r="J950">
        <f>IF(Table1_1[[#This Row],[Type]]="Income", Table1_1[[#This Row],[Amount]], -Table1_1[[#This Row],[Amount]])</f>
        <v>-191.51</v>
      </c>
    </row>
    <row r="951" spans="1:10" x14ac:dyDescent="0.25">
      <c r="A951" s="1">
        <v>44998</v>
      </c>
      <c r="B951" t="s">
        <v>966</v>
      </c>
      <c r="C951" t="s">
        <v>25</v>
      </c>
      <c r="D951" s="2">
        <v>798.53</v>
      </c>
      <c r="E951" t="s">
        <v>7</v>
      </c>
      <c r="F951" t="s">
        <v>1557</v>
      </c>
      <c r="G951">
        <v>2023</v>
      </c>
      <c r="H951">
        <f>IF(Table1_1[[#This Row],[Type]]="Expense", _xlfn.XLOOKUP(Table1_1[[#This Row],[Category]], Budget_Ref[Category], Budget_Ref[Monthly Budget], 0), 0)</f>
        <v>150</v>
      </c>
      <c r="I951" t="str">
        <f>IF(Table1_1[[#This Row],[Type]]="Expense", IF(Table1_1[[#This Row],[Amount]]&gt;Table1_1[[#This Row],[Monthly Budget]], "Over Budget", "OK"), "-")</f>
        <v>Over Budget</v>
      </c>
      <c r="J951">
        <f>IF(Table1_1[[#This Row],[Type]]="Income", Table1_1[[#This Row],[Amount]], -Table1_1[[#This Row],[Amount]])</f>
        <v>-798.53</v>
      </c>
    </row>
    <row r="952" spans="1:10" x14ac:dyDescent="0.25">
      <c r="A952" s="1">
        <v>44998</v>
      </c>
      <c r="B952" t="s">
        <v>967</v>
      </c>
      <c r="C952" t="s">
        <v>20</v>
      </c>
      <c r="D952" s="2">
        <v>2631</v>
      </c>
      <c r="E952" t="s">
        <v>14</v>
      </c>
      <c r="F952" t="s">
        <v>1557</v>
      </c>
      <c r="G952">
        <v>2023</v>
      </c>
      <c r="H952">
        <f>IF(Table1_1[[#This Row],[Type]]="Expense", _xlfn.XLOOKUP(Table1_1[[#This Row],[Category]], Budget_Ref[Category], Budget_Ref[Monthly Budget], 0), 0)</f>
        <v>0</v>
      </c>
      <c r="I952" t="str">
        <f>IF(Table1_1[[#This Row],[Type]]="Expense", IF(Table1_1[[#This Row],[Amount]]&gt;Table1_1[[#This Row],[Monthly Budget]], "Over Budget", "OK"), "-")</f>
        <v>-</v>
      </c>
      <c r="J952">
        <f>IF(Table1_1[[#This Row],[Type]]="Income", Table1_1[[#This Row],[Amount]], -Table1_1[[#This Row],[Amount]])</f>
        <v>2631</v>
      </c>
    </row>
    <row r="953" spans="1:10" x14ac:dyDescent="0.25">
      <c r="A953" s="1">
        <v>44998</v>
      </c>
      <c r="B953" t="s">
        <v>968</v>
      </c>
      <c r="C953" t="s">
        <v>9</v>
      </c>
      <c r="D953" s="2">
        <v>71.849999999999994</v>
      </c>
      <c r="E953" t="s">
        <v>7</v>
      </c>
      <c r="F953" t="s">
        <v>1557</v>
      </c>
      <c r="G953">
        <v>2023</v>
      </c>
      <c r="H953">
        <f>IF(Table1_1[[#This Row],[Type]]="Expense", _xlfn.XLOOKUP(Table1_1[[#This Row],[Category]], Budget_Ref[Category], Budget_Ref[Monthly Budget], 0), 0)</f>
        <v>150</v>
      </c>
      <c r="I953" t="str">
        <f>IF(Table1_1[[#This Row],[Type]]="Expense", IF(Table1_1[[#This Row],[Amount]]&gt;Table1_1[[#This Row],[Monthly Budget]], "Over Budget", "OK"), "-")</f>
        <v>OK</v>
      </c>
      <c r="J953">
        <f>IF(Table1_1[[#This Row],[Type]]="Income", Table1_1[[#This Row],[Amount]], -Table1_1[[#This Row],[Amount]])</f>
        <v>-71.849999999999994</v>
      </c>
    </row>
    <row r="954" spans="1:10" x14ac:dyDescent="0.25">
      <c r="A954" s="1">
        <v>45000</v>
      </c>
      <c r="B954" t="s">
        <v>969</v>
      </c>
      <c r="C954" t="s">
        <v>27</v>
      </c>
      <c r="D954" s="2">
        <v>1116.3499999999999</v>
      </c>
      <c r="E954" t="s">
        <v>14</v>
      </c>
      <c r="F954" t="s">
        <v>1557</v>
      </c>
      <c r="G954">
        <v>2023</v>
      </c>
      <c r="H954">
        <f>IF(Table1_1[[#This Row],[Type]]="Expense", _xlfn.XLOOKUP(Table1_1[[#This Row],[Category]], Budget_Ref[Category], Budget_Ref[Monthly Budget], 0), 0)</f>
        <v>0</v>
      </c>
      <c r="I954" t="str">
        <f>IF(Table1_1[[#This Row],[Type]]="Expense", IF(Table1_1[[#This Row],[Amount]]&gt;Table1_1[[#This Row],[Monthly Budget]], "Over Budget", "OK"), "-")</f>
        <v>-</v>
      </c>
      <c r="J954">
        <f>IF(Table1_1[[#This Row],[Type]]="Income", Table1_1[[#This Row],[Amount]], -Table1_1[[#This Row],[Amount]])</f>
        <v>1116.3499999999999</v>
      </c>
    </row>
    <row r="955" spans="1:10" x14ac:dyDescent="0.25">
      <c r="A955" s="1">
        <v>45000</v>
      </c>
      <c r="B955" t="s">
        <v>970</v>
      </c>
      <c r="C955" t="s">
        <v>11</v>
      </c>
      <c r="D955" s="2">
        <v>929.47</v>
      </c>
      <c r="E955" t="s">
        <v>7</v>
      </c>
      <c r="F955" t="s">
        <v>1557</v>
      </c>
      <c r="G955">
        <v>2023</v>
      </c>
      <c r="H955">
        <f>IF(Table1_1[[#This Row],[Type]]="Expense", _xlfn.XLOOKUP(Table1_1[[#This Row],[Category]], Budget_Ref[Category], Budget_Ref[Monthly Budget], 0), 0)</f>
        <v>1500</v>
      </c>
      <c r="I955" t="str">
        <f>IF(Table1_1[[#This Row],[Type]]="Expense", IF(Table1_1[[#This Row],[Amount]]&gt;Table1_1[[#This Row],[Monthly Budget]], "Over Budget", "OK"), "-")</f>
        <v>OK</v>
      </c>
      <c r="J955">
        <f>IF(Table1_1[[#This Row],[Type]]="Income", Table1_1[[#This Row],[Amount]], -Table1_1[[#This Row],[Amount]])</f>
        <v>-929.47</v>
      </c>
    </row>
    <row r="956" spans="1:10" x14ac:dyDescent="0.25">
      <c r="A956" s="1">
        <v>45001</v>
      </c>
      <c r="B956" t="s">
        <v>971</v>
      </c>
      <c r="C956" t="s">
        <v>9</v>
      </c>
      <c r="D956" s="2">
        <v>251.69</v>
      </c>
      <c r="E956" t="s">
        <v>7</v>
      </c>
      <c r="F956" t="s">
        <v>1557</v>
      </c>
      <c r="G956">
        <v>2023</v>
      </c>
      <c r="H956">
        <f>IF(Table1_1[[#This Row],[Type]]="Expense", _xlfn.XLOOKUP(Table1_1[[#This Row],[Category]], Budget_Ref[Category], Budget_Ref[Monthly Budget], 0), 0)</f>
        <v>150</v>
      </c>
      <c r="I956" t="str">
        <f>IF(Table1_1[[#This Row],[Type]]="Expense", IF(Table1_1[[#This Row],[Amount]]&gt;Table1_1[[#This Row],[Monthly Budget]], "Over Budget", "OK"), "-")</f>
        <v>Over Budget</v>
      </c>
      <c r="J956">
        <f>IF(Table1_1[[#This Row],[Type]]="Income", Table1_1[[#This Row],[Amount]], -Table1_1[[#This Row],[Amount]])</f>
        <v>-251.69</v>
      </c>
    </row>
    <row r="957" spans="1:10" x14ac:dyDescent="0.25">
      <c r="A957" s="1">
        <v>45001</v>
      </c>
      <c r="B957" t="s">
        <v>972</v>
      </c>
      <c r="C957" t="s">
        <v>13</v>
      </c>
      <c r="D957" s="2">
        <v>1570</v>
      </c>
      <c r="E957" t="s">
        <v>14</v>
      </c>
      <c r="F957" t="s">
        <v>1557</v>
      </c>
      <c r="G957">
        <v>2023</v>
      </c>
      <c r="H957">
        <f>IF(Table1_1[[#This Row],[Type]]="Expense", _xlfn.XLOOKUP(Table1_1[[#This Row],[Category]], Budget_Ref[Category], Budget_Ref[Monthly Budget], 0), 0)</f>
        <v>0</v>
      </c>
      <c r="I957" t="str">
        <f>IF(Table1_1[[#This Row],[Type]]="Expense", IF(Table1_1[[#This Row],[Amount]]&gt;Table1_1[[#This Row],[Monthly Budget]], "Over Budget", "OK"), "-")</f>
        <v>-</v>
      </c>
      <c r="J957">
        <f>IF(Table1_1[[#This Row],[Type]]="Income", Table1_1[[#This Row],[Amount]], -Table1_1[[#This Row],[Amount]])</f>
        <v>1570</v>
      </c>
    </row>
    <row r="958" spans="1:10" x14ac:dyDescent="0.25">
      <c r="A958" s="1">
        <v>45003</v>
      </c>
      <c r="B958" t="s">
        <v>973</v>
      </c>
      <c r="C958" t="s">
        <v>20</v>
      </c>
      <c r="D958" s="2">
        <v>3549</v>
      </c>
      <c r="E958" t="s">
        <v>14</v>
      </c>
      <c r="F958" t="s">
        <v>1557</v>
      </c>
      <c r="G958">
        <v>2023</v>
      </c>
      <c r="H958">
        <f>IF(Table1_1[[#This Row],[Type]]="Expense", _xlfn.XLOOKUP(Table1_1[[#This Row],[Category]], Budget_Ref[Category], Budget_Ref[Monthly Budget], 0), 0)</f>
        <v>0</v>
      </c>
      <c r="I958" t="str">
        <f>IF(Table1_1[[#This Row],[Type]]="Expense", IF(Table1_1[[#This Row],[Amount]]&gt;Table1_1[[#This Row],[Monthly Budget]], "Over Budget", "OK"), "-")</f>
        <v>-</v>
      </c>
      <c r="J958">
        <f>IF(Table1_1[[#This Row],[Type]]="Income", Table1_1[[#This Row],[Amount]], -Table1_1[[#This Row],[Amount]])</f>
        <v>3549</v>
      </c>
    </row>
    <row r="959" spans="1:10" x14ac:dyDescent="0.25">
      <c r="A959" s="1">
        <v>45003</v>
      </c>
      <c r="B959" t="s">
        <v>974</v>
      </c>
      <c r="C959" t="s">
        <v>11</v>
      </c>
      <c r="D959" s="2">
        <v>1168.82</v>
      </c>
      <c r="E959" t="s">
        <v>7</v>
      </c>
      <c r="F959" t="s">
        <v>1557</v>
      </c>
      <c r="G959">
        <v>2023</v>
      </c>
      <c r="H959">
        <f>IF(Table1_1[[#This Row],[Type]]="Expense", _xlfn.XLOOKUP(Table1_1[[#This Row],[Category]], Budget_Ref[Category], Budget_Ref[Monthly Budget], 0), 0)</f>
        <v>1500</v>
      </c>
      <c r="I959" t="str">
        <f>IF(Table1_1[[#This Row],[Type]]="Expense", IF(Table1_1[[#This Row],[Amount]]&gt;Table1_1[[#This Row],[Monthly Budget]], "Over Budget", "OK"), "-")</f>
        <v>OK</v>
      </c>
      <c r="J959">
        <f>IF(Table1_1[[#This Row],[Type]]="Income", Table1_1[[#This Row],[Amount]], -Table1_1[[#This Row],[Amount]])</f>
        <v>-1168.82</v>
      </c>
    </row>
    <row r="960" spans="1:10" x14ac:dyDescent="0.25">
      <c r="A960" s="1">
        <v>45006</v>
      </c>
      <c r="B960" t="s">
        <v>975</v>
      </c>
      <c r="C960" t="s">
        <v>11</v>
      </c>
      <c r="D960" s="2">
        <v>53.38</v>
      </c>
      <c r="E960" t="s">
        <v>7</v>
      </c>
      <c r="F960" t="s">
        <v>1557</v>
      </c>
      <c r="G960">
        <v>2023</v>
      </c>
      <c r="H960">
        <f>IF(Table1_1[[#This Row],[Type]]="Expense", _xlfn.XLOOKUP(Table1_1[[#This Row],[Category]], Budget_Ref[Category], Budget_Ref[Monthly Budget], 0), 0)</f>
        <v>1500</v>
      </c>
      <c r="I960" t="str">
        <f>IF(Table1_1[[#This Row],[Type]]="Expense", IF(Table1_1[[#This Row],[Amount]]&gt;Table1_1[[#This Row],[Monthly Budget]], "Over Budget", "OK"), "-")</f>
        <v>OK</v>
      </c>
      <c r="J960">
        <f>IF(Table1_1[[#This Row],[Type]]="Income", Table1_1[[#This Row],[Amount]], -Table1_1[[#This Row],[Amount]])</f>
        <v>-53.38</v>
      </c>
    </row>
    <row r="961" spans="1:10" x14ac:dyDescent="0.25">
      <c r="A961" s="1">
        <v>45007</v>
      </c>
      <c r="B961" t="s">
        <v>976</v>
      </c>
      <c r="C961" t="s">
        <v>20</v>
      </c>
      <c r="D961" s="2">
        <v>1555</v>
      </c>
      <c r="E961" t="s">
        <v>14</v>
      </c>
      <c r="F961" t="s">
        <v>1557</v>
      </c>
      <c r="G961">
        <v>2023</v>
      </c>
      <c r="H961">
        <f>IF(Table1_1[[#This Row],[Type]]="Expense", _xlfn.XLOOKUP(Table1_1[[#This Row],[Category]], Budget_Ref[Category], Budget_Ref[Monthly Budget], 0), 0)</f>
        <v>0</v>
      </c>
      <c r="I961" t="str">
        <f>IF(Table1_1[[#This Row],[Type]]="Expense", IF(Table1_1[[#This Row],[Amount]]&gt;Table1_1[[#This Row],[Monthly Budget]], "Over Budget", "OK"), "-")</f>
        <v>-</v>
      </c>
      <c r="J961">
        <f>IF(Table1_1[[#This Row],[Type]]="Income", Table1_1[[#This Row],[Amount]], -Table1_1[[#This Row],[Amount]])</f>
        <v>1555</v>
      </c>
    </row>
    <row r="962" spans="1:10" x14ac:dyDescent="0.25">
      <c r="A962" s="1">
        <v>45008</v>
      </c>
      <c r="B962" t="s">
        <v>977</v>
      </c>
      <c r="C962" t="s">
        <v>20</v>
      </c>
      <c r="D962" s="2">
        <v>1503</v>
      </c>
      <c r="E962" t="s">
        <v>14</v>
      </c>
      <c r="F962" t="s">
        <v>1557</v>
      </c>
      <c r="G962">
        <v>2023</v>
      </c>
      <c r="H962">
        <f>IF(Table1_1[[#This Row],[Type]]="Expense", _xlfn.XLOOKUP(Table1_1[[#This Row],[Category]], Budget_Ref[Category], Budget_Ref[Monthly Budget], 0), 0)</f>
        <v>0</v>
      </c>
      <c r="I962" t="str">
        <f>IF(Table1_1[[#This Row],[Type]]="Expense", IF(Table1_1[[#This Row],[Amount]]&gt;Table1_1[[#This Row],[Monthly Budget]], "Over Budget", "OK"), "-")</f>
        <v>-</v>
      </c>
      <c r="J962">
        <f>IF(Table1_1[[#This Row],[Type]]="Income", Table1_1[[#This Row],[Amount]], -Table1_1[[#This Row],[Amount]])</f>
        <v>1503</v>
      </c>
    </row>
    <row r="963" spans="1:10" x14ac:dyDescent="0.25">
      <c r="A963" s="1">
        <v>45008</v>
      </c>
      <c r="B963" t="s">
        <v>978</v>
      </c>
      <c r="C963" t="s">
        <v>20</v>
      </c>
      <c r="D963" s="2">
        <v>914</v>
      </c>
      <c r="E963" t="s">
        <v>14</v>
      </c>
      <c r="F963" t="s">
        <v>1557</v>
      </c>
      <c r="G963">
        <v>2023</v>
      </c>
      <c r="H963">
        <f>IF(Table1_1[[#This Row],[Type]]="Expense", _xlfn.XLOOKUP(Table1_1[[#This Row],[Category]], Budget_Ref[Category], Budget_Ref[Monthly Budget], 0), 0)</f>
        <v>0</v>
      </c>
      <c r="I963" t="str">
        <f>IF(Table1_1[[#This Row],[Type]]="Expense", IF(Table1_1[[#This Row],[Amount]]&gt;Table1_1[[#This Row],[Monthly Budget]], "Over Budget", "OK"), "-")</f>
        <v>-</v>
      </c>
      <c r="J963">
        <f>IF(Table1_1[[#This Row],[Type]]="Income", Table1_1[[#This Row],[Amount]], -Table1_1[[#This Row],[Amount]])</f>
        <v>914</v>
      </c>
    </row>
    <row r="964" spans="1:10" x14ac:dyDescent="0.25">
      <c r="A964" s="1">
        <v>45008</v>
      </c>
      <c r="B964" t="s">
        <v>979</v>
      </c>
      <c r="C964" t="s">
        <v>20</v>
      </c>
      <c r="D964" s="2">
        <v>3735</v>
      </c>
      <c r="E964" t="s">
        <v>14</v>
      </c>
      <c r="F964" t="s">
        <v>1557</v>
      </c>
      <c r="G964">
        <v>2023</v>
      </c>
      <c r="H964">
        <f>IF(Table1_1[[#This Row],[Type]]="Expense", _xlfn.XLOOKUP(Table1_1[[#This Row],[Category]], Budget_Ref[Category], Budget_Ref[Monthly Budget], 0), 0)</f>
        <v>0</v>
      </c>
      <c r="I964" t="str">
        <f>IF(Table1_1[[#This Row],[Type]]="Expense", IF(Table1_1[[#This Row],[Amount]]&gt;Table1_1[[#This Row],[Monthly Budget]], "Over Budget", "OK"), "-")</f>
        <v>-</v>
      </c>
      <c r="J964">
        <f>IF(Table1_1[[#This Row],[Type]]="Income", Table1_1[[#This Row],[Amount]], -Table1_1[[#This Row],[Amount]])</f>
        <v>3735</v>
      </c>
    </row>
    <row r="965" spans="1:10" x14ac:dyDescent="0.25">
      <c r="A965" s="1">
        <v>45009</v>
      </c>
      <c r="B965" t="s">
        <v>980</v>
      </c>
      <c r="C965" t="s">
        <v>17</v>
      </c>
      <c r="D965" s="2">
        <v>1369.59</v>
      </c>
      <c r="E965" t="s">
        <v>7</v>
      </c>
      <c r="F965" t="s">
        <v>1557</v>
      </c>
      <c r="G965">
        <v>2023</v>
      </c>
      <c r="H965">
        <f>IF(Table1_1[[#This Row],[Type]]="Expense", _xlfn.XLOOKUP(Table1_1[[#This Row],[Category]], Budget_Ref[Category], Budget_Ref[Monthly Budget], 0), 0)</f>
        <v>300</v>
      </c>
      <c r="I965" t="str">
        <f>IF(Table1_1[[#This Row],[Type]]="Expense", IF(Table1_1[[#This Row],[Amount]]&gt;Table1_1[[#This Row],[Monthly Budget]], "Over Budget", "OK"), "-")</f>
        <v>Over Budget</v>
      </c>
      <c r="J965">
        <f>IF(Table1_1[[#This Row],[Type]]="Income", Table1_1[[#This Row],[Amount]], -Table1_1[[#This Row],[Amount]])</f>
        <v>-1369.59</v>
      </c>
    </row>
    <row r="966" spans="1:10" x14ac:dyDescent="0.25">
      <c r="A966" s="1">
        <v>45012</v>
      </c>
      <c r="B966" t="s">
        <v>981</v>
      </c>
      <c r="C966" t="s">
        <v>13</v>
      </c>
      <c r="D966" s="2">
        <v>2033</v>
      </c>
      <c r="E966" t="s">
        <v>14</v>
      </c>
      <c r="F966" t="s">
        <v>1557</v>
      </c>
      <c r="G966">
        <v>2023</v>
      </c>
      <c r="H966">
        <f>IF(Table1_1[[#This Row],[Type]]="Expense", _xlfn.XLOOKUP(Table1_1[[#This Row],[Category]], Budget_Ref[Category], Budget_Ref[Monthly Budget], 0), 0)</f>
        <v>0</v>
      </c>
      <c r="I966" t="str">
        <f>IF(Table1_1[[#This Row],[Type]]="Expense", IF(Table1_1[[#This Row],[Amount]]&gt;Table1_1[[#This Row],[Monthly Budget]], "Over Budget", "OK"), "-")</f>
        <v>-</v>
      </c>
      <c r="J966">
        <f>IF(Table1_1[[#This Row],[Type]]="Income", Table1_1[[#This Row],[Amount]], -Table1_1[[#This Row],[Amount]])</f>
        <v>2033</v>
      </c>
    </row>
    <row r="967" spans="1:10" x14ac:dyDescent="0.25">
      <c r="A967" s="1">
        <v>45014</v>
      </c>
      <c r="B967" t="s">
        <v>982</v>
      </c>
      <c r="C967" t="s">
        <v>27</v>
      </c>
      <c r="D967" s="2">
        <v>1768.01</v>
      </c>
      <c r="E967" t="s">
        <v>14</v>
      </c>
      <c r="F967" t="s">
        <v>1557</v>
      </c>
      <c r="G967">
        <v>2023</v>
      </c>
      <c r="H967">
        <f>IF(Table1_1[[#This Row],[Type]]="Expense", _xlfn.XLOOKUP(Table1_1[[#This Row],[Category]], Budget_Ref[Category], Budget_Ref[Monthly Budget], 0), 0)</f>
        <v>0</v>
      </c>
      <c r="I967" t="str">
        <f>IF(Table1_1[[#This Row],[Type]]="Expense", IF(Table1_1[[#This Row],[Amount]]&gt;Table1_1[[#This Row],[Monthly Budget]], "Over Budget", "OK"), "-")</f>
        <v>-</v>
      </c>
      <c r="J967">
        <f>IF(Table1_1[[#This Row],[Type]]="Income", Table1_1[[#This Row],[Amount]], -Table1_1[[#This Row],[Amount]])</f>
        <v>1768.01</v>
      </c>
    </row>
    <row r="968" spans="1:10" x14ac:dyDescent="0.25">
      <c r="A968" s="1">
        <v>45015</v>
      </c>
      <c r="B968" t="s">
        <v>983</v>
      </c>
      <c r="C968" t="s">
        <v>13</v>
      </c>
      <c r="D968" s="2">
        <v>2917</v>
      </c>
      <c r="E968" t="s">
        <v>14</v>
      </c>
      <c r="F968" t="s">
        <v>1557</v>
      </c>
      <c r="G968">
        <v>2023</v>
      </c>
      <c r="H968">
        <f>IF(Table1_1[[#This Row],[Type]]="Expense", _xlfn.XLOOKUP(Table1_1[[#This Row],[Category]], Budget_Ref[Category], Budget_Ref[Monthly Budget], 0), 0)</f>
        <v>0</v>
      </c>
      <c r="I968" t="str">
        <f>IF(Table1_1[[#This Row],[Type]]="Expense", IF(Table1_1[[#This Row],[Amount]]&gt;Table1_1[[#This Row],[Monthly Budget]], "Over Budget", "OK"), "-")</f>
        <v>-</v>
      </c>
      <c r="J968">
        <f>IF(Table1_1[[#This Row],[Type]]="Income", Table1_1[[#This Row],[Amount]], -Table1_1[[#This Row],[Amount]])</f>
        <v>2917</v>
      </c>
    </row>
    <row r="969" spans="1:10" x14ac:dyDescent="0.25">
      <c r="A969" s="1">
        <v>45016</v>
      </c>
      <c r="B969" t="s">
        <v>984</v>
      </c>
      <c r="C969" t="s">
        <v>27</v>
      </c>
      <c r="D969" s="2">
        <v>131.35</v>
      </c>
      <c r="E969" t="s">
        <v>14</v>
      </c>
      <c r="F969" t="s">
        <v>1557</v>
      </c>
      <c r="G969">
        <v>2023</v>
      </c>
      <c r="H969">
        <f>IF(Table1_1[[#This Row],[Type]]="Expense", _xlfn.XLOOKUP(Table1_1[[#This Row],[Category]], Budget_Ref[Category], Budget_Ref[Monthly Budget], 0), 0)</f>
        <v>0</v>
      </c>
      <c r="I969" t="str">
        <f>IF(Table1_1[[#This Row],[Type]]="Expense", IF(Table1_1[[#This Row],[Amount]]&gt;Table1_1[[#This Row],[Monthly Budget]], "Over Budget", "OK"), "-")</f>
        <v>-</v>
      </c>
      <c r="J969">
        <f>IF(Table1_1[[#This Row],[Type]]="Income", Table1_1[[#This Row],[Amount]], -Table1_1[[#This Row],[Amount]])</f>
        <v>131.35</v>
      </c>
    </row>
    <row r="970" spans="1:10" x14ac:dyDescent="0.25">
      <c r="A970" s="1">
        <v>45016</v>
      </c>
      <c r="B970" t="s">
        <v>985</v>
      </c>
      <c r="C970" t="s">
        <v>9</v>
      </c>
      <c r="D970" s="2">
        <v>844.28</v>
      </c>
      <c r="E970" t="s">
        <v>7</v>
      </c>
      <c r="F970" t="s">
        <v>1557</v>
      </c>
      <c r="G970">
        <v>2023</v>
      </c>
      <c r="H970">
        <f>IF(Table1_1[[#This Row],[Type]]="Expense", _xlfn.XLOOKUP(Table1_1[[#This Row],[Category]], Budget_Ref[Category], Budget_Ref[Monthly Budget], 0), 0)</f>
        <v>150</v>
      </c>
      <c r="I970" t="str">
        <f>IF(Table1_1[[#This Row],[Type]]="Expense", IF(Table1_1[[#This Row],[Amount]]&gt;Table1_1[[#This Row],[Monthly Budget]], "Over Budget", "OK"), "-")</f>
        <v>Over Budget</v>
      </c>
      <c r="J970">
        <f>IF(Table1_1[[#This Row],[Type]]="Income", Table1_1[[#This Row],[Amount]], -Table1_1[[#This Row],[Amount]])</f>
        <v>-844.28</v>
      </c>
    </row>
    <row r="971" spans="1:10" x14ac:dyDescent="0.25">
      <c r="A971" s="1">
        <v>45017</v>
      </c>
      <c r="B971" t="s">
        <v>986</v>
      </c>
      <c r="C971" t="s">
        <v>22</v>
      </c>
      <c r="D971" s="2">
        <v>1265.2</v>
      </c>
      <c r="E971" t="s">
        <v>7</v>
      </c>
      <c r="F971" t="s">
        <v>1558</v>
      </c>
      <c r="G971">
        <v>2023</v>
      </c>
      <c r="H971">
        <f>IF(Table1_1[[#This Row],[Type]]="Expense", _xlfn.XLOOKUP(Table1_1[[#This Row],[Category]], Budget_Ref[Category], Budget_Ref[Monthly Budget], 0), 0)</f>
        <v>200</v>
      </c>
      <c r="I971" t="str">
        <f>IF(Table1_1[[#This Row],[Type]]="Expense", IF(Table1_1[[#This Row],[Amount]]&gt;Table1_1[[#This Row],[Monthly Budget]], "Over Budget", "OK"), "-")</f>
        <v>Over Budget</v>
      </c>
      <c r="J971">
        <f>IF(Table1_1[[#This Row],[Type]]="Income", Table1_1[[#This Row],[Amount]], -Table1_1[[#This Row],[Amount]])</f>
        <v>-1265.2</v>
      </c>
    </row>
    <row r="972" spans="1:10" x14ac:dyDescent="0.25">
      <c r="A972" s="1">
        <v>45017</v>
      </c>
      <c r="B972" t="s">
        <v>987</v>
      </c>
      <c r="C972" t="s">
        <v>6</v>
      </c>
      <c r="D972" s="2">
        <v>1978.91</v>
      </c>
      <c r="E972" t="s">
        <v>7</v>
      </c>
      <c r="F972" t="s">
        <v>1558</v>
      </c>
      <c r="G972">
        <v>2023</v>
      </c>
      <c r="H972">
        <f>IF(Table1_1[[#This Row],[Type]]="Expense", _xlfn.XLOOKUP(Table1_1[[#This Row],[Category]], Budget_Ref[Category], Budget_Ref[Monthly Budget], 0), 0)</f>
        <v>500</v>
      </c>
      <c r="I972" t="str">
        <f>IF(Table1_1[[#This Row],[Type]]="Expense", IF(Table1_1[[#This Row],[Amount]]&gt;Table1_1[[#This Row],[Monthly Budget]], "Over Budget", "OK"), "-")</f>
        <v>Over Budget</v>
      </c>
      <c r="J972">
        <f>IF(Table1_1[[#This Row],[Type]]="Income", Table1_1[[#This Row],[Amount]], -Table1_1[[#This Row],[Amount]])</f>
        <v>-1978.91</v>
      </c>
    </row>
    <row r="973" spans="1:10" x14ac:dyDescent="0.25">
      <c r="A973" s="1">
        <v>45020</v>
      </c>
      <c r="B973" t="s">
        <v>988</v>
      </c>
      <c r="C973" t="s">
        <v>25</v>
      </c>
      <c r="D973" s="2">
        <v>964.57</v>
      </c>
      <c r="E973" t="s">
        <v>7</v>
      </c>
      <c r="F973" t="s">
        <v>1558</v>
      </c>
      <c r="G973">
        <v>2023</v>
      </c>
      <c r="H973">
        <f>IF(Table1_1[[#This Row],[Type]]="Expense", _xlfn.XLOOKUP(Table1_1[[#This Row],[Category]], Budget_Ref[Category], Budget_Ref[Monthly Budget], 0), 0)</f>
        <v>150</v>
      </c>
      <c r="I973" t="str">
        <f>IF(Table1_1[[#This Row],[Type]]="Expense", IF(Table1_1[[#This Row],[Amount]]&gt;Table1_1[[#This Row],[Monthly Budget]], "Over Budget", "OK"), "-")</f>
        <v>Over Budget</v>
      </c>
      <c r="J973">
        <f>IF(Table1_1[[#This Row],[Type]]="Income", Table1_1[[#This Row],[Amount]], -Table1_1[[#This Row],[Amount]])</f>
        <v>-964.57</v>
      </c>
    </row>
    <row r="974" spans="1:10" x14ac:dyDescent="0.25">
      <c r="A974" s="1">
        <v>45023</v>
      </c>
      <c r="B974" t="s">
        <v>989</v>
      </c>
      <c r="C974" t="s">
        <v>25</v>
      </c>
      <c r="D974" s="2">
        <v>1826.23</v>
      </c>
      <c r="E974" t="s">
        <v>7</v>
      </c>
      <c r="F974" t="s">
        <v>1558</v>
      </c>
      <c r="G974">
        <v>2023</v>
      </c>
      <c r="H974">
        <f>IF(Table1_1[[#This Row],[Type]]="Expense", _xlfn.XLOOKUP(Table1_1[[#This Row],[Category]], Budget_Ref[Category], Budget_Ref[Monthly Budget], 0), 0)</f>
        <v>150</v>
      </c>
      <c r="I974" t="str">
        <f>IF(Table1_1[[#This Row],[Type]]="Expense", IF(Table1_1[[#This Row],[Amount]]&gt;Table1_1[[#This Row],[Monthly Budget]], "Over Budget", "OK"), "-")</f>
        <v>Over Budget</v>
      </c>
      <c r="J974">
        <f>IF(Table1_1[[#This Row],[Type]]="Income", Table1_1[[#This Row],[Amount]], -Table1_1[[#This Row],[Amount]])</f>
        <v>-1826.23</v>
      </c>
    </row>
    <row r="975" spans="1:10" x14ac:dyDescent="0.25">
      <c r="A975" s="1">
        <v>45024</v>
      </c>
      <c r="B975" t="s">
        <v>990</v>
      </c>
      <c r="C975" t="s">
        <v>17</v>
      </c>
      <c r="D975" s="2">
        <v>548.16999999999996</v>
      </c>
      <c r="E975" t="s">
        <v>7</v>
      </c>
      <c r="F975" t="s">
        <v>1558</v>
      </c>
      <c r="G975">
        <v>2023</v>
      </c>
      <c r="H975">
        <f>IF(Table1_1[[#This Row],[Type]]="Expense", _xlfn.XLOOKUP(Table1_1[[#This Row],[Category]], Budget_Ref[Category], Budget_Ref[Monthly Budget], 0), 0)</f>
        <v>300</v>
      </c>
      <c r="I975" t="str">
        <f>IF(Table1_1[[#This Row],[Type]]="Expense", IF(Table1_1[[#This Row],[Amount]]&gt;Table1_1[[#This Row],[Monthly Budget]], "Over Budget", "OK"), "-")</f>
        <v>Over Budget</v>
      </c>
      <c r="J975">
        <f>IF(Table1_1[[#This Row],[Type]]="Income", Table1_1[[#This Row],[Amount]], -Table1_1[[#This Row],[Amount]])</f>
        <v>-548.16999999999996</v>
      </c>
    </row>
    <row r="976" spans="1:10" x14ac:dyDescent="0.25">
      <c r="A976" s="1">
        <v>45025</v>
      </c>
      <c r="B976" t="s">
        <v>991</v>
      </c>
      <c r="C976" t="s">
        <v>13</v>
      </c>
      <c r="D976" s="2">
        <v>740</v>
      </c>
      <c r="E976" t="s">
        <v>14</v>
      </c>
      <c r="F976" t="s">
        <v>1558</v>
      </c>
      <c r="G976">
        <v>2023</v>
      </c>
      <c r="H976">
        <f>IF(Table1_1[[#This Row],[Type]]="Expense", _xlfn.XLOOKUP(Table1_1[[#This Row],[Category]], Budget_Ref[Category], Budget_Ref[Monthly Budget], 0), 0)</f>
        <v>0</v>
      </c>
      <c r="I976" t="str">
        <f>IF(Table1_1[[#This Row],[Type]]="Expense", IF(Table1_1[[#This Row],[Amount]]&gt;Table1_1[[#This Row],[Monthly Budget]], "Over Budget", "OK"), "-")</f>
        <v>-</v>
      </c>
      <c r="J976">
        <f>IF(Table1_1[[#This Row],[Type]]="Income", Table1_1[[#This Row],[Amount]], -Table1_1[[#This Row],[Amount]])</f>
        <v>740</v>
      </c>
    </row>
    <row r="977" spans="1:10" x14ac:dyDescent="0.25">
      <c r="A977" s="1">
        <v>45026</v>
      </c>
      <c r="B977" t="s">
        <v>992</v>
      </c>
      <c r="C977" t="s">
        <v>35</v>
      </c>
      <c r="D977" s="2">
        <v>126.6</v>
      </c>
      <c r="E977" t="s">
        <v>7</v>
      </c>
      <c r="F977" t="s">
        <v>1558</v>
      </c>
      <c r="G977">
        <v>2023</v>
      </c>
      <c r="H977">
        <f>IF(Table1_1[[#This Row],[Type]]="Expense", _xlfn.XLOOKUP(Table1_1[[#This Row],[Category]], Budget_Ref[Category], Budget_Ref[Monthly Budget], 0), 0)</f>
        <v>200</v>
      </c>
      <c r="I977" t="str">
        <f>IF(Table1_1[[#This Row],[Type]]="Expense", IF(Table1_1[[#This Row],[Amount]]&gt;Table1_1[[#This Row],[Monthly Budget]], "Over Budget", "OK"), "-")</f>
        <v>OK</v>
      </c>
      <c r="J977">
        <f>IF(Table1_1[[#This Row],[Type]]="Income", Table1_1[[#This Row],[Amount]], -Table1_1[[#This Row],[Amount]])</f>
        <v>-126.6</v>
      </c>
    </row>
    <row r="978" spans="1:10" x14ac:dyDescent="0.25">
      <c r="A978" s="1">
        <v>45026</v>
      </c>
      <c r="B978" t="s">
        <v>993</v>
      </c>
      <c r="C978" t="s">
        <v>25</v>
      </c>
      <c r="D978" s="2">
        <v>1536.02</v>
      </c>
      <c r="E978" t="s">
        <v>7</v>
      </c>
      <c r="F978" t="s">
        <v>1558</v>
      </c>
      <c r="G978">
        <v>2023</v>
      </c>
      <c r="H978">
        <f>IF(Table1_1[[#This Row],[Type]]="Expense", _xlfn.XLOOKUP(Table1_1[[#This Row],[Category]], Budget_Ref[Category], Budget_Ref[Monthly Budget], 0), 0)</f>
        <v>150</v>
      </c>
      <c r="I978" t="str">
        <f>IF(Table1_1[[#This Row],[Type]]="Expense", IF(Table1_1[[#This Row],[Amount]]&gt;Table1_1[[#This Row],[Monthly Budget]], "Over Budget", "OK"), "-")</f>
        <v>Over Budget</v>
      </c>
      <c r="J978">
        <f>IF(Table1_1[[#This Row],[Type]]="Income", Table1_1[[#This Row],[Amount]], -Table1_1[[#This Row],[Amount]])</f>
        <v>-1536.02</v>
      </c>
    </row>
    <row r="979" spans="1:10" x14ac:dyDescent="0.25">
      <c r="A979" s="1">
        <v>45029</v>
      </c>
      <c r="B979" t="s">
        <v>994</v>
      </c>
      <c r="C979" t="s">
        <v>9</v>
      </c>
      <c r="D979" s="2">
        <v>209.27</v>
      </c>
      <c r="E979" t="s">
        <v>7</v>
      </c>
      <c r="F979" t="s">
        <v>1558</v>
      </c>
      <c r="G979">
        <v>2023</v>
      </c>
      <c r="H979">
        <f>IF(Table1_1[[#This Row],[Type]]="Expense", _xlfn.XLOOKUP(Table1_1[[#This Row],[Category]], Budget_Ref[Category], Budget_Ref[Monthly Budget], 0), 0)</f>
        <v>150</v>
      </c>
      <c r="I979" t="str">
        <f>IF(Table1_1[[#This Row],[Type]]="Expense", IF(Table1_1[[#This Row],[Amount]]&gt;Table1_1[[#This Row],[Monthly Budget]], "Over Budget", "OK"), "-")</f>
        <v>Over Budget</v>
      </c>
      <c r="J979">
        <f>IF(Table1_1[[#This Row],[Type]]="Income", Table1_1[[#This Row],[Amount]], -Table1_1[[#This Row],[Amount]])</f>
        <v>-209.27</v>
      </c>
    </row>
    <row r="980" spans="1:10" x14ac:dyDescent="0.25">
      <c r="A980" s="1">
        <v>45031</v>
      </c>
      <c r="B980" t="s">
        <v>995</v>
      </c>
      <c r="C980" t="s">
        <v>35</v>
      </c>
      <c r="D980" s="2">
        <v>1072.04</v>
      </c>
      <c r="E980" t="s">
        <v>7</v>
      </c>
      <c r="F980" t="s">
        <v>1558</v>
      </c>
      <c r="G980">
        <v>2023</v>
      </c>
      <c r="H980">
        <f>IF(Table1_1[[#This Row],[Type]]="Expense", _xlfn.XLOOKUP(Table1_1[[#This Row],[Category]], Budget_Ref[Category], Budget_Ref[Monthly Budget], 0), 0)</f>
        <v>200</v>
      </c>
      <c r="I980" t="str">
        <f>IF(Table1_1[[#This Row],[Type]]="Expense", IF(Table1_1[[#This Row],[Amount]]&gt;Table1_1[[#This Row],[Monthly Budget]], "Over Budget", "OK"), "-")</f>
        <v>Over Budget</v>
      </c>
      <c r="J980">
        <f>IF(Table1_1[[#This Row],[Type]]="Income", Table1_1[[#This Row],[Amount]], -Table1_1[[#This Row],[Amount]])</f>
        <v>-1072.04</v>
      </c>
    </row>
    <row r="981" spans="1:10" x14ac:dyDescent="0.25">
      <c r="A981" s="1">
        <v>45032</v>
      </c>
      <c r="B981" t="s">
        <v>996</v>
      </c>
      <c r="C981" t="s">
        <v>6</v>
      </c>
      <c r="D981" s="2">
        <v>1530.46</v>
      </c>
      <c r="E981" t="s">
        <v>7</v>
      </c>
      <c r="F981" t="s">
        <v>1558</v>
      </c>
      <c r="G981">
        <v>2023</v>
      </c>
      <c r="H981">
        <f>IF(Table1_1[[#This Row],[Type]]="Expense", _xlfn.XLOOKUP(Table1_1[[#This Row],[Category]], Budget_Ref[Category], Budget_Ref[Monthly Budget], 0), 0)</f>
        <v>500</v>
      </c>
      <c r="I981" t="str">
        <f>IF(Table1_1[[#This Row],[Type]]="Expense", IF(Table1_1[[#This Row],[Amount]]&gt;Table1_1[[#This Row],[Monthly Budget]], "Over Budget", "OK"), "-")</f>
        <v>Over Budget</v>
      </c>
      <c r="J981">
        <f>IF(Table1_1[[#This Row],[Type]]="Income", Table1_1[[#This Row],[Amount]], -Table1_1[[#This Row],[Amount]])</f>
        <v>-1530.46</v>
      </c>
    </row>
    <row r="982" spans="1:10" x14ac:dyDescent="0.25">
      <c r="A982" s="1">
        <v>45036</v>
      </c>
      <c r="B982" t="s">
        <v>997</v>
      </c>
      <c r="C982" t="s">
        <v>17</v>
      </c>
      <c r="D982" s="2">
        <v>716.06</v>
      </c>
      <c r="E982" t="s">
        <v>7</v>
      </c>
      <c r="F982" t="s">
        <v>1558</v>
      </c>
      <c r="G982">
        <v>2023</v>
      </c>
      <c r="H982">
        <f>IF(Table1_1[[#This Row],[Type]]="Expense", _xlfn.XLOOKUP(Table1_1[[#This Row],[Category]], Budget_Ref[Category], Budget_Ref[Monthly Budget], 0), 0)</f>
        <v>300</v>
      </c>
      <c r="I982" t="str">
        <f>IF(Table1_1[[#This Row],[Type]]="Expense", IF(Table1_1[[#This Row],[Amount]]&gt;Table1_1[[#This Row],[Monthly Budget]], "Over Budget", "OK"), "-")</f>
        <v>Over Budget</v>
      </c>
      <c r="J982">
        <f>IF(Table1_1[[#This Row],[Type]]="Income", Table1_1[[#This Row],[Amount]], -Table1_1[[#This Row],[Amount]])</f>
        <v>-716.06</v>
      </c>
    </row>
    <row r="983" spans="1:10" x14ac:dyDescent="0.25">
      <c r="A983" s="1">
        <v>45036</v>
      </c>
      <c r="B983" t="s">
        <v>998</v>
      </c>
      <c r="C983" t="s">
        <v>9</v>
      </c>
      <c r="D983" s="2">
        <v>360.44</v>
      </c>
      <c r="E983" t="s">
        <v>7</v>
      </c>
      <c r="F983" t="s">
        <v>1558</v>
      </c>
      <c r="G983">
        <v>2023</v>
      </c>
      <c r="H983">
        <f>IF(Table1_1[[#This Row],[Type]]="Expense", _xlfn.XLOOKUP(Table1_1[[#This Row],[Category]], Budget_Ref[Category], Budget_Ref[Monthly Budget], 0), 0)</f>
        <v>150</v>
      </c>
      <c r="I983" t="str">
        <f>IF(Table1_1[[#This Row],[Type]]="Expense", IF(Table1_1[[#This Row],[Amount]]&gt;Table1_1[[#This Row],[Monthly Budget]], "Over Budget", "OK"), "-")</f>
        <v>Over Budget</v>
      </c>
      <c r="J983">
        <f>IF(Table1_1[[#This Row],[Type]]="Income", Table1_1[[#This Row],[Amount]], -Table1_1[[#This Row],[Amount]])</f>
        <v>-360.44</v>
      </c>
    </row>
    <row r="984" spans="1:10" x14ac:dyDescent="0.25">
      <c r="A984" s="1">
        <v>45037</v>
      </c>
      <c r="B984" t="s">
        <v>999</v>
      </c>
      <c r="C984" t="s">
        <v>25</v>
      </c>
      <c r="D984" s="2">
        <v>1828.82</v>
      </c>
      <c r="E984" t="s">
        <v>7</v>
      </c>
      <c r="F984" t="s">
        <v>1558</v>
      </c>
      <c r="G984">
        <v>2023</v>
      </c>
      <c r="H984">
        <f>IF(Table1_1[[#This Row],[Type]]="Expense", _xlfn.XLOOKUP(Table1_1[[#This Row],[Category]], Budget_Ref[Category], Budget_Ref[Monthly Budget], 0), 0)</f>
        <v>150</v>
      </c>
      <c r="I984" t="str">
        <f>IF(Table1_1[[#This Row],[Type]]="Expense", IF(Table1_1[[#This Row],[Amount]]&gt;Table1_1[[#This Row],[Monthly Budget]], "Over Budget", "OK"), "-")</f>
        <v>Over Budget</v>
      </c>
      <c r="J984">
        <f>IF(Table1_1[[#This Row],[Type]]="Income", Table1_1[[#This Row],[Amount]], -Table1_1[[#This Row],[Amount]])</f>
        <v>-1828.82</v>
      </c>
    </row>
    <row r="985" spans="1:10" x14ac:dyDescent="0.25">
      <c r="A985" s="1">
        <v>45038</v>
      </c>
      <c r="B985" t="s">
        <v>1000</v>
      </c>
      <c r="C985" t="s">
        <v>20</v>
      </c>
      <c r="D985" s="2">
        <v>1664</v>
      </c>
      <c r="E985" t="s">
        <v>14</v>
      </c>
      <c r="F985" t="s">
        <v>1558</v>
      </c>
      <c r="G985">
        <v>2023</v>
      </c>
      <c r="H985">
        <f>IF(Table1_1[[#This Row],[Type]]="Expense", _xlfn.XLOOKUP(Table1_1[[#This Row],[Category]], Budget_Ref[Category], Budget_Ref[Monthly Budget], 0), 0)</f>
        <v>0</v>
      </c>
      <c r="I985" t="str">
        <f>IF(Table1_1[[#This Row],[Type]]="Expense", IF(Table1_1[[#This Row],[Amount]]&gt;Table1_1[[#This Row],[Monthly Budget]], "Over Budget", "OK"), "-")</f>
        <v>-</v>
      </c>
      <c r="J985">
        <f>IF(Table1_1[[#This Row],[Type]]="Income", Table1_1[[#This Row],[Amount]], -Table1_1[[#This Row],[Amount]])</f>
        <v>1664</v>
      </c>
    </row>
    <row r="986" spans="1:10" x14ac:dyDescent="0.25">
      <c r="A986" s="1">
        <v>45038</v>
      </c>
      <c r="B986" t="s">
        <v>1001</v>
      </c>
      <c r="C986" t="s">
        <v>22</v>
      </c>
      <c r="D986" s="2">
        <v>1675.03</v>
      </c>
      <c r="E986" t="s">
        <v>7</v>
      </c>
      <c r="F986" t="s">
        <v>1558</v>
      </c>
      <c r="G986">
        <v>2023</v>
      </c>
      <c r="H986">
        <f>IF(Table1_1[[#This Row],[Type]]="Expense", _xlfn.XLOOKUP(Table1_1[[#This Row],[Category]], Budget_Ref[Category], Budget_Ref[Monthly Budget], 0), 0)</f>
        <v>200</v>
      </c>
      <c r="I986" t="str">
        <f>IF(Table1_1[[#This Row],[Type]]="Expense", IF(Table1_1[[#This Row],[Amount]]&gt;Table1_1[[#This Row],[Monthly Budget]], "Over Budget", "OK"), "-")</f>
        <v>Over Budget</v>
      </c>
      <c r="J986">
        <f>IF(Table1_1[[#This Row],[Type]]="Income", Table1_1[[#This Row],[Amount]], -Table1_1[[#This Row],[Amount]])</f>
        <v>-1675.03</v>
      </c>
    </row>
    <row r="987" spans="1:10" x14ac:dyDescent="0.25">
      <c r="A987" s="1">
        <v>45039</v>
      </c>
      <c r="B987" t="s">
        <v>1002</v>
      </c>
      <c r="C987" t="s">
        <v>27</v>
      </c>
      <c r="D987" s="2">
        <v>1088.83</v>
      </c>
      <c r="E987" t="s">
        <v>14</v>
      </c>
      <c r="F987" t="s">
        <v>1558</v>
      </c>
      <c r="G987">
        <v>2023</v>
      </c>
      <c r="H987">
        <f>IF(Table1_1[[#This Row],[Type]]="Expense", _xlfn.XLOOKUP(Table1_1[[#This Row],[Category]], Budget_Ref[Category], Budget_Ref[Monthly Budget], 0), 0)</f>
        <v>0</v>
      </c>
      <c r="I987" t="str">
        <f>IF(Table1_1[[#This Row],[Type]]="Expense", IF(Table1_1[[#This Row],[Amount]]&gt;Table1_1[[#This Row],[Monthly Budget]], "Over Budget", "OK"), "-")</f>
        <v>-</v>
      </c>
      <c r="J987">
        <f>IF(Table1_1[[#This Row],[Type]]="Income", Table1_1[[#This Row],[Amount]], -Table1_1[[#This Row],[Amount]])</f>
        <v>1088.83</v>
      </c>
    </row>
    <row r="988" spans="1:10" x14ac:dyDescent="0.25">
      <c r="A988" s="1">
        <v>45040</v>
      </c>
      <c r="B988" t="s">
        <v>1003</v>
      </c>
      <c r="C988" t="s">
        <v>13</v>
      </c>
      <c r="D988" s="2">
        <v>1239</v>
      </c>
      <c r="E988" t="s">
        <v>14</v>
      </c>
      <c r="F988" t="s">
        <v>1558</v>
      </c>
      <c r="G988">
        <v>2023</v>
      </c>
      <c r="H988">
        <f>IF(Table1_1[[#This Row],[Type]]="Expense", _xlfn.XLOOKUP(Table1_1[[#This Row],[Category]], Budget_Ref[Category], Budget_Ref[Monthly Budget], 0), 0)</f>
        <v>0</v>
      </c>
      <c r="I988" t="str">
        <f>IF(Table1_1[[#This Row],[Type]]="Expense", IF(Table1_1[[#This Row],[Amount]]&gt;Table1_1[[#This Row],[Monthly Budget]], "Over Budget", "OK"), "-")</f>
        <v>-</v>
      </c>
      <c r="J988">
        <f>IF(Table1_1[[#This Row],[Type]]="Income", Table1_1[[#This Row],[Amount]], -Table1_1[[#This Row],[Amount]])</f>
        <v>1239</v>
      </c>
    </row>
    <row r="989" spans="1:10" x14ac:dyDescent="0.25">
      <c r="A989" s="1">
        <v>45041</v>
      </c>
      <c r="B989" t="s">
        <v>1004</v>
      </c>
      <c r="C989" t="s">
        <v>13</v>
      </c>
      <c r="D989" s="2">
        <v>663</v>
      </c>
      <c r="E989" t="s">
        <v>14</v>
      </c>
      <c r="F989" t="s">
        <v>1558</v>
      </c>
      <c r="G989">
        <v>2023</v>
      </c>
      <c r="H989">
        <f>IF(Table1_1[[#This Row],[Type]]="Expense", _xlfn.XLOOKUP(Table1_1[[#This Row],[Category]], Budget_Ref[Category], Budget_Ref[Monthly Budget], 0), 0)</f>
        <v>0</v>
      </c>
      <c r="I989" t="str">
        <f>IF(Table1_1[[#This Row],[Type]]="Expense", IF(Table1_1[[#This Row],[Amount]]&gt;Table1_1[[#This Row],[Monthly Budget]], "Over Budget", "OK"), "-")</f>
        <v>-</v>
      </c>
      <c r="J989">
        <f>IF(Table1_1[[#This Row],[Type]]="Income", Table1_1[[#This Row],[Amount]], -Table1_1[[#This Row],[Amount]])</f>
        <v>663</v>
      </c>
    </row>
    <row r="990" spans="1:10" x14ac:dyDescent="0.25">
      <c r="A990" s="1">
        <v>45048</v>
      </c>
      <c r="B990" t="s">
        <v>1005</v>
      </c>
      <c r="C990" t="s">
        <v>6</v>
      </c>
      <c r="D990" s="2">
        <v>670.15</v>
      </c>
      <c r="E990" t="s">
        <v>7</v>
      </c>
      <c r="F990" t="s">
        <v>1559</v>
      </c>
      <c r="G990">
        <v>2023</v>
      </c>
      <c r="H990">
        <f>IF(Table1_1[[#This Row],[Type]]="Expense", _xlfn.XLOOKUP(Table1_1[[#This Row],[Category]], Budget_Ref[Category], Budget_Ref[Monthly Budget], 0), 0)</f>
        <v>500</v>
      </c>
      <c r="I990" t="str">
        <f>IF(Table1_1[[#This Row],[Type]]="Expense", IF(Table1_1[[#This Row],[Amount]]&gt;Table1_1[[#This Row],[Monthly Budget]], "Over Budget", "OK"), "-")</f>
        <v>Over Budget</v>
      </c>
      <c r="J990">
        <f>IF(Table1_1[[#This Row],[Type]]="Income", Table1_1[[#This Row],[Amount]], -Table1_1[[#This Row],[Amount]])</f>
        <v>-670.15</v>
      </c>
    </row>
    <row r="991" spans="1:10" x14ac:dyDescent="0.25">
      <c r="A991" s="1">
        <v>45048</v>
      </c>
      <c r="B991" t="s">
        <v>1006</v>
      </c>
      <c r="C991" t="s">
        <v>9</v>
      </c>
      <c r="D991" s="2">
        <v>688.11</v>
      </c>
      <c r="E991" t="s">
        <v>7</v>
      </c>
      <c r="F991" t="s">
        <v>1559</v>
      </c>
      <c r="G991">
        <v>2023</v>
      </c>
      <c r="H991">
        <f>IF(Table1_1[[#This Row],[Type]]="Expense", _xlfn.XLOOKUP(Table1_1[[#This Row],[Category]], Budget_Ref[Category], Budget_Ref[Monthly Budget], 0), 0)</f>
        <v>150</v>
      </c>
      <c r="I991" t="str">
        <f>IF(Table1_1[[#This Row],[Type]]="Expense", IF(Table1_1[[#This Row],[Amount]]&gt;Table1_1[[#This Row],[Monthly Budget]], "Over Budget", "OK"), "-")</f>
        <v>Over Budget</v>
      </c>
      <c r="J991">
        <f>IF(Table1_1[[#This Row],[Type]]="Income", Table1_1[[#This Row],[Amount]], -Table1_1[[#This Row],[Amount]])</f>
        <v>-688.11</v>
      </c>
    </row>
    <row r="992" spans="1:10" x14ac:dyDescent="0.25">
      <c r="A992" s="1">
        <v>45049</v>
      </c>
      <c r="B992" t="s">
        <v>1007</v>
      </c>
      <c r="C992" t="s">
        <v>20</v>
      </c>
      <c r="D992" s="2">
        <v>987</v>
      </c>
      <c r="E992" t="s">
        <v>14</v>
      </c>
      <c r="F992" t="s">
        <v>1559</v>
      </c>
      <c r="G992">
        <v>2023</v>
      </c>
      <c r="H992">
        <f>IF(Table1_1[[#This Row],[Type]]="Expense", _xlfn.XLOOKUP(Table1_1[[#This Row],[Category]], Budget_Ref[Category], Budget_Ref[Monthly Budget], 0), 0)</f>
        <v>0</v>
      </c>
      <c r="I992" t="str">
        <f>IF(Table1_1[[#This Row],[Type]]="Expense", IF(Table1_1[[#This Row],[Amount]]&gt;Table1_1[[#This Row],[Monthly Budget]], "Over Budget", "OK"), "-")</f>
        <v>-</v>
      </c>
      <c r="J992">
        <f>IF(Table1_1[[#This Row],[Type]]="Income", Table1_1[[#This Row],[Amount]], -Table1_1[[#This Row],[Amount]])</f>
        <v>987</v>
      </c>
    </row>
    <row r="993" spans="1:10" x14ac:dyDescent="0.25">
      <c r="A993" s="1">
        <v>45051</v>
      </c>
      <c r="B993" t="s">
        <v>1008</v>
      </c>
      <c r="C993" t="s">
        <v>13</v>
      </c>
      <c r="D993" s="2">
        <v>1408</v>
      </c>
      <c r="E993" t="s">
        <v>14</v>
      </c>
      <c r="F993" t="s">
        <v>1559</v>
      </c>
      <c r="G993">
        <v>2023</v>
      </c>
      <c r="H993">
        <f>IF(Table1_1[[#This Row],[Type]]="Expense", _xlfn.XLOOKUP(Table1_1[[#This Row],[Category]], Budget_Ref[Category], Budget_Ref[Monthly Budget], 0), 0)</f>
        <v>0</v>
      </c>
      <c r="I993" t="str">
        <f>IF(Table1_1[[#This Row],[Type]]="Expense", IF(Table1_1[[#This Row],[Amount]]&gt;Table1_1[[#This Row],[Monthly Budget]], "Over Budget", "OK"), "-")</f>
        <v>-</v>
      </c>
      <c r="J993">
        <f>IF(Table1_1[[#This Row],[Type]]="Income", Table1_1[[#This Row],[Amount]], -Table1_1[[#This Row],[Amount]])</f>
        <v>1408</v>
      </c>
    </row>
    <row r="994" spans="1:10" x14ac:dyDescent="0.25">
      <c r="A994" s="1">
        <v>45051</v>
      </c>
      <c r="B994" t="s">
        <v>1009</v>
      </c>
      <c r="C994" t="s">
        <v>25</v>
      </c>
      <c r="D994" s="2">
        <v>1921.51</v>
      </c>
      <c r="E994" t="s">
        <v>7</v>
      </c>
      <c r="F994" t="s">
        <v>1559</v>
      </c>
      <c r="G994">
        <v>2023</v>
      </c>
      <c r="H994">
        <f>IF(Table1_1[[#This Row],[Type]]="Expense", _xlfn.XLOOKUP(Table1_1[[#This Row],[Category]], Budget_Ref[Category], Budget_Ref[Monthly Budget], 0), 0)</f>
        <v>150</v>
      </c>
      <c r="I994" t="str">
        <f>IF(Table1_1[[#This Row],[Type]]="Expense", IF(Table1_1[[#This Row],[Amount]]&gt;Table1_1[[#This Row],[Monthly Budget]], "Over Budget", "OK"), "-")</f>
        <v>Over Budget</v>
      </c>
      <c r="J994">
        <f>IF(Table1_1[[#This Row],[Type]]="Income", Table1_1[[#This Row],[Amount]], -Table1_1[[#This Row],[Amount]])</f>
        <v>-1921.51</v>
      </c>
    </row>
    <row r="995" spans="1:10" x14ac:dyDescent="0.25">
      <c r="A995" s="1">
        <v>45051</v>
      </c>
      <c r="B995" t="s">
        <v>1010</v>
      </c>
      <c r="C995" t="s">
        <v>17</v>
      </c>
      <c r="D995" s="2">
        <v>1176.17</v>
      </c>
      <c r="E995" t="s">
        <v>7</v>
      </c>
      <c r="F995" t="s">
        <v>1559</v>
      </c>
      <c r="G995">
        <v>2023</v>
      </c>
      <c r="H995">
        <f>IF(Table1_1[[#This Row],[Type]]="Expense", _xlfn.XLOOKUP(Table1_1[[#This Row],[Category]], Budget_Ref[Category], Budget_Ref[Monthly Budget], 0), 0)</f>
        <v>300</v>
      </c>
      <c r="I995" t="str">
        <f>IF(Table1_1[[#This Row],[Type]]="Expense", IF(Table1_1[[#This Row],[Amount]]&gt;Table1_1[[#This Row],[Monthly Budget]], "Over Budget", "OK"), "-")</f>
        <v>Over Budget</v>
      </c>
      <c r="J995">
        <f>IF(Table1_1[[#This Row],[Type]]="Income", Table1_1[[#This Row],[Amount]], -Table1_1[[#This Row],[Amount]])</f>
        <v>-1176.17</v>
      </c>
    </row>
    <row r="996" spans="1:10" x14ac:dyDescent="0.25">
      <c r="A996" s="1">
        <v>45053</v>
      </c>
      <c r="B996" t="s">
        <v>1011</v>
      </c>
      <c r="C996" t="s">
        <v>25</v>
      </c>
      <c r="D996" s="2">
        <v>281.54000000000002</v>
      </c>
      <c r="E996" t="s">
        <v>7</v>
      </c>
      <c r="F996" t="s">
        <v>1559</v>
      </c>
      <c r="G996">
        <v>2023</v>
      </c>
      <c r="H996">
        <f>IF(Table1_1[[#This Row],[Type]]="Expense", _xlfn.XLOOKUP(Table1_1[[#This Row],[Category]], Budget_Ref[Category], Budget_Ref[Monthly Budget], 0), 0)</f>
        <v>150</v>
      </c>
      <c r="I996" t="str">
        <f>IF(Table1_1[[#This Row],[Type]]="Expense", IF(Table1_1[[#This Row],[Amount]]&gt;Table1_1[[#This Row],[Monthly Budget]], "Over Budget", "OK"), "-")</f>
        <v>Over Budget</v>
      </c>
      <c r="J996">
        <f>IF(Table1_1[[#This Row],[Type]]="Income", Table1_1[[#This Row],[Amount]], -Table1_1[[#This Row],[Amount]])</f>
        <v>-281.54000000000002</v>
      </c>
    </row>
    <row r="997" spans="1:10" x14ac:dyDescent="0.25">
      <c r="A997" s="1">
        <v>45058</v>
      </c>
      <c r="B997" t="s">
        <v>1012</v>
      </c>
      <c r="C997" t="s">
        <v>20</v>
      </c>
      <c r="D997" s="2">
        <v>4491</v>
      </c>
      <c r="E997" t="s">
        <v>14</v>
      </c>
      <c r="F997" t="s">
        <v>1559</v>
      </c>
      <c r="G997">
        <v>2023</v>
      </c>
      <c r="H997">
        <f>IF(Table1_1[[#This Row],[Type]]="Expense", _xlfn.XLOOKUP(Table1_1[[#This Row],[Category]], Budget_Ref[Category], Budget_Ref[Monthly Budget], 0), 0)</f>
        <v>0</v>
      </c>
      <c r="I997" t="str">
        <f>IF(Table1_1[[#This Row],[Type]]="Expense", IF(Table1_1[[#This Row],[Amount]]&gt;Table1_1[[#This Row],[Monthly Budget]], "Over Budget", "OK"), "-")</f>
        <v>-</v>
      </c>
      <c r="J997">
        <f>IF(Table1_1[[#This Row],[Type]]="Income", Table1_1[[#This Row],[Amount]], -Table1_1[[#This Row],[Amount]])</f>
        <v>4491</v>
      </c>
    </row>
    <row r="998" spans="1:10" x14ac:dyDescent="0.25">
      <c r="A998" s="1">
        <v>45060</v>
      </c>
      <c r="B998" t="s">
        <v>1013</v>
      </c>
      <c r="C998" t="s">
        <v>9</v>
      </c>
      <c r="D998" s="2">
        <v>1417.29</v>
      </c>
      <c r="E998" t="s">
        <v>7</v>
      </c>
      <c r="F998" t="s">
        <v>1559</v>
      </c>
      <c r="G998">
        <v>2023</v>
      </c>
      <c r="H998">
        <f>IF(Table1_1[[#This Row],[Type]]="Expense", _xlfn.XLOOKUP(Table1_1[[#This Row],[Category]], Budget_Ref[Category], Budget_Ref[Monthly Budget], 0), 0)</f>
        <v>150</v>
      </c>
      <c r="I998" t="str">
        <f>IF(Table1_1[[#This Row],[Type]]="Expense", IF(Table1_1[[#This Row],[Amount]]&gt;Table1_1[[#This Row],[Monthly Budget]], "Over Budget", "OK"), "-")</f>
        <v>Over Budget</v>
      </c>
      <c r="J998">
        <f>IF(Table1_1[[#This Row],[Type]]="Income", Table1_1[[#This Row],[Amount]], -Table1_1[[#This Row],[Amount]])</f>
        <v>-1417.29</v>
      </c>
    </row>
    <row r="999" spans="1:10" x14ac:dyDescent="0.25">
      <c r="A999" s="1">
        <v>45060</v>
      </c>
      <c r="B999" t="s">
        <v>1014</v>
      </c>
      <c r="C999" t="s">
        <v>25</v>
      </c>
      <c r="D999" s="2">
        <v>454.24</v>
      </c>
      <c r="E999" t="s">
        <v>7</v>
      </c>
      <c r="F999" t="s">
        <v>1559</v>
      </c>
      <c r="G999">
        <v>2023</v>
      </c>
      <c r="H999">
        <f>IF(Table1_1[[#This Row],[Type]]="Expense", _xlfn.XLOOKUP(Table1_1[[#This Row],[Category]], Budget_Ref[Category], Budget_Ref[Monthly Budget], 0), 0)</f>
        <v>150</v>
      </c>
      <c r="I999" t="str">
        <f>IF(Table1_1[[#This Row],[Type]]="Expense", IF(Table1_1[[#This Row],[Amount]]&gt;Table1_1[[#This Row],[Monthly Budget]], "Over Budget", "OK"), "-")</f>
        <v>Over Budget</v>
      </c>
      <c r="J999">
        <f>IF(Table1_1[[#This Row],[Type]]="Income", Table1_1[[#This Row],[Amount]], -Table1_1[[#This Row],[Amount]])</f>
        <v>-454.24</v>
      </c>
    </row>
    <row r="1000" spans="1:10" x14ac:dyDescent="0.25">
      <c r="A1000" s="1">
        <v>45060</v>
      </c>
      <c r="B1000" t="s">
        <v>1015</v>
      </c>
      <c r="C1000" t="s">
        <v>9</v>
      </c>
      <c r="D1000" s="2">
        <v>762.98</v>
      </c>
      <c r="E1000" t="s">
        <v>7</v>
      </c>
      <c r="F1000" t="s">
        <v>1559</v>
      </c>
      <c r="G1000">
        <v>2023</v>
      </c>
      <c r="H1000">
        <f>IF(Table1_1[[#This Row],[Type]]="Expense", _xlfn.XLOOKUP(Table1_1[[#This Row],[Category]], Budget_Ref[Category], Budget_Ref[Monthly Budget], 0), 0)</f>
        <v>150</v>
      </c>
      <c r="I1000" t="str">
        <f>IF(Table1_1[[#This Row],[Type]]="Expense", IF(Table1_1[[#This Row],[Amount]]&gt;Table1_1[[#This Row],[Monthly Budget]], "Over Budget", "OK"), "-")</f>
        <v>Over Budget</v>
      </c>
      <c r="J1000">
        <f>IF(Table1_1[[#This Row],[Type]]="Income", Table1_1[[#This Row],[Amount]], -Table1_1[[#This Row],[Amount]])</f>
        <v>-762.98</v>
      </c>
    </row>
    <row r="1001" spans="1:10" x14ac:dyDescent="0.25">
      <c r="A1001" s="1">
        <v>45061</v>
      </c>
      <c r="B1001" t="s">
        <v>1016</v>
      </c>
      <c r="C1001" t="s">
        <v>35</v>
      </c>
      <c r="D1001" s="2">
        <v>263.42</v>
      </c>
      <c r="E1001" t="s">
        <v>7</v>
      </c>
      <c r="F1001" t="s">
        <v>1559</v>
      </c>
      <c r="G1001">
        <v>2023</v>
      </c>
      <c r="H1001">
        <f>IF(Table1_1[[#This Row],[Type]]="Expense", _xlfn.XLOOKUP(Table1_1[[#This Row],[Category]], Budget_Ref[Category], Budget_Ref[Monthly Budget], 0), 0)</f>
        <v>200</v>
      </c>
      <c r="I1001" t="str">
        <f>IF(Table1_1[[#This Row],[Type]]="Expense", IF(Table1_1[[#This Row],[Amount]]&gt;Table1_1[[#This Row],[Monthly Budget]], "Over Budget", "OK"), "-")</f>
        <v>Over Budget</v>
      </c>
      <c r="J1001">
        <f>IF(Table1_1[[#This Row],[Type]]="Income", Table1_1[[#This Row],[Amount]], -Table1_1[[#This Row],[Amount]])</f>
        <v>-263.42</v>
      </c>
    </row>
    <row r="1002" spans="1:10" x14ac:dyDescent="0.25">
      <c r="A1002" s="1">
        <v>45061</v>
      </c>
      <c r="B1002" t="s">
        <v>1017</v>
      </c>
      <c r="C1002" t="s">
        <v>17</v>
      </c>
      <c r="D1002" s="2">
        <v>1703.01</v>
      </c>
      <c r="E1002" t="s">
        <v>7</v>
      </c>
      <c r="F1002" t="s">
        <v>1559</v>
      </c>
      <c r="G1002">
        <v>2023</v>
      </c>
      <c r="H1002">
        <f>IF(Table1_1[[#This Row],[Type]]="Expense", _xlfn.XLOOKUP(Table1_1[[#This Row],[Category]], Budget_Ref[Category], Budget_Ref[Monthly Budget], 0), 0)</f>
        <v>300</v>
      </c>
      <c r="I1002" t="str">
        <f>IF(Table1_1[[#This Row],[Type]]="Expense", IF(Table1_1[[#This Row],[Amount]]&gt;Table1_1[[#This Row],[Monthly Budget]], "Over Budget", "OK"), "-")</f>
        <v>Over Budget</v>
      </c>
      <c r="J1002">
        <f>IF(Table1_1[[#This Row],[Type]]="Income", Table1_1[[#This Row],[Amount]], -Table1_1[[#This Row],[Amount]])</f>
        <v>-1703.01</v>
      </c>
    </row>
    <row r="1003" spans="1:10" x14ac:dyDescent="0.25">
      <c r="A1003" s="1">
        <v>45062</v>
      </c>
      <c r="B1003" t="s">
        <v>1018</v>
      </c>
      <c r="C1003" t="s">
        <v>6</v>
      </c>
      <c r="D1003" s="2">
        <v>372.34</v>
      </c>
      <c r="E1003" t="s">
        <v>7</v>
      </c>
      <c r="F1003" t="s">
        <v>1559</v>
      </c>
      <c r="G1003">
        <v>2023</v>
      </c>
      <c r="H1003">
        <f>IF(Table1_1[[#This Row],[Type]]="Expense", _xlfn.XLOOKUP(Table1_1[[#This Row],[Category]], Budget_Ref[Category], Budget_Ref[Monthly Budget], 0), 0)</f>
        <v>500</v>
      </c>
      <c r="I1003" t="str">
        <f>IF(Table1_1[[#This Row],[Type]]="Expense", IF(Table1_1[[#This Row],[Amount]]&gt;Table1_1[[#This Row],[Monthly Budget]], "Over Budget", "OK"), "-")</f>
        <v>OK</v>
      </c>
      <c r="J1003">
        <f>IF(Table1_1[[#This Row],[Type]]="Income", Table1_1[[#This Row],[Amount]], -Table1_1[[#This Row],[Amount]])</f>
        <v>-372.34</v>
      </c>
    </row>
    <row r="1004" spans="1:10" x14ac:dyDescent="0.25">
      <c r="A1004" s="1">
        <v>45063</v>
      </c>
      <c r="B1004" t="s">
        <v>1019</v>
      </c>
      <c r="C1004" t="s">
        <v>22</v>
      </c>
      <c r="D1004" s="2">
        <v>1282.9000000000001</v>
      </c>
      <c r="E1004" t="s">
        <v>7</v>
      </c>
      <c r="F1004" t="s">
        <v>1559</v>
      </c>
      <c r="G1004">
        <v>2023</v>
      </c>
      <c r="H1004">
        <f>IF(Table1_1[[#This Row],[Type]]="Expense", _xlfn.XLOOKUP(Table1_1[[#This Row],[Category]], Budget_Ref[Category], Budget_Ref[Monthly Budget], 0), 0)</f>
        <v>200</v>
      </c>
      <c r="I1004" t="str">
        <f>IF(Table1_1[[#This Row],[Type]]="Expense", IF(Table1_1[[#This Row],[Amount]]&gt;Table1_1[[#This Row],[Monthly Budget]], "Over Budget", "OK"), "-")</f>
        <v>Over Budget</v>
      </c>
      <c r="J1004">
        <f>IF(Table1_1[[#This Row],[Type]]="Income", Table1_1[[#This Row],[Amount]], -Table1_1[[#This Row],[Amount]])</f>
        <v>-1282.9000000000001</v>
      </c>
    </row>
    <row r="1005" spans="1:10" x14ac:dyDescent="0.25">
      <c r="A1005" s="1">
        <v>45064</v>
      </c>
      <c r="B1005" t="s">
        <v>1020</v>
      </c>
      <c r="C1005" t="s">
        <v>20</v>
      </c>
      <c r="D1005" s="2">
        <v>1652</v>
      </c>
      <c r="E1005" t="s">
        <v>14</v>
      </c>
      <c r="F1005" t="s">
        <v>1559</v>
      </c>
      <c r="G1005">
        <v>2023</v>
      </c>
      <c r="H1005">
        <f>IF(Table1_1[[#This Row],[Type]]="Expense", _xlfn.XLOOKUP(Table1_1[[#This Row],[Category]], Budget_Ref[Category], Budget_Ref[Monthly Budget], 0), 0)</f>
        <v>0</v>
      </c>
      <c r="I1005" t="str">
        <f>IF(Table1_1[[#This Row],[Type]]="Expense", IF(Table1_1[[#This Row],[Amount]]&gt;Table1_1[[#This Row],[Monthly Budget]], "Over Budget", "OK"), "-")</f>
        <v>-</v>
      </c>
      <c r="J1005">
        <f>IF(Table1_1[[#This Row],[Type]]="Income", Table1_1[[#This Row],[Amount]], -Table1_1[[#This Row],[Amount]])</f>
        <v>1652</v>
      </c>
    </row>
    <row r="1006" spans="1:10" x14ac:dyDescent="0.25">
      <c r="A1006" s="1">
        <v>45065</v>
      </c>
      <c r="B1006" t="s">
        <v>1021</v>
      </c>
      <c r="C1006" t="s">
        <v>11</v>
      </c>
      <c r="D1006" s="2">
        <v>483.61</v>
      </c>
      <c r="E1006" t="s">
        <v>7</v>
      </c>
      <c r="F1006" t="s">
        <v>1559</v>
      </c>
      <c r="G1006">
        <v>2023</v>
      </c>
      <c r="H1006">
        <f>IF(Table1_1[[#This Row],[Type]]="Expense", _xlfn.XLOOKUP(Table1_1[[#This Row],[Category]], Budget_Ref[Category], Budget_Ref[Monthly Budget], 0), 0)</f>
        <v>1500</v>
      </c>
      <c r="I1006" t="str">
        <f>IF(Table1_1[[#This Row],[Type]]="Expense", IF(Table1_1[[#This Row],[Amount]]&gt;Table1_1[[#This Row],[Monthly Budget]], "Over Budget", "OK"), "-")</f>
        <v>OK</v>
      </c>
      <c r="J1006">
        <f>IF(Table1_1[[#This Row],[Type]]="Income", Table1_1[[#This Row],[Amount]], -Table1_1[[#This Row],[Amount]])</f>
        <v>-483.61</v>
      </c>
    </row>
    <row r="1007" spans="1:10" x14ac:dyDescent="0.25">
      <c r="A1007" s="1">
        <v>45066</v>
      </c>
      <c r="B1007" t="s">
        <v>1022</v>
      </c>
      <c r="C1007" t="s">
        <v>9</v>
      </c>
      <c r="D1007" s="2">
        <v>1276.01</v>
      </c>
      <c r="E1007" t="s">
        <v>7</v>
      </c>
      <c r="F1007" t="s">
        <v>1559</v>
      </c>
      <c r="G1007">
        <v>2023</v>
      </c>
      <c r="H1007">
        <f>IF(Table1_1[[#This Row],[Type]]="Expense", _xlfn.XLOOKUP(Table1_1[[#This Row],[Category]], Budget_Ref[Category], Budget_Ref[Monthly Budget], 0), 0)</f>
        <v>150</v>
      </c>
      <c r="I1007" t="str">
        <f>IF(Table1_1[[#This Row],[Type]]="Expense", IF(Table1_1[[#This Row],[Amount]]&gt;Table1_1[[#This Row],[Monthly Budget]], "Over Budget", "OK"), "-")</f>
        <v>Over Budget</v>
      </c>
      <c r="J1007">
        <f>IF(Table1_1[[#This Row],[Type]]="Income", Table1_1[[#This Row],[Amount]], -Table1_1[[#This Row],[Amount]])</f>
        <v>-1276.01</v>
      </c>
    </row>
    <row r="1008" spans="1:10" x14ac:dyDescent="0.25">
      <c r="A1008" s="1">
        <v>45066</v>
      </c>
      <c r="B1008" t="s">
        <v>1023</v>
      </c>
      <c r="C1008" t="s">
        <v>25</v>
      </c>
      <c r="D1008" s="2">
        <v>898.79</v>
      </c>
      <c r="E1008" t="s">
        <v>7</v>
      </c>
      <c r="F1008" t="s">
        <v>1559</v>
      </c>
      <c r="G1008">
        <v>2023</v>
      </c>
      <c r="H1008">
        <f>IF(Table1_1[[#This Row],[Type]]="Expense", _xlfn.XLOOKUP(Table1_1[[#This Row],[Category]], Budget_Ref[Category], Budget_Ref[Monthly Budget], 0), 0)</f>
        <v>150</v>
      </c>
      <c r="I1008" t="str">
        <f>IF(Table1_1[[#This Row],[Type]]="Expense", IF(Table1_1[[#This Row],[Amount]]&gt;Table1_1[[#This Row],[Monthly Budget]], "Over Budget", "OK"), "-")</f>
        <v>Over Budget</v>
      </c>
      <c r="J1008">
        <f>IF(Table1_1[[#This Row],[Type]]="Income", Table1_1[[#This Row],[Amount]], -Table1_1[[#This Row],[Amount]])</f>
        <v>-898.79</v>
      </c>
    </row>
    <row r="1009" spans="1:10" x14ac:dyDescent="0.25">
      <c r="A1009" s="1">
        <v>45066</v>
      </c>
      <c r="B1009" t="s">
        <v>1024</v>
      </c>
      <c r="C1009" t="s">
        <v>22</v>
      </c>
      <c r="D1009" s="2">
        <v>1389.42</v>
      </c>
      <c r="E1009" t="s">
        <v>7</v>
      </c>
      <c r="F1009" t="s">
        <v>1559</v>
      </c>
      <c r="G1009">
        <v>2023</v>
      </c>
      <c r="H1009">
        <f>IF(Table1_1[[#This Row],[Type]]="Expense", _xlfn.XLOOKUP(Table1_1[[#This Row],[Category]], Budget_Ref[Category], Budget_Ref[Monthly Budget], 0), 0)</f>
        <v>200</v>
      </c>
      <c r="I1009" t="str">
        <f>IF(Table1_1[[#This Row],[Type]]="Expense", IF(Table1_1[[#This Row],[Amount]]&gt;Table1_1[[#This Row],[Monthly Budget]], "Over Budget", "OK"), "-")</f>
        <v>Over Budget</v>
      </c>
      <c r="J1009">
        <f>IF(Table1_1[[#This Row],[Type]]="Income", Table1_1[[#This Row],[Amount]], -Table1_1[[#This Row],[Amount]])</f>
        <v>-1389.42</v>
      </c>
    </row>
    <row r="1010" spans="1:10" x14ac:dyDescent="0.25">
      <c r="A1010" s="1">
        <v>45068</v>
      </c>
      <c r="B1010" t="s">
        <v>1025</v>
      </c>
      <c r="C1010" t="s">
        <v>11</v>
      </c>
      <c r="D1010" s="2">
        <v>1443.62</v>
      </c>
      <c r="E1010" t="s">
        <v>7</v>
      </c>
      <c r="F1010" t="s">
        <v>1559</v>
      </c>
      <c r="G1010">
        <v>2023</v>
      </c>
      <c r="H1010">
        <f>IF(Table1_1[[#This Row],[Type]]="Expense", _xlfn.XLOOKUP(Table1_1[[#This Row],[Category]], Budget_Ref[Category], Budget_Ref[Monthly Budget], 0), 0)</f>
        <v>1500</v>
      </c>
      <c r="I1010" t="str">
        <f>IF(Table1_1[[#This Row],[Type]]="Expense", IF(Table1_1[[#This Row],[Amount]]&gt;Table1_1[[#This Row],[Monthly Budget]], "Over Budget", "OK"), "-")</f>
        <v>OK</v>
      </c>
      <c r="J1010">
        <f>IF(Table1_1[[#This Row],[Type]]="Income", Table1_1[[#This Row],[Amount]], -Table1_1[[#This Row],[Amount]])</f>
        <v>-1443.62</v>
      </c>
    </row>
    <row r="1011" spans="1:10" x14ac:dyDescent="0.25">
      <c r="A1011" s="1">
        <v>45068</v>
      </c>
      <c r="B1011" t="s">
        <v>1026</v>
      </c>
      <c r="C1011" t="s">
        <v>20</v>
      </c>
      <c r="D1011" s="2">
        <v>3937</v>
      </c>
      <c r="E1011" t="s">
        <v>14</v>
      </c>
      <c r="F1011" t="s">
        <v>1559</v>
      </c>
      <c r="G1011">
        <v>2023</v>
      </c>
      <c r="H1011">
        <f>IF(Table1_1[[#This Row],[Type]]="Expense", _xlfn.XLOOKUP(Table1_1[[#This Row],[Category]], Budget_Ref[Category], Budget_Ref[Monthly Budget], 0), 0)</f>
        <v>0</v>
      </c>
      <c r="I1011" t="str">
        <f>IF(Table1_1[[#This Row],[Type]]="Expense", IF(Table1_1[[#This Row],[Amount]]&gt;Table1_1[[#This Row],[Monthly Budget]], "Over Budget", "OK"), "-")</f>
        <v>-</v>
      </c>
      <c r="J1011">
        <f>IF(Table1_1[[#This Row],[Type]]="Income", Table1_1[[#This Row],[Amount]], -Table1_1[[#This Row],[Amount]])</f>
        <v>3937</v>
      </c>
    </row>
    <row r="1012" spans="1:10" x14ac:dyDescent="0.25">
      <c r="A1012" s="1">
        <v>45068</v>
      </c>
      <c r="B1012" t="s">
        <v>1027</v>
      </c>
      <c r="C1012" t="s">
        <v>17</v>
      </c>
      <c r="D1012" s="2">
        <v>991.23</v>
      </c>
      <c r="E1012" t="s">
        <v>7</v>
      </c>
      <c r="F1012" t="s">
        <v>1559</v>
      </c>
      <c r="G1012">
        <v>2023</v>
      </c>
      <c r="H1012">
        <f>IF(Table1_1[[#This Row],[Type]]="Expense", _xlfn.XLOOKUP(Table1_1[[#This Row],[Category]], Budget_Ref[Category], Budget_Ref[Monthly Budget], 0), 0)</f>
        <v>300</v>
      </c>
      <c r="I1012" t="str">
        <f>IF(Table1_1[[#This Row],[Type]]="Expense", IF(Table1_1[[#This Row],[Amount]]&gt;Table1_1[[#This Row],[Monthly Budget]], "Over Budget", "OK"), "-")</f>
        <v>Over Budget</v>
      </c>
      <c r="J1012">
        <f>IF(Table1_1[[#This Row],[Type]]="Income", Table1_1[[#This Row],[Amount]], -Table1_1[[#This Row],[Amount]])</f>
        <v>-991.23</v>
      </c>
    </row>
    <row r="1013" spans="1:10" x14ac:dyDescent="0.25">
      <c r="A1013" s="1">
        <v>45071</v>
      </c>
      <c r="B1013" t="s">
        <v>1028</v>
      </c>
      <c r="C1013" t="s">
        <v>17</v>
      </c>
      <c r="D1013" s="2">
        <v>211.84</v>
      </c>
      <c r="E1013" t="s">
        <v>7</v>
      </c>
      <c r="F1013" t="s">
        <v>1559</v>
      </c>
      <c r="G1013">
        <v>2023</v>
      </c>
      <c r="H1013">
        <f>IF(Table1_1[[#This Row],[Type]]="Expense", _xlfn.XLOOKUP(Table1_1[[#This Row],[Category]], Budget_Ref[Category], Budget_Ref[Monthly Budget], 0), 0)</f>
        <v>300</v>
      </c>
      <c r="I1013" t="str">
        <f>IF(Table1_1[[#This Row],[Type]]="Expense", IF(Table1_1[[#This Row],[Amount]]&gt;Table1_1[[#This Row],[Monthly Budget]], "Over Budget", "OK"), "-")</f>
        <v>OK</v>
      </c>
      <c r="J1013">
        <f>IF(Table1_1[[#This Row],[Type]]="Income", Table1_1[[#This Row],[Amount]], -Table1_1[[#This Row],[Amount]])</f>
        <v>-211.84</v>
      </c>
    </row>
    <row r="1014" spans="1:10" x14ac:dyDescent="0.25">
      <c r="A1014" s="1">
        <v>45074</v>
      </c>
      <c r="B1014" t="s">
        <v>1029</v>
      </c>
      <c r="C1014" t="s">
        <v>22</v>
      </c>
      <c r="D1014" s="2">
        <v>333.69</v>
      </c>
      <c r="E1014" t="s">
        <v>7</v>
      </c>
      <c r="F1014" t="s">
        <v>1559</v>
      </c>
      <c r="G1014">
        <v>2023</v>
      </c>
      <c r="H1014">
        <f>IF(Table1_1[[#This Row],[Type]]="Expense", _xlfn.XLOOKUP(Table1_1[[#This Row],[Category]], Budget_Ref[Category], Budget_Ref[Monthly Budget], 0), 0)</f>
        <v>200</v>
      </c>
      <c r="I1014" t="str">
        <f>IF(Table1_1[[#This Row],[Type]]="Expense", IF(Table1_1[[#This Row],[Amount]]&gt;Table1_1[[#This Row],[Monthly Budget]], "Over Budget", "OK"), "-")</f>
        <v>Over Budget</v>
      </c>
      <c r="J1014">
        <f>IF(Table1_1[[#This Row],[Type]]="Income", Table1_1[[#This Row],[Amount]], -Table1_1[[#This Row],[Amount]])</f>
        <v>-333.69</v>
      </c>
    </row>
    <row r="1015" spans="1:10" x14ac:dyDescent="0.25">
      <c r="A1015" s="1">
        <v>45075</v>
      </c>
      <c r="B1015" t="s">
        <v>1030</v>
      </c>
      <c r="C1015" t="s">
        <v>13</v>
      </c>
      <c r="D1015" s="2">
        <v>2915</v>
      </c>
      <c r="E1015" t="s">
        <v>14</v>
      </c>
      <c r="F1015" t="s">
        <v>1559</v>
      </c>
      <c r="G1015">
        <v>2023</v>
      </c>
      <c r="H1015">
        <f>IF(Table1_1[[#This Row],[Type]]="Expense", _xlfn.XLOOKUP(Table1_1[[#This Row],[Category]], Budget_Ref[Category], Budget_Ref[Monthly Budget], 0), 0)</f>
        <v>0</v>
      </c>
      <c r="I1015" t="str">
        <f>IF(Table1_1[[#This Row],[Type]]="Expense", IF(Table1_1[[#This Row],[Amount]]&gt;Table1_1[[#This Row],[Monthly Budget]], "Over Budget", "OK"), "-")</f>
        <v>-</v>
      </c>
      <c r="J1015">
        <f>IF(Table1_1[[#This Row],[Type]]="Income", Table1_1[[#This Row],[Amount]], -Table1_1[[#This Row],[Amount]])</f>
        <v>2915</v>
      </c>
    </row>
    <row r="1016" spans="1:10" x14ac:dyDescent="0.25">
      <c r="A1016" s="1">
        <v>45075</v>
      </c>
      <c r="B1016" t="s">
        <v>1031</v>
      </c>
      <c r="C1016" t="s">
        <v>20</v>
      </c>
      <c r="D1016" s="2">
        <v>1357</v>
      </c>
      <c r="E1016" t="s">
        <v>14</v>
      </c>
      <c r="F1016" t="s">
        <v>1559</v>
      </c>
      <c r="G1016">
        <v>2023</v>
      </c>
      <c r="H1016">
        <f>IF(Table1_1[[#This Row],[Type]]="Expense", _xlfn.XLOOKUP(Table1_1[[#This Row],[Category]], Budget_Ref[Category], Budget_Ref[Monthly Budget], 0), 0)</f>
        <v>0</v>
      </c>
      <c r="I1016" t="str">
        <f>IF(Table1_1[[#This Row],[Type]]="Expense", IF(Table1_1[[#This Row],[Amount]]&gt;Table1_1[[#This Row],[Monthly Budget]], "Over Budget", "OK"), "-")</f>
        <v>-</v>
      </c>
      <c r="J1016">
        <f>IF(Table1_1[[#This Row],[Type]]="Income", Table1_1[[#This Row],[Amount]], -Table1_1[[#This Row],[Amount]])</f>
        <v>1357</v>
      </c>
    </row>
    <row r="1017" spans="1:10" x14ac:dyDescent="0.25">
      <c r="A1017" s="1">
        <v>45076</v>
      </c>
      <c r="B1017" t="s">
        <v>1032</v>
      </c>
      <c r="C1017" t="s">
        <v>13</v>
      </c>
      <c r="D1017" s="2">
        <v>3575</v>
      </c>
      <c r="E1017" t="s">
        <v>14</v>
      </c>
      <c r="F1017" t="s">
        <v>1559</v>
      </c>
      <c r="G1017">
        <v>2023</v>
      </c>
      <c r="H1017">
        <f>IF(Table1_1[[#This Row],[Type]]="Expense", _xlfn.XLOOKUP(Table1_1[[#This Row],[Category]], Budget_Ref[Category], Budget_Ref[Monthly Budget], 0), 0)</f>
        <v>0</v>
      </c>
      <c r="I1017" t="str">
        <f>IF(Table1_1[[#This Row],[Type]]="Expense", IF(Table1_1[[#This Row],[Amount]]&gt;Table1_1[[#This Row],[Monthly Budget]], "Over Budget", "OK"), "-")</f>
        <v>-</v>
      </c>
      <c r="J1017">
        <f>IF(Table1_1[[#This Row],[Type]]="Income", Table1_1[[#This Row],[Amount]], -Table1_1[[#This Row],[Amount]])</f>
        <v>3575</v>
      </c>
    </row>
    <row r="1018" spans="1:10" x14ac:dyDescent="0.25">
      <c r="A1018" s="1">
        <v>45079</v>
      </c>
      <c r="B1018" t="s">
        <v>1033</v>
      </c>
      <c r="C1018" t="s">
        <v>13</v>
      </c>
      <c r="D1018" s="2">
        <v>4981</v>
      </c>
      <c r="E1018" t="s">
        <v>14</v>
      </c>
      <c r="F1018" t="s">
        <v>1560</v>
      </c>
      <c r="G1018">
        <v>2023</v>
      </c>
      <c r="H1018">
        <f>IF(Table1_1[[#This Row],[Type]]="Expense", _xlfn.XLOOKUP(Table1_1[[#This Row],[Category]], Budget_Ref[Category], Budget_Ref[Monthly Budget], 0), 0)</f>
        <v>0</v>
      </c>
      <c r="I1018" t="str">
        <f>IF(Table1_1[[#This Row],[Type]]="Expense", IF(Table1_1[[#This Row],[Amount]]&gt;Table1_1[[#This Row],[Monthly Budget]], "Over Budget", "OK"), "-")</f>
        <v>-</v>
      </c>
      <c r="J1018">
        <f>IF(Table1_1[[#This Row],[Type]]="Income", Table1_1[[#This Row],[Amount]], -Table1_1[[#This Row],[Amount]])</f>
        <v>4981</v>
      </c>
    </row>
    <row r="1019" spans="1:10" x14ac:dyDescent="0.25">
      <c r="A1019" s="1">
        <v>45080</v>
      </c>
      <c r="B1019" t="s">
        <v>1034</v>
      </c>
      <c r="C1019" t="s">
        <v>11</v>
      </c>
      <c r="D1019" s="2">
        <v>682.52</v>
      </c>
      <c r="E1019" t="s">
        <v>7</v>
      </c>
      <c r="F1019" t="s">
        <v>1560</v>
      </c>
      <c r="G1019">
        <v>2023</v>
      </c>
      <c r="H1019">
        <f>IF(Table1_1[[#This Row],[Type]]="Expense", _xlfn.XLOOKUP(Table1_1[[#This Row],[Category]], Budget_Ref[Category], Budget_Ref[Monthly Budget], 0), 0)</f>
        <v>1500</v>
      </c>
      <c r="I1019" t="str">
        <f>IF(Table1_1[[#This Row],[Type]]="Expense", IF(Table1_1[[#This Row],[Amount]]&gt;Table1_1[[#This Row],[Monthly Budget]], "Over Budget", "OK"), "-")</f>
        <v>OK</v>
      </c>
      <c r="J1019">
        <f>IF(Table1_1[[#This Row],[Type]]="Income", Table1_1[[#This Row],[Amount]], -Table1_1[[#This Row],[Amount]])</f>
        <v>-682.52</v>
      </c>
    </row>
    <row r="1020" spans="1:10" x14ac:dyDescent="0.25">
      <c r="A1020" s="1">
        <v>45081</v>
      </c>
      <c r="B1020" t="s">
        <v>1035</v>
      </c>
      <c r="C1020" t="s">
        <v>27</v>
      </c>
      <c r="D1020" s="2">
        <v>1411.96</v>
      </c>
      <c r="E1020" t="s">
        <v>14</v>
      </c>
      <c r="F1020" t="s">
        <v>1560</v>
      </c>
      <c r="G1020">
        <v>2023</v>
      </c>
      <c r="H1020">
        <f>IF(Table1_1[[#This Row],[Type]]="Expense", _xlfn.XLOOKUP(Table1_1[[#This Row],[Category]], Budget_Ref[Category], Budget_Ref[Monthly Budget], 0), 0)</f>
        <v>0</v>
      </c>
      <c r="I1020" t="str">
        <f>IF(Table1_1[[#This Row],[Type]]="Expense", IF(Table1_1[[#This Row],[Amount]]&gt;Table1_1[[#This Row],[Monthly Budget]], "Over Budget", "OK"), "-")</f>
        <v>-</v>
      </c>
      <c r="J1020">
        <f>IF(Table1_1[[#This Row],[Type]]="Income", Table1_1[[#This Row],[Amount]], -Table1_1[[#This Row],[Amount]])</f>
        <v>1411.96</v>
      </c>
    </row>
    <row r="1021" spans="1:10" x14ac:dyDescent="0.25">
      <c r="A1021" s="1">
        <v>45082</v>
      </c>
      <c r="B1021" t="s">
        <v>1036</v>
      </c>
      <c r="C1021" t="s">
        <v>9</v>
      </c>
      <c r="D1021" s="2">
        <v>1218.56</v>
      </c>
      <c r="E1021" t="s">
        <v>7</v>
      </c>
      <c r="F1021" t="s">
        <v>1560</v>
      </c>
      <c r="G1021">
        <v>2023</v>
      </c>
      <c r="H1021">
        <f>IF(Table1_1[[#This Row],[Type]]="Expense", _xlfn.XLOOKUP(Table1_1[[#This Row],[Category]], Budget_Ref[Category], Budget_Ref[Monthly Budget], 0), 0)</f>
        <v>150</v>
      </c>
      <c r="I1021" t="str">
        <f>IF(Table1_1[[#This Row],[Type]]="Expense", IF(Table1_1[[#This Row],[Amount]]&gt;Table1_1[[#This Row],[Monthly Budget]], "Over Budget", "OK"), "-")</f>
        <v>Over Budget</v>
      </c>
      <c r="J1021">
        <f>IF(Table1_1[[#This Row],[Type]]="Income", Table1_1[[#This Row],[Amount]], -Table1_1[[#This Row],[Amount]])</f>
        <v>-1218.56</v>
      </c>
    </row>
    <row r="1022" spans="1:10" x14ac:dyDescent="0.25">
      <c r="A1022" s="1">
        <v>45085</v>
      </c>
      <c r="B1022" t="s">
        <v>1037</v>
      </c>
      <c r="C1022" t="s">
        <v>6</v>
      </c>
      <c r="D1022" s="2">
        <v>211.5</v>
      </c>
      <c r="E1022" t="s">
        <v>7</v>
      </c>
      <c r="F1022" t="s">
        <v>1560</v>
      </c>
      <c r="G1022">
        <v>2023</v>
      </c>
      <c r="H1022">
        <f>IF(Table1_1[[#This Row],[Type]]="Expense", _xlfn.XLOOKUP(Table1_1[[#This Row],[Category]], Budget_Ref[Category], Budget_Ref[Monthly Budget], 0), 0)</f>
        <v>500</v>
      </c>
      <c r="I1022" t="str">
        <f>IF(Table1_1[[#This Row],[Type]]="Expense", IF(Table1_1[[#This Row],[Amount]]&gt;Table1_1[[#This Row],[Monthly Budget]], "Over Budget", "OK"), "-")</f>
        <v>OK</v>
      </c>
      <c r="J1022">
        <f>IF(Table1_1[[#This Row],[Type]]="Income", Table1_1[[#This Row],[Amount]], -Table1_1[[#This Row],[Amount]])</f>
        <v>-211.5</v>
      </c>
    </row>
    <row r="1023" spans="1:10" x14ac:dyDescent="0.25">
      <c r="A1023" s="1">
        <v>45085</v>
      </c>
      <c r="B1023" t="s">
        <v>1038</v>
      </c>
      <c r="C1023" t="s">
        <v>22</v>
      </c>
      <c r="D1023" s="2">
        <v>824.47</v>
      </c>
      <c r="E1023" t="s">
        <v>7</v>
      </c>
      <c r="F1023" t="s">
        <v>1560</v>
      </c>
      <c r="G1023">
        <v>2023</v>
      </c>
      <c r="H1023">
        <f>IF(Table1_1[[#This Row],[Type]]="Expense", _xlfn.XLOOKUP(Table1_1[[#This Row],[Category]], Budget_Ref[Category], Budget_Ref[Monthly Budget], 0), 0)</f>
        <v>200</v>
      </c>
      <c r="I1023" t="str">
        <f>IF(Table1_1[[#This Row],[Type]]="Expense", IF(Table1_1[[#This Row],[Amount]]&gt;Table1_1[[#This Row],[Monthly Budget]], "Over Budget", "OK"), "-")</f>
        <v>Over Budget</v>
      </c>
      <c r="J1023">
        <f>IF(Table1_1[[#This Row],[Type]]="Income", Table1_1[[#This Row],[Amount]], -Table1_1[[#This Row],[Amount]])</f>
        <v>-824.47</v>
      </c>
    </row>
    <row r="1024" spans="1:10" x14ac:dyDescent="0.25">
      <c r="A1024" s="1">
        <v>45086</v>
      </c>
      <c r="B1024" t="s">
        <v>1039</v>
      </c>
      <c r="C1024" t="s">
        <v>35</v>
      </c>
      <c r="D1024" s="2">
        <v>1324.59</v>
      </c>
      <c r="E1024" t="s">
        <v>7</v>
      </c>
      <c r="F1024" t="s">
        <v>1560</v>
      </c>
      <c r="G1024">
        <v>2023</v>
      </c>
      <c r="H1024">
        <f>IF(Table1_1[[#This Row],[Type]]="Expense", _xlfn.XLOOKUP(Table1_1[[#This Row],[Category]], Budget_Ref[Category], Budget_Ref[Monthly Budget], 0), 0)</f>
        <v>200</v>
      </c>
      <c r="I1024" t="str">
        <f>IF(Table1_1[[#This Row],[Type]]="Expense", IF(Table1_1[[#This Row],[Amount]]&gt;Table1_1[[#This Row],[Monthly Budget]], "Over Budget", "OK"), "-")</f>
        <v>Over Budget</v>
      </c>
      <c r="J1024">
        <f>IF(Table1_1[[#This Row],[Type]]="Income", Table1_1[[#This Row],[Amount]], -Table1_1[[#This Row],[Amount]])</f>
        <v>-1324.59</v>
      </c>
    </row>
    <row r="1025" spans="1:10" x14ac:dyDescent="0.25">
      <c r="A1025" s="1">
        <v>45086</v>
      </c>
      <c r="B1025" t="s">
        <v>1040</v>
      </c>
      <c r="C1025" t="s">
        <v>11</v>
      </c>
      <c r="D1025" s="2">
        <v>108.77</v>
      </c>
      <c r="E1025" t="s">
        <v>7</v>
      </c>
      <c r="F1025" t="s">
        <v>1560</v>
      </c>
      <c r="G1025">
        <v>2023</v>
      </c>
      <c r="H1025">
        <f>IF(Table1_1[[#This Row],[Type]]="Expense", _xlfn.XLOOKUP(Table1_1[[#This Row],[Category]], Budget_Ref[Category], Budget_Ref[Monthly Budget], 0), 0)</f>
        <v>1500</v>
      </c>
      <c r="I1025" t="str">
        <f>IF(Table1_1[[#This Row],[Type]]="Expense", IF(Table1_1[[#This Row],[Amount]]&gt;Table1_1[[#This Row],[Monthly Budget]], "Over Budget", "OK"), "-")</f>
        <v>OK</v>
      </c>
      <c r="J1025">
        <f>IF(Table1_1[[#This Row],[Type]]="Income", Table1_1[[#This Row],[Amount]], -Table1_1[[#This Row],[Amount]])</f>
        <v>-108.77</v>
      </c>
    </row>
    <row r="1026" spans="1:10" x14ac:dyDescent="0.25">
      <c r="A1026" s="1">
        <v>45087</v>
      </c>
      <c r="B1026" t="s">
        <v>1041</v>
      </c>
      <c r="C1026" t="s">
        <v>27</v>
      </c>
      <c r="D1026" s="2">
        <v>315.64</v>
      </c>
      <c r="E1026" t="s">
        <v>14</v>
      </c>
      <c r="F1026" t="s">
        <v>1560</v>
      </c>
      <c r="G1026">
        <v>2023</v>
      </c>
      <c r="H1026">
        <f>IF(Table1_1[[#This Row],[Type]]="Expense", _xlfn.XLOOKUP(Table1_1[[#This Row],[Category]], Budget_Ref[Category], Budget_Ref[Monthly Budget], 0), 0)</f>
        <v>0</v>
      </c>
      <c r="I1026" t="str">
        <f>IF(Table1_1[[#This Row],[Type]]="Expense", IF(Table1_1[[#This Row],[Amount]]&gt;Table1_1[[#This Row],[Monthly Budget]], "Over Budget", "OK"), "-")</f>
        <v>-</v>
      </c>
      <c r="J1026">
        <f>IF(Table1_1[[#This Row],[Type]]="Income", Table1_1[[#This Row],[Amount]], -Table1_1[[#This Row],[Amount]])</f>
        <v>315.64</v>
      </c>
    </row>
    <row r="1027" spans="1:10" x14ac:dyDescent="0.25">
      <c r="A1027" s="1">
        <v>45087</v>
      </c>
      <c r="B1027" t="s">
        <v>1042</v>
      </c>
      <c r="C1027" t="s">
        <v>17</v>
      </c>
      <c r="D1027" s="2">
        <v>184.38</v>
      </c>
      <c r="E1027" t="s">
        <v>7</v>
      </c>
      <c r="F1027" t="s">
        <v>1560</v>
      </c>
      <c r="G1027">
        <v>2023</v>
      </c>
      <c r="H1027">
        <f>IF(Table1_1[[#This Row],[Type]]="Expense", _xlfn.XLOOKUP(Table1_1[[#This Row],[Category]], Budget_Ref[Category], Budget_Ref[Monthly Budget], 0), 0)</f>
        <v>300</v>
      </c>
      <c r="I1027" t="str">
        <f>IF(Table1_1[[#This Row],[Type]]="Expense", IF(Table1_1[[#This Row],[Amount]]&gt;Table1_1[[#This Row],[Monthly Budget]], "Over Budget", "OK"), "-")</f>
        <v>OK</v>
      </c>
      <c r="J1027">
        <f>IF(Table1_1[[#This Row],[Type]]="Income", Table1_1[[#This Row],[Amount]], -Table1_1[[#This Row],[Amount]])</f>
        <v>-184.38</v>
      </c>
    </row>
    <row r="1028" spans="1:10" x14ac:dyDescent="0.25">
      <c r="A1028" s="1">
        <v>45090</v>
      </c>
      <c r="B1028" t="s">
        <v>1043</v>
      </c>
      <c r="C1028" t="s">
        <v>27</v>
      </c>
      <c r="D1028" s="2">
        <v>407.35</v>
      </c>
      <c r="E1028" t="s">
        <v>14</v>
      </c>
      <c r="F1028" t="s">
        <v>1560</v>
      </c>
      <c r="G1028">
        <v>2023</v>
      </c>
      <c r="H1028">
        <f>IF(Table1_1[[#This Row],[Type]]="Expense", _xlfn.XLOOKUP(Table1_1[[#This Row],[Category]], Budget_Ref[Category], Budget_Ref[Monthly Budget], 0), 0)</f>
        <v>0</v>
      </c>
      <c r="I1028" t="str">
        <f>IF(Table1_1[[#This Row],[Type]]="Expense", IF(Table1_1[[#This Row],[Amount]]&gt;Table1_1[[#This Row],[Monthly Budget]], "Over Budget", "OK"), "-")</f>
        <v>-</v>
      </c>
      <c r="J1028">
        <f>IF(Table1_1[[#This Row],[Type]]="Income", Table1_1[[#This Row],[Amount]], -Table1_1[[#This Row],[Amount]])</f>
        <v>407.35</v>
      </c>
    </row>
    <row r="1029" spans="1:10" x14ac:dyDescent="0.25">
      <c r="A1029" s="1">
        <v>45092</v>
      </c>
      <c r="B1029" t="s">
        <v>1044</v>
      </c>
      <c r="C1029" t="s">
        <v>13</v>
      </c>
      <c r="D1029" s="2">
        <v>2890</v>
      </c>
      <c r="E1029" t="s">
        <v>14</v>
      </c>
      <c r="F1029" t="s">
        <v>1560</v>
      </c>
      <c r="G1029">
        <v>2023</v>
      </c>
      <c r="H1029">
        <f>IF(Table1_1[[#This Row],[Type]]="Expense", _xlfn.XLOOKUP(Table1_1[[#This Row],[Category]], Budget_Ref[Category], Budget_Ref[Monthly Budget], 0), 0)</f>
        <v>0</v>
      </c>
      <c r="I1029" t="str">
        <f>IF(Table1_1[[#This Row],[Type]]="Expense", IF(Table1_1[[#This Row],[Amount]]&gt;Table1_1[[#This Row],[Monthly Budget]], "Over Budget", "OK"), "-")</f>
        <v>-</v>
      </c>
      <c r="J1029">
        <f>IF(Table1_1[[#This Row],[Type]]="Income", Table1_1[[#This Row],[Amount]], -Table1_1[[#This Row],[Amount]])</f>
        <v>2890</v>
      </c>
    </row>
    <row r="1030" spans="1:10" x14ac:dyDescent="0.25">
      <c r="A1030" s="1">
        <v>45093</v>
      </c>
      <c r="B1030" t="s">
        <v>1045</v>
      </c>
      <c r="C1030" t="s">
        <v>27</v>
      </c>
      <c r="D1030" s="2">
        <v>1689.1</v>
      </c>
      <c r="E1030" t="s">
        <v>14</v>
      </c>
      <c r="F1030" t="s">
        <v>1560</v>
      </c>
      <c r="G1030">
        <v>2023</v>
      </c>
      <c r="H1030">
        <f>IF(Table1_1[[#This Row],[Type]]="Expense", _xlfn.XLOOKUP(Table1_1[[#This Row],[Category]], Budget_Ref[Category], Budget_Ref[Monthly Budget], 0), 0)</f>
        <v>0</v>
      </c>
      <c r="I1030" t="str">
        <f>IF(Table1_1[[#This Row],[Type]]="Expense", IF(Table1_1[[#This Row],[Amount]]&gt;Table1_1[[#This Row],[Monthly Budget]], "Over Budget", "OK"), "-")</f>
        <v>-</v>
      </c>
      <c r="J1030">
        <f>IF(Table1_1[[#This Row],[Type]]="Income", Table1_1[[#This Row],[Amount]], -Table1_1[[#This Row],[Amount]])</f>
        <v>1689.1</v>
      </c>
    </row>
    <row r="1031" spans="1:10" x14ac:dyDescent="0.25">
      <c r="A1031" s="1">
        <v>45093</v>
      </c>
      <c r="B1031" t="s">
        <v>1046</v>
      </c>
      <c r="C1031" t="s">
        <v>17</v>
      </c>
      <c r="D1031" s="2">
        <v>947.18</v>
      </c>
      <c r="E1031" t="s">
        <v>7</v>
      </c>
      <c r="F1031" t="s">
        <v>1560</v>
      </c>
      <c r="G1031">
        <v>2023</v>
      </c>
      <c r="H1031">
        <f>IF(Table1_1[[#This Row],[Type]]="Expense", _xlfn.XLOOKUP(Table1_1[[#This Row],[Category]], Budget_Ref[Category], Budget_Ref[Monthly Budget], 0), 0)</f>
        <v>300</v>
      </c>
      <c r="I1031" t="str">
        <f>IF(Table1_1[[#This Row],[Type]]="Expense", IF(Table1_1[[#This Row],[Amount]]&gt;Table1_1[[#This Row],[Monthly Budget]], "Over Budget", "OK"), "-")</f>
        <v>Over Budget</v>
      </c>
      <c r="J1031">
        <f>IF(Table1_1[[#This Row],[Type]]="Income", Table1_1[[#This Row],[Amount]], -Table1_1[[#This Row],[Amount]])</f>
        <v>-947.18</v>
      </c>
    </row>
    <row r="1032" spans="1:10" x14ac:dyDescent="0.25">
      <c r="A1032" s="1">
        <v>45094</v>
      </c>
      <c r="B1032" t="s">
        <v>1047</v>
      </c>
      <c r="C1032" t="s">
        <v>35</v>
      </c>
      <c r="D1032" s="2">
        <v>191.36</v>
      </c>
      <c r="E1032" t="s">
        <v>7</v>
      </c>
      <c r="F1032" t="s">
        <v>1560</v>
      </c>
      <c r="G1032">
        <v>2023</v>
      </c>
      <c r="H1032">
        <f>IF(Table1_1[[#This Row],[Type]]="Expense", _xlfn.XLOOKUP(Table1_1[[#This Row],[Category]], Budget_Ref[Category], Budget_Ref[Monthly Budget], 0), 0)</f>
        <v>200</v>
      </c>
      <c r="I1032" t="str">
        <f>IF(Table1_1[[#This Row],[Type]]="Expense", IF(Table1_1[[#This Row],[Amount]]&gt;Table1_1[[#This Row],[Monthly Budget]], "Over Budget", "OK"), "-")</f>
        <v>OK</v>
      </c>
      <c r="J1032">
        <f>IF(Table1_1[[#This Row],[Type]]="Income", Table1_1[[#This Row],[Amount]], -Table1_1[[#This Row],[Amount]])</f>
        <v>-191.36</v>
      </c>
    </row>
    <row r="1033" spans="1:10" x14ac:dyDescent="0.25">
      <c r="A1033" s="1">
        <v>45094</v>
      </c>
      <c r="B1033" t="s">
        <v>1048</v>
      </c>
      <c r="C1033" t="s">
        <v>9</v>
      </c>
      <c r="D1033" s="2">
        <v>748.33</v>
      </c>
      <c r="E1033" t="s">
        <v>7</v>
      </c>
      <c r="F1033" t="s">
        <v>1560</v>
      </c>
      <c r="G1033">
        <v>2023</v>
      </c>
      <c r="H1033">
        <f>IF(Table1_1[[#This Row],[Type]]="Expense", _xlfn.XLOOKUP(Table1_1[[#This Row],[Category]], Budget_Ref[Category], Budget_Ref[Monthly Budget], 0), 0)</f>
        <v>150</v>
      </c>
      <c r="I1033" t="str">
        <f>IF(Table1_1[[#This Row],[Type]]="Expense", IF(Table1_1[[#This Row],[Amount]]&gt;Table1_1[[#This Row],[Monthly Budget]], "Over Budget", "OK"), "-")</f>
        <v>Over Budget</v>
      </c>
      <c r="J1033">
        <f>IF(Table1_1[[#This Row],[Type]]="Income", Table1_1[[#This Row],[Amount]], -Table1_1[[#This Row],[Amount]])</f>
        <v>-748.33</v>
      </c>
    </row>
    <row r="1034" spans="1:10" x14ac:dyDescent="0.25">
      <c r="A1034" s="1">
        <v>45096</v>
      </c>
      <c r="B1034" t="s">
        <v>1049</v>
      </c>
      <c r="C1034" t="s">
        <v>9</v>
      </c>
      <c r="D1034" s="2">
        <v>897.09</v>
      </c>
      <c r="E1034" t="s">
        <v>7</v>
      </c>
      <c r="F1034" t="s">
        <v>1560</v>
      </c>
      <c r="G1034">
        <v>2023</v>
      </c>
      <c r="H1034">
        <f>IF(Table1_1[[#This Row],[Type]]="Expense", _xlfn.XLOOKUP(Table1_1[[#This Row],[Category]], Budget_Ref[Category], Budget_Ref[Monthly Budget], 0), 0)</f>
        <v>150</v>
      </c>
      <c r="I1034" t="str">
        <f>IF(Table1_1[[#This Row],[Type]]="Expense", IF(Table1_1[[#This Row],[Amount]]&gt;Table1_1[[#This Row],[Monthly Budget]], "Over Budget", "OK"), "-")</f>
        <v>Over Budget</v>
      </c>
      <c r="J1034">
        <f>IF(Table1_1[[#This Row],[Type]]="Income", Table1_1[[#This Row],[Amount]], -Table1_1[[#This Row],[Amount]])</f>
        <v>-897.09</v>
      </c>
    </row>
    <row r="1035" spans="1:10" x14ac:dyDescent="0.25">
      <c r="A1035" s="1">
        <v>45098</v>
      </c>
      <c r="B1035" t="s">
        <v>1050</v>
      </c>
      <c r="C1035" t="s">
        <v>27</v>
      </c>
      <c r="D1035" s="2">
        <v>534.16999999999996</v>
      </c>
      <c r="E1035" t="s">
        <v>14</v>
      </c>
      <c r="F1035" t="s">
        <v>1560</v>
      </c>
      <c r="G1035">
        <v>2023</v>
      </c>
      <c r="H1035">
        <f>IF(Table1_1[[#This Row],[Type]]="Expense", _xlfn.XLOOKUP(Table1_1[[#This Row],[Category]], Budget_Ref[Category], Budget_Ref[Monthly Budget], 0), 0)</f>
        <v>0</v>
      </c>
      <c r="I1035" t="str">
        <f>IF(Table1_1[[#This Row],[Type]]="Expense", IF(Table1_1[[#This Row],[Amount]]&gt;Table1_1[[#This Row],[Monthly Budget]], "Over Budget", "OK"), "-")</f>
        <v>-</v>
      </c>
      <c r="J1035">
        <f>IF(Table1_1[[#This Row],[Type]]="Income", Table1_1[[#This Row],[Amount]], -Table1_1[[#This Row],[Amount]])</f>
        <v>534.16999999999996</v>
      </c>
    </row>
    <row r="1036" spans="1:10" x14ac:dyDescent="0.25">
      <c r="A1036" s="1">
        <v>45099</v>
      </c>
      <c r="B1036" t="s">
        <v>1051</v>
      </c>
      <c r="C1036" t="s">
        <v>6</v>
      </c>
      <c r="D1036" s="2">
        <v>310.75</v>
      </c>
      <c r="E1036" t="s">
        <v>7</v>
      </c>
      <c r="F1036" t="s">
        <v>1560</v>
      </c>
      <c r="G1036">
        <v>2023</v>
      </c>
      <c r="H1036">
        <f>IF(Table1_1[[#This Row],[Type]]="Expense", _xlfn.XLOOKUP(Table1_1[[#This Row],[Category]], Budget_Ref[Category], Budget_Ref[Monthly Budget], 0), 0)</f>
        <v>500</v>
      </c>
      <c r="I1036" t="str">
        <f>IF(Table1_1[[#This Row],[Type]]="Expense", IF(Table1_1[[#This Row],[Amount]]&gt;Table1_1[[#This Row],[Monthly Budget]], "Over Budget", "OK"), "-")</f>
        <v>OK</v>
      </c>
      <c r="J1036">
        <f>IF(Table1_1[[#This Row],[Type]]="Income", Table1_1[[#This Row],[Amount]], -Table1_1[[#This Row],[Amount]])</f>
        <v>-310.75</v>
      </c>
    </row>
    <row r="1037" spans="1:10" x14ac:dyDescent="0.25">
      <c r="A1037" s="1">
        <v>45099</v>
      </c>
      <c r="B1037" t="s">
        <v>1052</v>
      </c>
      <c r="C1037" t="s">
        <v>11</v>
      </c>
      <c r="D1037" s="2">
        <v>180.56</v>
      </c>
      <c r="E1037" t="s">
        <v>7</v>
      </c>
      <c r="F1037" t="s">
        <v>1560</v>
      </c>
      <c r="G1037">
        <v>2023</v>
      </c>
      <c r="H1037">
        <f>IF(Table1_1[[#This Row],[Type]]="Expense", _xlfn.XLOOKUP(Table1_1[[#This Row],[Category]], Budget_Ref[Category], Budget_Ref[Monthly Budget], 0), 0)</f>
        <v>1500</v>
      </c>
      <c r="I1037" t="str">
        <f>IF(Table1_1[[#This Row],[Type]]="Expense", IF(Table1_1[[#This Row],[Amount]]&gt;Table1_1[[#This Row],[Monthly Budget]], "Over Budget", "OK"), "-")</f>
        <v>OK</v>
      </c>
      <c r="J1037">
        <f>IF(Table1_1[[#This Row],[Type]]="Income", Table1_1[[#This Row],[Amount]], -Table1_1[[#This Row],[Amount]])</f>
        <v>-180.56</v>
      </c>
    </row>
    <row r="1038" spans="1:10" x14ac:dyDescent="0.25">
      <c r="A1038" s="1">
        <v>45100</v>
      </c>
      <c r="B1038" t="s">
        <v>1053</v>
      </c>
      <c r="C1038" t="s">
        <v>17</v>
      </c>
      <c r="D1038" s="2">
        <v>1941.7</v>
      </c>
      <c r="E1038" t="s">
        <v>7</v>
      </c>
      <c r="F1038" t="s">
        <v>1560</v>
      </c>
      <c r="G1038">
        <v>2023</v>
      </c>
      <c r="H1038">
        <f>IF(Table1_1[[#This Row],[Type]]="Expense", _xlfn.XLOOKUP(Table1_1[[#This Row],[Category]], Budget_Ref[Category], Budget_Ref[Monthly Budget], 0), 0)</f>
        <v>300</v>
      </c>
      <c r="I1038" t="str">
        <f>IF(Table1_1[[#This Row],[Type]]="Expense", IF(Table1_1[[#This Row],[Amount]]&gt;Table1_1[[#This Row],[Monthly Budget]], "Over Budget", "OK"), "-")</f>
        <v>Over Budget</v>
      </c>
      <c r="J1038">
        <f>IF(Table1_1[[#This Row],[Type]]="Income", Table1_1[[#This Row],[Amount]], -Table1_1[[#This Row],[Amount]])</f>
        <v>-1941.7</v>
      </c>
    </row>
    <row r="1039" spans="1:10" x14ac:dyDescent="0.25">
      <c r="A1039" s="1">
        <v>45102</v>
      </c>
      <c r="B1039" t="s">
        <v>1054</v>
      </c>
      <c r="C1039" t="s">
        <v>6</v>
      </c>
      <c r="D1039" s="2">
        <v>1683.19</v>
      </c>
      <c r="E1039" t="s">
        <v>7</v>
      </c>
      <c r="F1039" t="s">
        <v>1560</v>
      </c>
      <c r="G1039">
        <v>2023</v>
      </c>
      <c r="H1039">
        <f>IF(Table1_1[[#This Row],[Type]]="Expense", _xlfn.XLOOKUP(Table1_1[[#This Row],[Category]], Budget_Ref[Category], Budget_Ref[Monthly Budget], 0), 0)</f>
        <v>500</v>
      </c>
      <c r="I1039" t="str">
        <f>IF(Table1_1[[#This Row],[Type]]="Expense", IF(Table1_1[[#This Row],[Amount]]&gt;Table1_1[[#This Row],[Monthly Budget]], "Over Budget", "OK"), "-")</f>
        <v>Over Budget</v>
      </c>
      <c r="J1039">
        <f>IF(Table1_1[[#This Row],[Type]]="Income", Table1_1[[#This Row],[Amount]], -Table1_1[[#This Row],[Amount]])</f>
        <v>-1683.19</v>
      </c>
    </row>
    <row r="1040" spans="1:10" x14ac:dyDescent="0.25">
      <c r="A1040" s="1">
        <v>45102</v>
      </c>
      <c r="B1040" t="s">
        <v>1055</v>
      </c>
      <c r="C1040" t="s">
        <v>17</v>
      </c>
      <c r="D1040" s="2">
        <v>1931.6</v>
      </c>
      <c r="E1040" t="s">
        <v>7</v>
      </c>
      <c r="F1040" t="s">
        <v>1560</v>
      </c>
      <c r="G1040">
        <v>2023</v>
      </c>
      <c r="H1040">
        <f>IF(Table1_1[[#This Row],[Type]]="Expense", _xlfn.XLOOKUP(Table1_1[[#This Row],[Category]], Budget_Ref[Category], Budget_Ref[Monthly Budget], 0), 0)</f>
        <v>300</v>
      </c>
      <c r="I1040" t="str">
        <f>IF(Table1_1[[#This Row],[Type]]="Expense", IF(Table1_1[[#This Row],[Amount]]&gt;Table1_1[[#This Row],[Monthly Budget]], "Over Budget", "OK"), "-")</f>
        <v>Over Budget</v>
      </c>
      <c r="J1040">
        <f>IF(Table1_1[[#This Row],[Type]]="Income", Table1_1[[#This Row],[Amount]], -Table1_1[[#This Row],[Amount]])</f>
        <v>-1931.6</v>
      </c>
    </row>
    <row r="1041" spans="1:10" x14ac:dyDescent="0.25">
      <c r="A1041" s="1">
        <v>45102</v>
      </c>
      <c r="B1041" t="s">
        <v>1056</v>
      </c>
      <c r="C1041" t="s">
        <v>27</v>
      </c>
      <c r="D1041" s="2">
        <v>1149.7</v>
      </c>
      <c r="E1041" t="s">
        <v>14</v>
      </c>
      <c r="F1041" t="s">
        <v>1560</v>
      </c>
      <c r="G1041">
        <v>2023</v>
      </c>
      <c r="H1041">
        <f>IF(Table1_1[[#This Row],[Type]]="Expense", _xlfn.XLOOKUP(Table1_1[[#This Row],[Category]], Budget_Ref[Category], Budget_Ref[Monthly Budget], 0), 0)</f>
        <v>0</v>
      </c>
      <c r="I1041" t="str">
        <f>IF(Table1_1[[#This Row],[Type]]="Expense", IF(Table1_1[[#This Row],[Amount]]&gt;Table1_1[[#This Row],[Monthly Budget]], "Over Budget", "OK"), "-")</f>
        <v>-</v>
      </c>
      <c r="J1041">
        <f>IF(Table1_1[[#This Row],[Type]]="Income", Table1_1[[#This Row],[Amount]], -Table1_1[[#This Row],[Amount]])</f>
        <v>1149.7</v>
      </c>
    </row>
    <row r="1042" spans="1:10" x14ac:dyDescent="0.25">
      <c r="A1042" s="1">
        <v>45103</v>
      </c>
      <c r="B1042" t="s">
        <v>1057</v>
      </c>
      <c r="C1042" t="s">
        <v>35</v>
      </c>
      <c r="D1042" s="2">
        <v>167.12</v>
      </c>
      <c r="E1042" t="s">
        <v>7</v>
      </c>
      <c r="F1042" t="s">
        <v>1560</v>
      </c>
      <c r="G1042">
        <v>2023</v>
      </c>
      <c r="H1042">
        <f>IF(Table1_1[[#This Row],[Type]]="Expense", _xlfn.XLOOKUP(Table1_1[[#This Row],[Category]], Budget_Ref[Category], Budget_Ref[Monthly Budget], 0), 0)</f>
        <v>200</v>
      </c>
      <c r="I1042" t="str">
        <f>IF(Table1_1[[#This Row],[Type]]="Expense", IF(Table1_1[[#This Row],[Amount]]&gt;Table1_1[[#This Row],[Monthly Budget]], "Over Budget", "OK"), "-")</f>
        <v>OK</v>
      </c>
      <c r="J1042">
        <f>IF(Table1_1[[#This Row],[Type]]="Income", Table1_1[[#This Row],[Amount]], -Table1_1[[#This Row],[Amount]])</f>
        <v>-167.12</v>
      </c>
    </row>
    <row r="1043" spans="1:10" x14ac:dyDescent="0.25">
      <c r="A1043" s="1">
        <v>45107</v>
      </c>
      <c r="B1043" t="s">
        <v>1058</v>
      </c>
      <c r="C1043" t="s">
        <v>6</v>
      </c>
      <c r="D1043" s="2">
        <v>1009.18</v>
      </c>
      <c r="E1043" t="s">
        <v>7</v>
      </c>
      <c r="F1043" t="s">
        <v>1560</v>
      </c>
      <c r="G1043">
        <v>2023</v>
      </c>
      <c r="H1043">
        <f>IF(Table1_1[[#This Row],[Type]]="Expense", _xlfn.XLOOKUP(Table1_1[[#This Row],[Category]], Budget_Ref[Category], Budget_Ref[Monthly Budget], 0), 0)</f>
        <v>500</v>
      </c>
      <c r="I1043" t="str">
        <f>IF(Table1_1[[#This Row],[Type]]="Expense", IF(Table1_1[[#This Row],[Amount]]&gt;Table1_1[[#This Row],[Monthly Budget]], "Over Budget", "OK"), "-")</f>
        <v>Over Budget</v>
      </c>
      <c r="J1043">
        <f>IF(Table1_1[[#This Row],[Type]]="Income", Table1_1[[#This Row],[Amount]], -Table1_1[[#This Row],[Amount]])</f>
        <v>-1009.18</v>
      </c>
    </row>
    <row r="1044" spans="1:10" x14ac:dyDescent="0.25">
      <c r="A1044" s="1">
        <v>45108</v>
      </c>
      <c r="B1044" t="s">
        <v>1059</v>
      </c>
      <c r="C1044" t="s">
        <v>9</v>
      </c>
      <c r="D1044" s="2">
        <v>249.36</v>
      </c>
      <c r="E1044" t="s">
        <v>7</v>
      </c>
      <c r="F1044" t="s">
        <v>1561</v>
      </c>
      <c r="G1044">
        <v>2023</v>
      </c>
      <c r="H1044">
        <f>IF(Table1_1[[#This Row],[Type]]="Expense", _xlfn.XLOOKUP(Table1_1[[#This Row],[Category]], Budget_Ref[Category], Budget_Ref[Monthly Budget], 0), 0)</f>
        <v>150</v>
      </c>
      <c r="I1044" t="str">
        <f>IF(Table1_1[[#This Row],[Type]]="Expense", IF(Table1_1[[#This Row],[Amount]]&gt;Table1_1[[#This Row],[Monthly Budget]], "Over Budget", "OK"), "-")</f>
        <v>Over Budget</v>
      </c>
      <c r="J1044">
        <f>IF(Table1_1[[#This Row],[Type]]="Income", Table1_1[[#This Row],[Amount]], -Table1_1[[#This Row],[Amount]])</f>
        <v>-249.36</v>
      </c>
    </row>
    <row r="1045" spans="1:10" x14ac:dyDescent="0.25">
      <c r="A1045" s="1">
        <v>45109</v>
      </c>
      <c r="B1045" t="s">
        <v>1060</v>
      </c>
      <c r="C1045" t="s">
        <v>9</v>
      </c>
      <c r="D1045" s="2">
        <v>1898.63</v>
      </c>
      <c r="E1045" t="s">
        <v>7</v>
      </c>
      <c r="F1045" t="s">
        <v>1561</v>
      </c>
      <c r="G1045">
        <v>2023</v>
      </c>
      <c r="H1045">
        <f>IF(Table1_1[[#This Row],[Type]]="Expense", _xlfn.XLOOKUP(Table1_1[[#This Row],[Category]], Budget_Ref[Category], Budget_Ref[Monthly Budget], 0), 0)</f>
        <v>150</v>
      </c>
      <c r="I1045" t="str">
        <f>IF(Table1_1[[#This Row],[Type]]="Expense", IF(Table1_1[[#This Row],[Amount]]&gt;Table1_1[[#This Row],[Monthly Budget]], "Over Budget", "OK"), "-")</f>
        <v>Over Budget</v>
      </c>
      <c r="J1045">
        <f>IF(Table1_1[[#This Row],[Type]]="Income", Table1_1[[#This Row],[Amount]], -Table1_1[[#This Row],[Amount]])</f>
        <v>-1898.63</v>
      </c>
    </row>
    <row r="1046" spans="1:10" x14ac:dyDescent="0.25">
      <c r="A1046" s="1">
        <v>45112</v>
      </c>
      <c r="B1046" t="s">
        <v>1061</v>
      </c>
      <c r="C1046" t="s">
        <v>13</v>
      </c>
      <c r="D1046" s="2">
        <v>2078</v>
      </c>
      <c r="E1046" t="s">
        <v>14</v>
      </c>
      <c r="F1046" t="s">
        <v>1561</v>
      </c>
      <c r="G1046">
        <v>2023</v>
      </c>
      <c r="H1046">
        <f>IF(Table1_1[[#This Row],[Type]]="Expense", _xlfn.XLOOKUP(Table1_1[[#This Row],[Category]], Budget_Ref[Category], Budget_Ref[Monthly Budget], 0), 0)</f>
        <v>0</v>
      </c>
      <c r="I1046" t="str">
        <f>IF(Table1_1[[#This Row],[Type]]="Expense", IF(Table1_1[[#This Row],[Amount]]&gt;Table1_1[[#This Row],[Monthly Budget]], "Over Budget", "OK"), "-")</f>
        <v>-</v>
      </c>
      <c r="J1046">
        <f>IF(Table1_1[[#This Row],[Type]]="Income", Table1_1[[#This Row],[Amount]], -Table1_1[[#This Row],[Amount]])</f>
        <v>2078</v>
      </c>
    </row>
    <row r="1047" spans="1:10" x14ac:dyDescent="0.25">
      <c r="A1047" s="1">
        <v>45112</v>
      </c>
      <c r="B1047" t="s">
        <v>1062</v>
      </c>
      <c r="C1047" t="s">
        <v>20</v>
      </c>
      <c r="D1047" s="2">
        <v>1141</v>
      </c>
      <c r="E1047" t="s">
        <v>14</v>
      </c>
      <c r="F1047" t="s">
        <v>1561</v>
      </c>
      <c r="G1047">
        <v>2023</v>
      </c>
      <c r="H1047">
        <f>IF(Table1_1[[#This Row],[Type]]="Expense", _xlfn.XLOOKUP(Table1_1[[#This Row],[Category]], Budget_Ref[Category], Budget_Ref[Monthly Budget], 0), 0)</f>
        <v>0</v>
      </c>
      <c r="I1047" t="str">
        <f>IF(Table1_1[[#This Row],[Type]]="Expense", IF(Table1_1[[#This Row],[Amount]]&gt;Table1_1[[#This Row],[Monthly Budget]], "Over Budget", "OK"), "-")</f>
        <v>-</v>
      </c>
      <c r="J1047">
        <f>IF(Table1_1[[#This Row],[Type]]="Income", Table1_1[[#This Row],[Amount]], -Table1_1[[#This Row],[Amount]])</f>
        <v>1141</v>
      </c>
    </row>
    <row r="1048" spans="1:10" x14ac:dyDescent="0.25">
      <c r="A1048" s="1">
        <v>45113</v>
      </c>
      <c r="B1048" t="s">
        <v>1063</v>
      </c>
      <c r="C1048" t="s">
        <v>17</v>
      </c>
      <c r="D1048" s="2">
        <v>411.82</v>
      </c>
      <c r="E1048" t="s">
        <v>7</v>
      </c>
      <c r="F1048" t="s">
        <v>1561</v>
      </c>
      <c r="G1048">
        <v>2023</v>
      </c>
      <c r="H1048">
        <f>IF(Table1_1[[#This Row],[Type]]="Expense", _xlfn.XLOOKUP(Table1_1[[#This Row],[Category]], Budget_Ref[Category], Budget_Ref[Monthly Budget], 0), 0)</f>
        <v>300</v>
      </c>
      <c r="I1048" t="str">
        <f>IF(Table1_1[[#This Row],[Type]]="Expense", IF(Table1_1[[#This Row],[Amount]]&gt;Table1_1[[#This Row],[Monthly Budget]], "Over Budget", "OK"), "-")</f>
        <v>Over Budget</v>
      </c>
      <c r="J1048">
        <f>IF(Table1_1[[#This Row],[Type]]="Income", Table1_1[[#This Row],[Amount]], -Table1_1[[#This Row],[Amount]])</f>
        <v>-411.82</v>
      </c>
    </row>
    <row r="1049" spans="1:10" x14ac:dyDescent="0.25">
      <c r="A1049" s="1">
        <v>45114</v>
      </c>
      <c r="B1049" t="s">
        <v>1064</v>
      </c>
      <c r="C1049" t="s">
        <v>9</v>
      </c>
      <c r="D1049" s="2">
        <v>1669.88</v>
      </c>
      <c r="E1049" t="s">
        <v>7</v>
      </c>
      <c r="F1049" t="s">
        <v>1561</v>
      </c>
      <c r="G1049">
        <v>2023</v>
      </c>
      <c r="H1049">
        <f>IF(Table1_1[[#This Row],[Type]]="Expense", _xlfn.XLOOKUP(Table1_1[[#This Row],[Category]], Budget_Ref[Category], Budget_Ref[Monthly Budget], 0), 0)</f>
        <v>150</v>
      </c>
      <c r="I1049" t="str">
        <f>IF(Table1_1[[#This Row],[Type]]="Expense", IF(Table1_1[[#This Row],[Amount]]&gt;Table1_1[[#This Row],[Monthly Budget]], "Over Budget", "OK"), "-")</f>
        <v>Over Budget</v>
      </c>
      <c r="J1049">
        <f>IF(Table1_1[[#This Row],[Type]]="Income", Table1_1[[#This Row],[Amount]], -Table1_1[[#This Row],[Amount]])</f>
        <v>-1669.88</v>
      </c>
    </row>
    <row r="1050" spans="1:10" x14ac:dyDescent="0.25">
      <c r="A1050" s="1">
        <v>45114</v>
      </c>
      <c r="B1050" t="s">
        <v>1065</v>
      </c>
      <c r="C1050" t="s">
        <v>11</v>
      </c>
      <c r="D1050" s="2">
        <v>183.18</v>
      </c>
      <c r="E1050" t="s">
        <v>7</v>
      </c>
      <c r="F1050" t="s">
        <v>1561</v>
      </c>
      <c r="G1050">
        <v>2023</v>
      </c>
      <c r="H1050">
        <f>IF(Table1_1[[#This Row],[Type]]="Expense", _xlfn.XLOOKUP(Table1_1[[#This Row],[Category]], Budget_Ref[Category], Budget_Ref[Monthly Budget], 0), 0)</f>
        <v>1500</v>
      </c>
      <c r="I1050" t="str">
        <f>IF(Table1_1[[#This Row],[Type]]="Expense", IF(Table1_1[[#This Row],[Amount]]&gt;Table1_1[[#This Row],[Monthly Budget]], "Over Budget", "OK"), "-")</f>
        <v>OK</v>
      </c>
      <c r="J1050">
        <f>IF(Table1_1[[#This Row],[Type]]="Income", Table1_1[[#This Row],[Amount]], -Table1_1[[#This Row],[Amount]])</f>
        <v>-183.18</v>
      </c>
    </row>
    <row r="1051" spans="1:10" x14ac:dyDescent="0.25">
      <c r="A1051" s="1">
        <v>45117</v>
      </c>
      <c r="B1051" t="s">
        <v>1066</v>
      </c>
      <c r="C1051" t="s">
        <v>25</v>
      </c>
      <c r="D1051" s="2">
        <v>1714.68</v>
      </c>
      <c r="E1051" t="s">
        <v>7</v>
      </c>
      <c r="F1051" t="s">
        <v>1561</v>
      </c>
      <c r="G1051">
        <v>2023</v>
      </c>
      <c r="H1051">
        <f>IF(Table1_1[[#This Row],[Type]]="Expense", _xlfn.XLOOKUP(Table1_1[[#This Row],[Category]], Budget_Ref[Category], Budget_Ref[Monthly Budget], 0), 0)</f>
        <v>150</v>
      </c>
      <c r="I1051" t="str">
        <f>IF(Table1_1[[#This Row],[Type]]="Expense", IF(Table1_1[[#This Row],[Amount]]&gt;Table1_1[[#This Row],[Monthly Budget]], "Over Budget", "OK"), "-")</f>
        <v>Over Budget</v>
      </c>
      <c r="J1051">
        <f>IF(Table1_1[[#This Row],[Type]]="Income", Table1_1[[#This Row],[Amount]], -Table1_1[[#This Row],[Amount]])</f>
        <v>-1714.68</v>
      </c>
    </row>
    <row r="1052" spans="1:10" x14ac:dyDescent="0.25">
      <c r="A1052" s="1">
        <v>45117</v>
      </c>
      <c r="B1052" t="s">
        <v>1067</v>
      </c>
      <c r="C1052" t="s">
        <v>6</v>
      </c>
      <c r="D1052" s="2">
        <v>1575.24</v>
      </c>
      <c r="E1052" t="s">
        <v>7</v>
      </c>
      <c r="F1052" t="s">
        <v>1561</v>
      </c>
      <c r="G1052">
        <v>2023</v>
      </c>
      <c r="H1052">
        <f>IF(Table1_1[[#This Row],[Type]]="Expense", _xlfn.XLOOKUP(Table1_1[[#This Row],[Category]], Budget_Ref[Category], Budget_Ref[Monthly Budget], 0), 0)</f>
        <v>500</v>
      </c>
      <c r="I1052" t="str">
        <f>IF(Table1_1[[#This Row],[Type]]="Expense", IF(Table1_1[[#This Row],[Amount]]&gt;Table1_1[[#This Row],[Monthly Budget]], "Over Budget", "OK"), "-")</f>
        <v>Over Budget</v>
      </c>
      <c r="J1052">
        <f>IF(Table1_1[[#This Row],[Type]]="Income", Table1_1[[#This Row],[Amount]], -Table1_1[[#This Row],[Amount]])</f>
        <v>-1575.24</v>
      </c>
    </row>
    <row r="1053" spans="1:10" x14ac:dyDescent="0.25">
      <c r="A1053" s="1">
        <v>45117</v>
      </c>
      <c r="B1053" t="s">
        <v>1068</v>
      </c>
      <c r="C1053" t="s">
        <v>17</v>
      </c>
      <c r="D1053" s="2">
        <v>233.91</v>
      </c>
      <c r="E1053" t="s">
        <v>7</v>
      </c>
      <c r="F1053" t="s">
        <v>1561</v>
      </c>
      <c r="G1053">
        <v>2023</v>
      </c>
      <c r="H1053">
        <f>IF(Table1_1[[#This Row],[Type]]="Expense", _xlfn.XLOOKUP(Table1_1[[#This Row],[Category]], Budget_Ref[Category], Budget_Ref[Monthly Budget], 0), 0)</f>
        <v>300</v>
      </c>
      <c r="I1053" t="str">
        <f>IF(Table1_1[[#This Row],[Type]]="Expense", IF(Table1_1[[#This Row],[Amount]]&gt;Table1_1[[#This Row],[Monthly Budget]], "Over Budget", "OK"), "-")</f>
        <v>OK</v>
      </c>
      <c r="J1053">
        <f>IF(Table1_1[[#This Row],[Type]]="Income", Table1_1[[#This Row],[Amount]], -Table1_1[[#This Row],[Amount]])</f>
        <v>-233.91</v>
      </c>
    </row>
    <row r="1054" spans="1:10" x14ac:dyDescent="0.25">
      <c r="A1054" s="1">
        <v>45117</v>
      </c>
      <c r="B1054" t="s">
        <v>1069</v>
      </c>
      <c r="C1054" t="s">
        <v>13</v>
      </c>
      <c r="D1054" s="2">
        <v>1365</v>
      </c>
      <c r="E1054" t="s">
        <v>14</v>
      </c>
      <c r="F1054" t="s">
        <v>1561</v>
      </c>
      <c r="G1054">
        <v>2023</v>
      </c>
      <c r="H1054">
        <f>IF(Table1_1[[#This Row],[Type]]="Expense", _xlfn.XLOOKUP(Table1_1[[#This Row],[Category]], Budget_Ref[Category], Budget_Ref[Monthly Budget], 0), 0)</f>
        <v>0</v>
      </c>
      <c r="I1054" t="str">
        <f>IF(Table1_1[[#This Row],[Type]]="Expense", IF(Table1_1[[#This Row],[Amount]]&gt;Table1_1[[#This Row],[Monthly Budget]], "Over Budget", "OK"), "-")</f>
        <v>-</v>
      </c>
      <c r="J1054">
        <f>IF(Table1_1[[#This Row],[Type]]="Income", Table1_1[[#This Row],[Amount]], -Table1_1[[#This Row],[Amount]])</f>
        <v>1365</v>
      </c>
    </row>
    <row r="1055" spans="1:10" x14ac:dyDescent="0.25">
      <c r="A1055" s="1">
        <v>45118</v>
      </c>
      <c r="B1055" t="s">
        <v>1070</v>
      </c>
      <c r="C1055" t="s">
        <v>11</v>
      </c>
      <c r="D1055" s="2">
        <v>1573.63</v>
      </c>
      <c r="E1055" t="s">
        <v>7</v>
      </c>
      <c r="F1055" t="s">
        <v>1561</v>
      </c>
      <c r="G1055">
        <v>2023</v>
      </c>
      <c r="H1055">
        <f>IF(Table1_1[[#This Row],[Type]]="Expense", _xlfn.XLOOKUP(Table1_1[[#This Row],[Category]], Budget_Ref[Category], Budget_Ref[Monthly Budget], 0), 0)</f>
        <v>1500</v>
      </c>
      <c r="I1055" t="str">
        <f>IF(Table1_1[[#This Row],[Type]]="Expense", IF(Table1_1[[#This Row],[Amount]]&gt;Table1_1[[#This Row],[Monthly Budget]], "Over Budget", "OK"), "-")</f>
        <v>Over Budget</v>
      </c>
      <c r="J1055">
        <f>IF(Table1_1[[#This Row],[Type]]="Income", Table1_1[[#This Row],[Amount]], -Table1_1[[#This Row],[Amount]])</f>
        <v>-1573.63</v>
      </c>
    </row>
    <row r="1056" spans="1:10" x14ac:dyDescent="0.25">
      <c r="A1056" s="1">
        <v>45120</v>
      </c>
      <c r="B1056" t="s">
        <v>1071</v>
      </c>
      <c r="C1056" t="s">
        <v>25</v>
      </c>
      <c r="D1056" s="2">
        <v>1757.01</v>
      </c>
      <c r="E1056" t="s">
        <v>7</v>
      </c>
      <c r="F1056" t="s">
        <v>1561</v>
      </c>
      <c r="G1056">
        <v>2023</v>
      </c>
      <c r="H1056">
        <f>IF(Table1_1[[#This Row],[Type]]="Expense", _xlfn.XLOOKUP(Table1_1[[#This Row],[Category]], Budget_Ref[Category], Budget_Ref[Monthly Budget], 0), 0)</f>
        <v>150</v>
      </c>
      <c r="I1056" t="str">
        <f>IF(Table1_1[[#This Row],[Type]]="Expense", IF(Table1_1[[#This Row],[Amount]]&gt;Table1_1[[#This Row],[Monthly Budget]], "Over Budget", "OK"), "-")</f>
        <v>Over Budget</v>
      </c>
      <c r="J1056">
        <f>IF(Table1_1[[#This Row],[Type]]="Income", Table1_1[[#This Row],[Amount]], -Table1_1[[#This Row],[Amount]])</f>
        <v>-1757.01</v>
      </c>
    </row>
    <row r="1057" spans="1:10" x14ac:dyDescent="0.25">
      <c r="A1057" s="1">
        <v>45122</v>
      </c>
      <c r="B1057" t="s">
        <v>1072</v>
      </c>
      <c r="C1057" t="s">
        <v>27</v>
      </c>
      <c r="D1057" s="2">
        <v>1148.33</v>
      </c>
      <c r="E1057" t="s">
        <v>14</v>
      </c>
      <c r="F1057" t="s">
        <v>1561</v>
      </c>
      <c r="G1057">
        <v>2023</v>
      </c>
      <c r="H1057">
        <f>IF(Table1_1[[#This Row],[Type]]="Expense", _xlfn.XLOOKUP(Table1_1[[#This Row],[Category]], Budget_Ref[Category], Budget_Ref[Monthly Budget], 0), 0)</f>
        <v>0</v>
      </c>
      <c r="I1057" t="str">
        <f>IF(Table1_1[[#This Row],[Type]]="Expense", IF(Table1_1[[#This Row],[Amount]]&gt;Table1_1[[#This Row],[Monthly Budget]], "Over Budget", "OK"), "-")</f>
        <v>-</v>
      </c>
      <c r="J1057">
        <f>IF(Table1_1[[#This Row],[Type]]="Income", Table1_1[[#This Row],[Amount]], -Table1_1[[#This Row],[Amount]])</f>
        <v>1148.33</v>
      </c>
    </row>
    <row r="1058" spans="1:10" x14ac:dyDescent="0.25">
      <c r="A1058" s="1">
        <v>45122</v>
      </c>
      <c r="B1058" t="s">
        <v>1073</v>
      </c>
      <c r="C1058" t="s">
        <v>9</v>
      </c>
      <c r="D1058" s="2">
        <v>558.07000000000005</v>
      </c>
      <c r="E1058" t="s">
        <v>7</v>
      </c>
      <c r="F1058" t="s">
        <v>1561</v>
      </c>
      <c r="G1058">
        <v>2023</v>
      </c>
      <c r="H1058">
        <f>IF(Table1_1[[#This Row],[Type]]="Expense", _xlfn.XLOOKUP(Table1_1[[#This Row],[Category]], Budget_Ref[Category], Budget_Ref[Monthly Budget], 0), 0)</f>
        <v>150</v>
      </c>
      <c r="I1058" t="str">
        <f>IF(Table1_1[[#This Row],[Type]]="Expense", IF(Table1_1[[#This Row],[Amount]]&gt;Table1_1[[#This Row],[Monthly Budget]], "Over Budget", "OK"), "-")</f>
        <v>Over Budget</v>
      </c>
      <c r="J1058">
        <f>IF(Table1_1[[#This Row],[Type]]="Income", Table1_1[[#This Row],[Amount]], -Table1_1[[#This Row],[Amount]])</f>
        <v>-558.07000000000005</v>
      </c>
    </row>
    <row r="1059" spans="1:10" x14ac:dyDescent="0.25">
      <c r="A1059" s="1">
        <v>45122</v>
      </c>
      <c r="B1059" t="s">
        <v>1074</v>
      </c>
      <c r="C1059" t="s">
        <v>20</v>
      </c>
      <c r="D1059" s="2">
        <v>817</v>
      </c>
      <c r="E1059" t="s">
        <v>14</v>
      </c>
      <c r="F1059" t="s">
        <v>1561</v>
      </c>
      <c r="G1059">
        <v>2023</v>
      </c>
      <c r="H1059">
        <f>IF(Table1_1[[#This Row],[Type]]="Expense", _xlfn.XLOOKUP(Table1_1[[#This Row],[Category]], Budget_Ref[Category], Budget_Ref[Monthly Budget], 0), 0)</f>
        <v>0</v>
      </c>
      <c r="I1059" t="str">
        <f>IF(Table1_1[[#This Row],[Type]]="Expense", IF(Table1_1[[#This Row],[Amount]]&gt;Table1_1[[#This Row],[Monthly Budget]], "Over Budget", "OK"), "-")</f>
        <v>-</v>
      </c>
      <c r="J1059">
        <f>IF(Table1_1[[#This Row],[Type]]="Income", Table1_1[[#This Row],[Amount]], -Table1_1[[#This Row],[Amount]])</f>
        <v>817</v>
      </c>
    </row>
    <row r="1060" spans="1:10" x14ac:dyDescent="0.25">
      <c r="A1060" s="1">
        <v>45122</v>
      </c>
      <c r="B1060" t="s">
        <v>1075</v>
      </c>
      <c r="C1060" t="s">
        <v>25</v>
      </c>
      <c r="D1060" s="2">
        <v>1384.12</v>
      </c>
      <c r="E1060" t="s">
        <v>7</v>
      </c>
      <c r="F1060" t="s">
        <v>1561</v>
      </c>
      <c r="G1060">
        <v>2023</v>
      </c>
      <c r="H1060">
        <f>IF(Table1_1[[#This Row],[Type]]="Expense", _xlfn.XLOOKUP(Table1_1[[#This Row],[Category]], Budget_Ref[Category], Budget_Ref[Monthly Budget], 0), 0)</f>
        <v>150</v>
      </c>
      <c r="I1060" t="str">
        <f>IF(Table1_1[[#This Row],[Type]]="Expense", IF(Table1_1[[#This Row],[Amount]]&gt;Table1_1[[#This Row],[Monthly Budget]], "Over Budget", "OK"), "-")</f>
        <v>Over Budget</v>
      </c>
      <c r="J1060">
        <f>IF(Table1_1[[#This Row],[Type]]="Income", Table1_1[[#This Row],[Amount]], -Table1_1[[#This Row],[Amount]])</f>
        <v>-1384.12</v>
      </c>
    </row>
    <row r="1061" spans="1:10" x14ac:dyDescent="0.25">
      <c r="A1061" s="1">
        <v>45122</v>
      </c>
      <c r="B1061" t="s">
        <v>1076</v>
      </c>
      <c r="C1061" t="s">
        <v>20</v>
      </c>
      <c r="D1061" s="2">
        <v>2700</v>
      </c>
      <c r="E1061" t="s">
        <v>14</v>
      </c>
      <c r="F1061" t="s">
        <v>1561</v>
      </c>
      <c r="G1061">
        <v>2023</v>
      </c>
      <c r="H1061">
        <f>IF(Table1_1[[#This Row],[Type]]="Expense", _xlfn.XLOOKUP(Table1_1[[#This Row],[Category]], Budget_Ref[Category], Budget_Ref[Monthly Budget], 0), 0)</f>
        <v>0</v>
      </c>
      <c r="I1061" t="str">
        <f>IF(Table1_1[[#This Row],[Type]]="Expense", IF(Table1_1[[#This Row],[Amount]]&gt;Table1_1[[#This Row],[Monthly Budget]], "Over Budget", "OK"), "-")</f>
        <v>-</v>
      </c>
      <c r="J1061">
        <f>IF(Table1_1[[#This Row],[Type]]="Income", Table1_1[[#This Row],[Amount]], -Table1_1[[#This Row],[Amount]])</f>
        <v>2700</v>
      </c>
    </row>
    <row r="1062" spans="1:10" x14ac:dyDescent="0.25">
      <c r="A1062" s="1">
        <v>45123</v>
      </c>
      <c r="B1062" t="s">
        <v>1077</v>
      </c>
      <c r="C1062" t="s">
        <v>6</v>
      </c>
      <c r="D1062" s="2">
        <v>682.35</v>
      </c>
      <c r="E1062" t="s">
        <v>7</v>
      </c>
      <c r="F1062" t="s">
        <v>1561</v>
      </c>
      <c r="G1062">
        <v>2023</v>
      </c>
      <c r="H1062">
        <f>IF(Table1_1[[#This Row],[Type]]="Expense", _xlfn.XLOOKUP(Table1_1[[#This Row],[Category]], Budget_Ref[Category], Budget_Ref[Monthly Budget], 0), 0)</f>
        <v>500</v>
      </c>
      <c r="I1062" t="str">
        <f>IF(Table1_1[[#This Row],[Type]]="Expense", IF(Table1_1[[#This Row],[Amount]]&gt;Table1_1[[#This Row],[Monthly Budget]], "Over Budget", "OK"), "-")</f>
        <v>Over Budget</v>
      </c>
      <c r="J1062">
        <f>IF(Table1_1[[#This Row],[Type]]="Income", Table1_1[[#This Row],[Amount]], -Table1_1[[#This Row],[Amount]])</f>
        <v>-682.35</v>
      </c>
    </row>
    <row r="1063" spans="1:10" x14ac:dyDescent="0.25">
      <c r="A1063" s="1">
        <v>45124</v>
      </c>
      <c r="B1063" t="s">
        <v>1078</v>
      </c>
      <c r="C1063" t="s">
        <v>35</v>
      </c>
      <c r="D1063" s="2">
        <v>567.89</v>
      </c>
      <c r="E1063" t="s">
        <v>7</v>
      </c>
      <c r="F1063" t="s">
        <v>1561</v>
      </c>
      <c r="G1063">
        <v>2023</v>
      </c>
      <c r="H1063">
        <f>IF(Table1_1[[#This Row],[Type]]="Expense", _xlfn.XLOOKUP(Table1_1[[#This Row],[Category]], Budget_Ref[Category], Budget_Ref[Monthly Budget], 0), 0)</f>
        <v>200</v>
      </c>
      <c r="I1063" t="str">
        <f>IF(Table1_1[[#This Row],[Type]]="Expense", IF(Table1_1[[#This Row],[Amount]]&gt;Table1_1[[#This Row],[Monthly Budget]], "Over Budget", "OK"), "-")</f>
        <v>Over Budget</v>
      </c>
      <c r="J1063">
        <f>IF(Table1_1[[#This Row],[Type]]="Income", Table1_1[[#This Row],[Amount]], -Table1_1[[#This Row],[Amount]])</f>
        <v>-567.89</v>
      </c>
    </row>
    <row r="1064" spans="1:10" x14ac:dyDescent="0.25">
      <c r="A1064" s="1">
        <v>45125</v>
      </c>
      <c r="B1064" t="s">
        <v>1079</v>
      </c>
      <c r="C1064" t="s">
        <v>11</v>
      </c>
      <c r="D1064" s="2">
        <v>1945.27</v>
      </c>
      <c r="E1064" t="s">
        <v>7</v>
      </c>
      <c r="F1064" t="s">
        <v>1561</v>
      </c>
      <c r="G1064">
        <v>2023</v>
      </c>
      <c r="H1064">
        <f>IF(Table1_1[[#This Row],[Type]]="Expense", _xlfn.XLOOKUP(Table1_1[[#This Row],[Category]], Budget_Ref[Category], Budget_Ref[Monthly Budget], 0), 0)</f>
        <v>1500</v>
      </c>
      <c r="I1064" t="str">
        <f>IF(Table1_1[[#This Row],[Type]]="Expense", IF(Table1_1[[#This Row],[Amount]]&gt;Table1_1[[#This Row],[Monthly Budget]], "Over Budget", "OK"), "-")</f>
        <v>Over Budget</v>
      </c>
      <c r="J1064">
        <f>IF(Table1_1[[#This Row],[Type]]="Income", Table1_1[[#This Row],[Amount]], -Table1_1[[#This Row],[Amount]])</f>
        <v>-1945.27</v>
      </c>
    </row>
    <row r="1065" spans="1:10" x14ac:dyDescent="0.25">
      <c r="A1065" s="1">
        <v>45126</v>
      </c>
      <c r="B1065" t="s">
        <v>1080</v>
      </c>
      <c r="C1065" t="s">
        <v>35</v>
      </c>
      <c r="D1065" s="2">
        <v>1948.7</v>
      </c>
      <c r="E1065" t="s">
        <v>7</v>
      </c>
      <c r="F1065" t="s">
        <v>1561</v>
      </c>
      <c r="G1065">
        <v>2023</v>
      </c>
      <c r="H1065">
        <f>IF(Table1_1[[#This Row],[Type]]="Expense", _xlfn.XLOOKUP(Table1_1[[#This Row],[Category]], Budget_Ref[Category], Budget_Ref[Monthly Budget], 0), 0)</f>
        <v>200</v>
      </c>
      <c r="I1065" t="str">
        <f>IF(Table1_1[[#This Row],[Type]]="Expense", IF(Table1_1[[#This Row],[Amount]]&gt;Table1_1[[#This Row],[Monthly Budget]], "Over Budget", "OK"), "-")</f>
        <v>Over Budget</v>
      </c>
      <c r="J1065">
        <f>IF(Table1_1[[#This Row],[Type]]="Income", Table1_1[[#This Row],[Amount]], -Table1_1[[#This Row],[Amount]])</f>
        <v>-1948.7</v>
      </c>
    </row>
    <row r="1066" spans="1:10" x14ac:dyDescent="0.25">
      <c r="A1066" s="1">
        <v>45126</v>
      </c>
      <c r="B1066" t="s">
        <v>1081</v>
      </c>
      <c r="C1066" t="s">
        <v>25</v>
      </c>
      <c r="D1066" s="2">
        <v>546.15</v>
      </c>
      <c r="E1066" t="s">
        <v>7</v>
      </c>
      <c r="F1066" t="s">
        <v>1561</v>
      </c>
      <c r="G1066">
        <v>2023</v>
      </c>
      <c r="H1066">
        <f>IF(Table1_1[[#This Row],[Type]]="Expense", _xlfn.XLOOKUP(Table1_1[[#This Row],[Category]], Budget_Ref[Category], Budget_Ref[Monthly Budget], 0), 0)</f>
        <v>150</v>
      </c>
      <c r="I1066" t="str">
        <f>IF(Table1_1[[#This Row],[Type]]="Expense", IF(Table1_1[[#This Row],[Amount]]&gt;Table1_1[[#This Row],[Monthly Budget]], "Over Budget", "OK"), "-")</f>
        <v>Over Budget</v>
      </c>
      <c r="J1066">
        <f>IF(Table1_1[[#This Row],[Type]]="Income", Table1_1[[#This Row],[Amount]], -Table1_1[[#This Row],[Amount]])</f>
        <v>-546.15</v>
      </c>
    </row>
    <row r="1067" spans="1:10" x14ac:dyDescent="0.25">
      <c r="A1067" s="1">
        <v>45127</v>
      </c>
      <c r="B1067" t="s">
        <v>1082</v>
      </c>
      <c r="C1067" t="s">
        <v>11</v>
      </c>
      <c r="D1067" s="2">
        <v>383.99</v>
      </c>
      <c r="E1067" t="s">
        <v>7</v>
      </c>
      <c r="F1067" t="s">
        <v>1561</v>
      </c>
      <c r="G1067">
        <v>2023</v>
      </c>
      <c r="H1067">
        <f>IF(Table1_1[[#This Row],[Type]]="Expense", _xlfn.XLOOKUP(Table1_1[[#This Row],[Category]], Budget_Ref[Category], Budget_Ref[Monthly Budget], 0), 0)</f>
        <v>1500</v>
      </c>
      <c r="I1067" t="str">
        <f>IF(Table1_1[[#This Row],[Type]]="Expense", IF(Table1_1[[#This Row],[Amount]]&gt;Table1_1[[#This Row],[Monthly Budget]], "Over Budget", "OK"), "-")</f>
        <v>OK</v>
      </c>
      <c r="J1067">
        <f>IF(Table1_1[[#This Row],[Type]]="Income", Table1_1[[#This Row],[Amount]], -Table1_1[[#This Row],[Amount]])</f>
        <v>-383.99</v>
      </c>
    </row>
    <row r="1068" spans="1:10" x14ac:dyDescent="0.25">
      <c r="A1068" s="1">
        <v>45128</v>
      </c>
      <c r="B1068" t="s">
        <v>1083</v>
      </c>
      <c r="C1068" t="s">
        <v>17</v>
      </c>
      <c r="D1068" s="2">
        <v>1484.48</v>
      </c>
      <c r="E1068" t="s">
        <v>7</v>
      </c>
      <c r="F1068" t="s">
        <v>1561</v>
      </c>
      <c r="G1068">
        <v>2023</v>
      </c>
      <c r="H1068">
        <f>IF(Table1_1[[#This Row],[Type]]="Expense", _xlfn.XLOOKUP(Table1_1[[#This Row],[Category]], Budget_Ref[Category], Budget_Ref[Monthly Budget], 0), 0)</f>
        <v>300</v>
      </c>
      <c r="I1068" t="str">
        <f>IF(Table1_1[[#This Row],[Type]]="Expense", IF(Table1_1[[#This Row],[Amount]]&gt;Table1_1[[#This Row],[Monthly Budget]], "Over Budget", "OK"), "-")</f>
        <v>Over Budget</v>
      </c>
      <c r="J1068">
        <f>IF(Table1_1[[#This Row],[Type]]="Income", Table1_1[[#This Row],[Amount]], -Table1_1[[#This Row],[Amount]])</f>
        <v>-1484.48</v>
      </c>
    </row>
    <row r="1069" spans="1:10" x14ac:dyDescent="0.25">
      <c r="A1069" s="1">
        <v>45130</v>
      </c>
      <c r="B1069" t="s">
        <v>1084</v>
      </c>
      <c r="C1069" t="s">
        <v>25</v>
      </c>
      <c r="D1069" s="2">
        <v>1643.82</v>
      </c>
      <c r="E1069" t="s">
        <v>7</v>
      </c>
      <c r="F1069" t="s">
        <v>1561</v>
      </c>
      <c r="G1069">
        <v>2023</v>
      </c>
      <c r="H1069">
        <f>IF(Table1_1[[#This Row],[Type]]="Expense", _xlfn.XLOOKUP(Table1_1[[#This Row],[Category]], Budget_Ref[Category], Budget_Ref[Monthly Budget], 0), 0)</f>
        <v>150</v>
      </c>
      <c r="I1069" t="str">
        <f>IF(Table1_1[[#This Row],[Type]]="Expense", IF(Table1_1[[#This Row],[Amount]]&gt;Table1_1[[#This Row],[Monthly Budget]], "Over Budget", "OK"), "-")</f>
        <v>Over Budget</v>
      </c>
      <c r="J1069">
        <f>IF(Table1_1[[#This Row],[Type]]="Income", Table1_1[[#This Row],[Amount]], -Table1_1[[#This Row],[Amount]])</f>
        <v>-1643.82</v>
      </c>
    </row>
    <row r="1070" spans="1:10" x14ac:dyDescent="0.25">
      <c r="A1070" s="1">
        <v>45132</v>
      </c>
      <c r="B1070" t="s">
        <v>1085</v>
      </c>
      <c r="C1070" t="s">
        <v>9</v>
      </c>
      <c r="D1070" s="2">
        <v>140.58000000000001</v>
      </c>
      <c r="E1070" t="s">
        <v>7</v>
      </c>
      <c r="F1070" t="s">
        <v>1561</v>
      </c>
      <c r="G1070">
        <v>2023</v>
      </c>
      <c r="H1070">
        <f>IF(Table1_1[[#This Row],[Type]]="Expense", _xlfn.XLOOKUP(Table1_1[[#This Row],[Category]], Budget_Ref[Category], Budget_Ref[Monthly Budget], 0), 0)</f>
        <v>150</v>
      </c>
      <c r="I1070" t="str">
        <f>IF(Table1_1[[#This Row],[Type]]="Expense", IF(Table1_1[[#This Row],[Amount]]&gt;Table1_1[[#This Row],[Monthly Budget]], "Over Budget", "OK"), "-")</f>
        <v>OK</v>
      </c>
      <c r="J1070">
        <f>IF(Table1_1[[#This Row],[Type]]="Income", Table1_1[[#This Row],[Amount]], -Table1_1[[#This Row],[Amount]])</f>
        <v>-140.58000000000001</v>
      </c>
    </row>
    <row r="1071" spans="1:10" x14ac:dyDescent="0.25">
      <c r="A1071" s="1">
        <v>45133</v>
      </c>
      <c r="B1071" t="s">
        <v>1086</v>
      </c>
      <c r="C1071" t="s">
        <v>17</v>
      </c>
      <c r="D1071" s="2">
        <v>279.94</v>
      </c>
      <c r="E1071" t="s">
        <v>7</v>
      </c>
      <c r="F1071" t="s">
        <v>1561</v>
      </c>
      <c r="G1071">
        <v>2023</v>
      </c>
      <c r="H1071">
        <f>IF(Table1_1[[#This Row],[Type]]="Expense", _xlfn.XLOOKUP(Table1_1[[#This Row],[Category]], Budget_Ref[Category], Budget_Ref[Monthly Budget], 0), 0)</f>
        <v>300</v>
      </c>
      <c r="I1071" t="str">
        <f>IF(Table1_1[[#This Row],[Type]]="Expense", IF(Table1_1[[#This Row],[Amount]]&gt;Table1_1[[#This Row],[Monthly Budget]], "Over Budget", "OK"), "-")</f>
        <v>OK</v>
      </c>
      <c r="J1071">
        <f>IF(Table1_1[[#This Row],[Type]]="Income", Table1_1[[#This Row],[Amount]], -Table1_1[[#This Row],[Amount]])</f>
        <v>-279.94</v>
      </c>
    </row>
    <row r="1072" spans="1:10" x14ac:dyDescent="0.25">
      <c r="A1072" s="1">
        <v>45134</v>
      </c>
      <c r="B1072" t="s">
        <v>1087</v>
      </c>
      <c r="C1072" t="s">
        <v>6</v>
      </c>
      <c r="D1072" s="2">
        <v>355.74</v>
      </c>
      <c r="E1072" t="s">
        <v>7</v>
      </c>
      <c r="F1072" t="s">
        <v>1561</v>
      </c>
      <c r="G1072">
        <v>2023</v>
      </c>
      <c r="H1072">
        <f>IF(Table1_1[[#This Row],[Type]]="Expense", _xlfn.XLOOKUP(Table1_1[[#This Row],[Category]], Budget_Ref[Category], Budget_Ref[Monthly Budget], 0), 0)</f>
        <v>500</v>
      </c>
      <c r="I1072" t="str">
        <f>IF(Table1_1[[#This Row],[Type]]="Expense", IF(Table1_1[[#This Row],[Amount]]&gt;Table1_1[[#This Row],[Monthly Budget]], "Over Budget", "OK"), "-")</f>
        <v>OK</v>
      </c>
      <c r="J1072">
        <f>IF(Table1_1[[#This Row],[Type]]="Income", Table1_1[[#This Row],[Amount]], -Table1_1[[#This Row],[Amount]])</f>
        <v>-355.74</v>
      </c>
    </row>
    <row r="1073" spans="1:10" x14ac:dyDescent="0.25">
      <c r="A1073" s="1">
        <v>45134</v>
      </c>
      <c r="B1073" t="s">
        <v>1088</v>
      </c>
      <c r="C1073" t="s">
        <v>22</v>
      </c>
      <c r="D1073" s="2">
        <v>1675.58</v>
      </c>
      <c r="E1073" t="s">
        <v>7</v>
      </c>
      <c r="F1073" t="s">
        <v>1561</v>
      </c>
      <c r="G1073">
        <v>2023</v>
      </c>
      <c r="H1073">
        <f>IF(Table1_1[[#This Row],[Type]]="Expense", _xlfn.XLOOKUP(Table1_1[[#This Row],[Category]], Budget_Ref[Category], Budget_Ref[Monthly Budget], 0), 0)</f>
        <v>200</v>
      </c>
      <c r="I1073" t="str">
        <f>IF(Table1_1[[#This Row],[Type]]="Expense", IF(Table1_1[[#This Row],[Amount]]&gt;Table1_1[[#This Row],[Monthly Budget]], "Over Budget", "OK"), "-")</f>
        <v>Over Budget</v>
      </c>
      <c r="J1073">
        <f>IF(Table1_1[[#This Row],[Type]]="Income", Table1_1[[#This Row],[Amount]], -Table1_1[[#This Row],[Amount]])</f>
        <v>-1675.58</v>
      </c>
    </row>
    <row r="1074" spans="1:10" x14ac:dyDescent="0.25">
      <c r="A1074" s="1">
        <v>45137</v>
      </c>
      <c r="B1074" t="s">
        <v>1089</v>
      </c>
      <c r="C1074" t="s">
        <v>27</v>
      </c>
      <c r="D1074" s="2">
        <v>110.61</v>
      </c>
      <c r="E1074" t="s">
        <v>14</v>
      </c>
      <c r="F1074" t="s">
        <v>1561</v>
      </c>
      <c r="G1074">
        <v>2023</v>
      </c>
      <c r="H1074">
        <f>IF(Table1_1[[#This Row],[Type]]="Expense", _xlfn.XLOOKUP(Table1_1[[#This Row],[Category]], Budget_Ref[Category], Budget_Ref[Monthly Budget], 0), 0)</f>
        <v>0</v>
      </c>
      <c r="I1074" t="str">
        <f>IF(Table1_1[[#This Row],[Type]]="Expense", IF(Table1_1[[#This Row],[Amount]]&gt;Table1_1[[#This Row],[Monthly Budget]], "Over Budget", "OK"), "-")</f>
        <v>-</v>
      </c>
      <c r="J1074">
        <f>IF(Table1_1[[#This Row],[Type]]="Income", Table1_1[[#This Row],[Amount]], -Table1_1[[#This Row],[Amount]])</f>
        <v>110.61</v>
      </c>
    </row>
    <row r="1075" spans="1:10" x14ac:dyDescent="0.25">
      <c r="A1075" s="1">
        <v>45139</v>
      </c>
      <c r="B1075" t="s">
        <v>1090</v>
      </c>
      <c r="C1075" t="s">
        <v>22</v>
      </c>
      <c r="D1075" s="2">
        <v>555.22</v>
      </c>
      <c r="E1075" t="s">
        <v>7</v>
      </c>
      <c r="F1075" t="s">
        <v>1562</v>
      </c>
      <c r="G1075">
        <v>2023</v>
      </c>
      <c r="H1075">
        <f>IF(Table1_1[[#This Row],[Type]]="Expense", _xlfn.XLOOKUP(Table1_1[[#This Row],[Category]], Budget_Ref[Category], Budget_Ref[Monthly Budget], 0), 0)</f>
        <v>200</v>
      </c>
      <c r="I1075" t="str">
        <f>IF(Table1_1[[#This Row],[Type]]="Expense", IF(Table1_1[[#This Row],[Amount]]&gt;Table1_1[[#This Row],[Monthly Budget]], "Over Budget", "OK"), "-")</f>
        <v>Over Budget</v>
      </c>
      <c r="J1075">
        <f>IF(Table1_1[[#This Row],[Type]]="Income", Table1_1[[#This Row],[Amount]], -Table1_1[[#This Row],[Amount]])</f>
        <v>-555.22</v>
      </c>
    </row>
    <row r="1076" spans="1:10" x14ac:dyDescent="0.25">
      <c r="A1076" s="1">
        <v>45142</v>
      </c>
      <c r="B1076" t="s">
        <v>1091</v>
      </c>
      <c r="C1076" t="s">
        <v>17</v>
      </c>
      <c r="D1076" s="2">
        <v>1274.47</v>
      </c>
      <c r="E1076" t="s">
        <v>7</v>
      </c>
      <c r="F1076" t="s">
        <v>1562</v>
      </c>
      <c r="G1076">
        <v>2023</v>
      </c>
      <c r="H1076">
        <f>IF(Table1_1[[#This Row],[Type]]="Expense", _xlfn.XLOOKUP(Table1_1[[#This Row],[Category]], Budget_Ref[Category], Budget_Ref[Monthly Budget], 0), 0)</f>
        <v>300</v>
      </c>
      <c r="I1076" t="str">
        <f>IF(Table1_1[[#This Row],[Type]]="Expense", IF(Table1_1[[#This Row],[Amount]]&gt;Table1_1[[#This Row],[Monthly Budget]], "Over Budget", "OK"), "-")</f>
        <v>Over Budget</v>
      </c>
      <c r="J1076">
        <f>IF(Table1_1[[#This Row],[Type]]="Income", Table1_1[[#This Row],[Amount]], -Table1_1[[#This Row],[Amount]])</f>
        <v>-1274.47</v>
      </c>
    </row>
    <row r="1077" spans="1:10" x14ac:dyDescent="0.25">
      <c r="A1077" s="1">
        <v>45143</v>
      </c>
      <c r="B1077" t="s">
        <v>1092</v>
      </c>
      <c r="C1077" t="s">
        <v>13</v>
      </c>
      <c r="D1077" s="2">
        <v>2481</v>
      </c>
      <c r="E1077" t="s">
        <v>14</v>
      </c>
      <c r="F1077" t="s">
        <v>1562</v>
      </c>
      <c r="G1077">
        <v>2023</v>
      </c>
      <c r="H1077">
        <f>IF(Table1_1[[#This Row],[Type]]="Expense", _xlfn.XLOOKUP(Table1_1[[#This Row],[Category]], Budget_Ref[Category], Budget_Ref[Monthly Budget], 0), 0)</f>
        <v>0</v>
      </c>
      <c r="I1077" t="str">
        <f>IF(Table1_1[[#This Row],[Type]]="Expense", IF(Table1_1[[#This Row],[Amount]]&gt;Table1_1[[#This Row],[Monthly Budget]], "Over Budget", "OK"), "-")</f>
        <v>-</v>
      </c>
      <c r="J1077">
        <f>IF(Table1_1[[#This Row],[Type]]="Income", Table1_1[[#This Row],[Amount]], -Table1_1[[#This Row],[Amount]])</f>
        <v>2481</v>
      </c>
    </row>
    <row r="1078" spans="1:10" x14ac:dyDescent="0.25">
      <c r="A1078" s="1">
        <v>45145</v>
      </c>
      <c r="B1078" t="s">
        <v>1093</v>
      </c>
      <c r="C1078" t="s">
        <v>27</v>
      </c>
      <c r="D1078" s="2">
        <v>363.39</v>
      </c>
      <c r="E1078" t="s">
        <v>14</v>
      </c>
      <c r="F1078" t="s">
        <v>1562</v>
      </c>
      <c r="G1078">
        <v>2023</v>
      </c>
      <c r="H1078">
        <f>IF(Table1_1[[#This Row],[Type]]="Expense", _xlfn.XLOOKUP(Table1_1[[#This Row],[Category]], Budget_Ref[Category], Budget_Ref[Monthly Budget], 0), 0)</f>
        <v>0</v>
      </c>
      <c r="I1078" t="str">
        <f>IF(Table1_1[[#This Row],[Type]]="Expense", IF(Table1_1[[#This Row],[Amount]]&gt;Table1_1[[#This Row],[Monthly Budget]], "Over Budget", "OK"), "-")</f>
        <v>-</v>
      </c>
      <c r="J1078">
        <f>IF(Table1_1[[#This Row],[Type]]="Income", Table1_1[[#This Row],[Amount]], -Table1_1[[#This Row],[Amount]])</f>
        <v>363.39</v>
      </c>
    </row>
    <row r="1079" spans="1:10" x14ac:dyDescent="0.25">
      <c r="A1079" s="1">
        <v>45145</v>
      </c>
      <c r="B1079" t="s">
        <v>1094</v>
      </c>
      <c r="C1079" t="s">
        <v>25</v>
      </c>
      <c r="D1079" s="2">
        <v>695.06</v>
      </c>
      <c r="E1079" t="s">
        <v>7</v>
      </c>
      <c r="F1079" t="s">
        <v>1562</v>
      </c>
      <c r="G1079">
        <v>2023</v>
      </c>
      <c r="H1079">
        <f>IF(Table1_1[[#This Row],[Type]]="Expense", _xlfn.XLOOKUP(Table1_1[[#This Row],[Category]], Budget_Ref[Category], Budget_Ref[Monthly Budget], 0), 0)</f>
        <v>150</v>
      </c>
      <c r="I1079" t="str">
        <f>IF(Table1_1[[#This Row],[Type]]="Expense", IF(Table1_1[[#This Row],[Amount]]&gt;Table1_1[[#This Row],[Monthly Budget]], "Over Budget", "OK"), "-")</f>
        <v>Over Budget</v>
      </c>
      <c r="J1079">
        <f>IF(Table1_1[[#This Row],[Type]]="Income", Table1_1[[#This Row],[Amount]], -Table1_1[[#This Row],[Amount]])</f>
        <v>-695.06</v>
      </c>
    </row>
    <row r="1080" spans="1:10" x14ac:dyDescent="0.25">
      <c r="A1080" s="1">
        <v>45147</v>
      </c>
      <c r="B1080" t="s">
        <v>1095</v>
      </c>
      <c r="C1080" t="s">
        <v>35</v>
      </c>
      <c r="D1080" s="2">
        <v>1500.43</v>
      </c>
      <c r="E1080" t="s">
        <v>7</v>
      </c>
      <c r="F1080" t="s">
        <v>1562</v>
      </c>
      <c r="G1080">
        <v>2023</v>
      </c>
      <c r="H1080">
        <f>IF(Table1_1[[#This Row],[Type]]="Expense", _xlfn.XLOOKUP(Table1_1[[#This Row],[Category]], Budget_Ref[Category], Budget_Ref[Monthly Budget], 0), 0)</f>
        <v>200</v>
      </c>
      <c r="I1080" t="str">
        <f>IF(Table1_1[[#This Row],[Type]]="Expense", IF(Table1_1[[#This Row],[Amount]]&gt;Table1_1[[#This Row],[Monthly Budget]], "Over Budget", "OK"), "-")</f>
        <v>Over Budget</v>
      </c>
      <c r="J1080">
        <f>IF(Table1_1[[#This Row],[Type]]="Income", Table1_1[[#This Row],[Amount]], -Table1_1[[#This Row],[Amount]])</f>
        <v>-1500.43</v>
      </c>
    </row>
    <row r="1081" spans="1:10" x14ac:dyDescent="0.25">
      <c r="A1081" s="1">
        <v>45147</v>
      </c>
      <c r="B1081" t="s">
        <v>1096</v>
      </c>
      <c r="C1081" t="s">
        <v>35</v>
      </c>
      <c r="D1081" s="2">
        <v>64.63</v>
      </c>
      <c r="E1081" t="s">
        <v>7</v>
      </c>
      <c r="F1081" t="s">
        <v>1562</v>
      </c>
      <c r="G1081">
        <v>2023</v>
      </c>
      <c r="H1081">
        <f>IF(Table1_1[[#This Row],[Type]]="Expense", _xlfn.XLOOKUP(Table1_1[[#This Row],[Category]], Budget_Ref[Category], Budget_Ref[Monthly Budget], 0), 0)</f>
        <v>200</v>
      </c>
      <c r="I1081" t="str">
        <f>IF(Table1_1[[#This Row],[Type]]="Expense", IF(Table1_1[[#This Row],[Amount]]&gt;Table1_1[[#This Row],[Monthly Budget]], "Over Budget", "OK"), "-")</f>
        <v>OK</v>
      </c>
      <c r="J1081">
        <f>IF(Table1_1[[#This Row],[Type]]="Income", Table1_1[[#This Row],[Amount]], -Table1_1[[#This Row],[Amount]])</f>
        <v>-64.63</v>
      </c>
    </row>
    <row r="1082" spans="1:10" x14ac:dyDescent="0.25">
      <c r="A1082" s="1">
        <v>45148</v>
      </c>
      <c r="B1082" t="s">
        <v>1097</v>
      </c>
      <c r="C1082" t="s">
        <v>13</v>
      </c>
      <c r="D1082" s="2">
        <v>2313</v>
      </c>
      <c r="E1082" t="s">
        <v>14</v>
      </c>
      <c r="F1082" t="s">
        <v>1562</v>
      </c>
      <c r="G1082">
        <v>2023</v>
      </c>
      <c r="H1082">
        <f>IF(Table1_1[[#This Row],[Type]]="Expense", _xlfn.XLOOKUP(Table1_1[[#This Row],[Category]], Budget_Ref[Category], Budget_Ref[Monthly Budget], 0), 0)</f>
        <v>0</v>
      </c>
      <c r="I1082" t="str">
        <f>IF(Table1_1[[#This Row],[Type]]="Expense", IF(Table1_1[[#This Row],[Amount]]&gt;Table1_1[[#This Row],[Monthly Budget]], "Over Budget", "OK"), "-")</f>
        <v>-</v>
      </c>
      <c r="J1082">
        <f>IF(Table1_1[[#This Row],[Type]]="Income", Table1_1[[#This Row],[Amount]], -Table1_1[[#This Row],[Amount]])</f>
        <v>2313</v>
      </c>
    </row>
    <row r="1083" spans="1:10" x14ac:dyDescent="0.25">
      <c r="A1083" s="1">
        <v>45148</v>
      </c>
      <c r="B1083" t="s">
        <v>1098</v>
      </c>
      <c r="C1083" t="s">
        <v>22</v>
      </c>
      <c r="D1083" s="2">
        <v>545.48</v>
      </c>
      <c r="E1083" t="s">
        <v>7</v>
      </c>
      <c r="F1083" t="s">
        <v>1562</v>
      </c>
      <c r="G1083">
        <v>2023</v>
      </c>
      <c r="H1083">
        <f>IF(Table1_1[[#This Row],[Type]]="Expense", _xlfn.XLOOKUP(Table1_1[[#This Row],[Category]], Budget_Ref[Category], Budget_Ref[Monthly Budget], 0), 0)</f>
        <v>200</v>
      </c>
      <c r="I1083" t="str">
        <f>IF(Table1_1[[#This Row],[Type]]="Expense", IF(Table1_1[[#This Row],[Amount]]&gt;Table1_1[[#This Row],[Monthly Budget]], "Over Budget", "OK"), "-")</f>
        <v>Over Budget</v>
      </c>
      <c r="J1083">
        <f>IF(Table1_1[[#This Row],[Type]]="Income", Table1_1[[#This Row],[Amount]], -Table1_1[[#This Row],[Amount]])</f>
        <v>-545.48</v>
      </c>
    </row>
    <row r="1084" spans="1:10" x14ac:dyDescent="0.25">
      <c r="A1084" s="1">
        <v>45149</v>
      </c>
      <c r="B1084" t="s">
        <v>1099</v>
      </c>
      <c r="C1084" t="s">
        <v>6</v>
      </c>
      <c r="D1084" s="2">
        <v>1730.61</v>
      </c>
      <c r="E1084" t="s">
        <v>7</v>
      </c>
      <c r="F1084" t="s">
        <v>1562</v>
      </c>
      <c r="G1084">
        <v>2023</v>
      </c>
      <c r="H1084">
        <f>IF(Table1_1[[#This Row],[Type]]="Expense", _xlfn.XLOOKUP(Table1_1[[#This Row],[Category]], Budget_Ref[Category], Budget_Ref[Monthly Budget], 0), 0)</f>
        <v>500</v>
      </c>
      <c r="I1084" t="str">
        <f>IF(Table1_1[[#This Row],[Type]]="Expense", IF(Table1_1[[#This Row],[Amount]]&gt;Table1_1[[#This Row],[Monthly Budget]], "Over Budget", "OK"), "-")</f>
        <v>Over Budget</v>
      </c>
      <c r="J1084">
        <f>IF(Table1_1[[#This Row],[Type]]="Income", Table1_1[[#This Row],[Amount]], -Table1_1[[#This Row],[Amount]])</f>
        <v>-1730.61</v>
      </c>
    </row>
    <row r="1085" spans="1:10" x14ac:dyDescent="0.25">
      <c r="A1085" s="1">
        <v>45154</v>
      </c>
      <c r="B1085" t="s">
        <v>1100</v>
      </c>
      <c r="C1085" t="s">
        <v>6</v>
      </c>
      <c r="D1085" s="2">
        <v>953.45</v>
      </c>
      <c r="E1085" t="s">
        <v>7</v>
      </c>
      <c r="F1085" t="s">
        <v>1562</v>
      </c>
      <c r="G1085">
        <v>2023</v>
      </c>
      <c r="H1085">
        <f>IF(Table1_1[[#This Row],[Type]]="Expense", _xlfn.XLOOKUP(Table1_1[[#This Row],[Category]], Budget_Ref[Category], Budget_Ref[Monthly Budget], 0), 0)</f>
        <v>500</v>
      </c>
      <c r="I1085" t="str">
        <f>IF(Table1_1[[#This Row],[Type]]="Expense", IF(Table1_1[[#This Row],[Amount]]&gt;Table1_1[[#This Row],[Monthly Budget]], "Over Budget", "OK"), "-")</f>
        <v>Over Budget</v>
      </c>
      <c r="J1085">
        <f>IF(Table1_1[[#This Row],[Type]]="Income", Table1_1[[#This Row],[Amount]], -Table1_1[[#This Row],[Amount]])</f>
        <v>-953.45</v>
      </c>
    </row>
    <row r="1086" spans="1:10" x14ac:dyDescent="0.25">
      <c r="A1086" s="1">
        <v>45155</v>
      </c>
      <c r="B1086" t="s">
        <v>1101</v>
      </c>
      <c r="C1086" t="s">
        <v>13</v>
      </c>
      <c r="D1086" s="2">
        <v>569</v>
      </c>
      <c r="E1086" t="s">
        <v>14</v>
      </c>
      <c r="F1086" t="s">
        <v>1562</v>
      </c>
      <c r="G1086">
        <v>2023</v>
      </c>
      <c r="H1086">
        <f>IF(Table1_1[[#This Row],[Type]]="Expense", _xlfn.XLOOKUP(Table1_1[[#This Row],[Category]], Budget_Ref[Category], Budget_Ref[Monthly Budget], 0), 0)</f>
        <v>0</v>
      </c>
      <c r="I1086" t="str">
        <f>IF(Table1_1[[#This Row],[Type]]="Expense", IF(Table1_1[[#This Row],[Amount]]&gt;Table1_1[[#This Row],[Monthly Budget]], "Over Budget", "OK"), "-")</f>
        <v>-</v>
      </c>
      <c r="J1086">
        <f>IF(Table1_1[[#This Row],[Type]]="Income", Table1_1[[#This Row],[Amount]], -Table1_1[[#This Row],[Amount]])</f>
        <v>569</v>
      </c>
    </row>
    <row r="1087" spans="1:10" x14ac:dyDescent="0.25">
      <c r="A1087" s="1">
        <v>45155</v>
      </c>
      <c r="B1087" t="s">
        <v>1102</v>
      </c>
      <c r="C1087" t="s">
        <v>35</v>
      </c>
      <c r="D1087" s="2">
        <v>1428.35</v>
      </c>
      <c r="E1087" t="s">
        <v>7</v>
      </c>
      <c r="F1087" t="s">
        <v>1562</v>
      </c>
      <c r="G1087">
        <v>2023</v>
      </c>
      <c r="H1087">
        <f>IF(Table1_1[[#This Row],[Type]]="Expense", _xlfn.XLOOKUP(Table1_1[[#This Row],[Category]], Budget_Ref[Category], Budget_Ref[Monthly Budget], 0), 0)</f>
        <v>200</v>
      </c>
      <c r="I1087" t="str">
        <f>IF(Table1_1[[#This Row],[Type]]="Expense", IF(Table1_1[[#This Row],[Amount]]&gt;Table1_1[[#This Row],[Monthly Budget]], "Over Budget", "OK"), "-")</f>
        <v>Over Budget</v>
      </c>
      <c r="J1087">
        <f>IF(Table1_1[[#This Row],[Type]]="Income", Table1_1[[#This Row],[Amount]], -Table1_1[[#This Row],[Amount]])</f>
        <v>-1428.35</v>
      </c>
    </row>
    <row r="1088" spans="1:10" x14ac:dyDescent="0.25">
      <c r="A1088" s="1">
        <v>45159</v>
      </c>
      <c r="B1088" t="s">
        <v>1103</v>
      </c>
      <c r="C1088" t="s">
        <v>35</v>
      </c>
      <c r="D1088" s="2">
        <v>853.38</v>
      </c>
      <c r="E1088" t="s">
        <v>7</v>
      </c>
      <c r="F1088" t="s">
        <v>1562</v>
      </c>
      <c r="G1088">
        <v>2023</v>
      </c>
      <c r="H1088">
        <f>IF(Table1_1[[#This Row],[Type]]="Expense", _xlfn.XLOOKUP(Table1_1[[#This Row],[Category]], Budget_Ref[Category], Budget_Ref[Monthly Budget], 0), 0)</f>
        <v>200</v>
      </c>
      <c r="I1088" t="str">
        <f>IF(Table1_1[[#This Row],[Type]]="Expense", IF(Table1_1[[#This Row],[Amount]]&gt;Table1_1[[#This Row],[Monthly Budget]], "Over Budget", "OK"), "-")</f>
        <v>Over Budget</v>
      </c>
      <c r="J1088">
        <f>IF(Table1_1[[#This Row],[Type]]="Income", Table1_1[[#This Row],[Amount]], -Table1_1[[#This Row],[Amount]])</f>
        <v>-853.38</v>
      </c>
    </row>
    <row r="1089" spans="1:10" x14ac:dyDescent="0.25">
      <c r="A1089" s="1">
        <v>45160</v>
      </c>
      <c r="B1089" t="s">
        <v>1104</v>
      </c>
      <c r="C1089" t="s">
        <v>25</v>
      </c>
      <c r="D1089" s="2">
        <v>923.41</v>
      </c>
      <c r="E1089" t="s">
        <v>7</v>
      </c>
      <c r="F1089" t="s">
        <v>1562</v>
      </c>
      <c r="G1089">
        <v>2023</v>
      </c>
      <c r="H1089">
        <f>IF(Table1_1[[#This Row],[Type]]="Expense", _xlfn.XLOOKUP(Table1_1[[#This Row],[Category]], Budget_Ref[Category], Budget_Ref[Monthly Budget], 0), 0)</f>
        <v>150</v>
      </c>
      <c r="I1089" t="str">
        <f>IF(Table1_1[[#This Row],[Type]]="Expense", IF(Table1_1[[#This Row],[Amount]]&gt;Table1_1[[#This Row],[Monthly Budget]], "Over Budget", "OK"), "-")</f>
        <v>Over Budget</v>
      </c>
      <c r="J1089">
        <f>IF(Table1_1[[#This Row],[Type]]="Income", Table1_1[[#This Row],[Amount]], -Table1_1[[#This Row],[Amount]])</f>
        <v>-923.41</v>
      </c>
    </row>
    <row r="1090" spans="1:10" x14ac:dyDescent="0.25">
      <c r="A1090" s="1">
        <v>45161</v>
      </c>
      <c r="B1090" t="s">
        <v>1105</v>
      </c>
      <c r="C1090" t="s">
        <v>35</v>
      </c>
      <c r="D1090" s="2">
        <v>1357.62</v>
      </c>
      <c r="E1090" t="s">
        <v>7</v>
      </c>
      <c r="F1090" t="s">
        <v>1562</v>
      </c>
      <c r="G1090">
        <v>2023</v>
      </c>
      <c r="H1090">
        <f>IF(Table1_1[[#This Row],[Type]]="Expense", _xlfn.XLOOKUP(Table1_1[[#This Row],[Category]], Budget_Ref[Category], Budget_Ref[Monthly Budget], 0), 0)</f>
        <v>200</v>
      </c>
      <c r="I1090" t="str">
        <f>IF(Table1_1[[#This Row],[Type]]="Expense", IF(Table1_1[[#This Row],[Amount]]&gt;Table1_1[[#This Row],[Monthly Budget]], "Over Budget", "OK"), "-")</f>
        <v>Over Budget</v>
      </c>
      <c r="J1090">
        <f>IF(Table1_1[[#This Row],[Type]]="Income", Table1_1[[#This Row],[Amount]], -Table1_1[[#This Row],[Amount]])</f>
        <v>-1357.62</v>
      </c>
    </row>
    <row r="1091" spans="1:10" x14ac:dyDescent="0.25">
      <c r="A1091" s="1">
        <v>45163</v>
      </c>
      <c r="B1091" t="s">
        <v>1106</v>
      </c>
      <c r="C1091" t="s">
        <v>17</v>
      </c>
      <c r="D1091" s="2">
        <v>1173.1300000000001</v>
      </c>
      <c r="E1091" t="s">
        <v>7</v>
      </c>
      <c r="F1091" t="s">
        <v>1562</v>
      </c>
      <c r="G1091">
        <v>2023</v>
      </c>
      <c r="H1091">
        <f>IF(Table1_1[[#This Row],[Type]]="Expense", _xlfn.XLOOKUP(Table1_1[[#This Row],[Category]], Budget_Ref[Category], Budget_Ref[Monthly Budget], 0), 0)</f>
        <v>300</v>
      </c>
      <c r="I1091" t="str">
        <f>IF(Table1_1[[#This Row],[Type]]="Expense", IF(Table1_1[[#This Row],[Amount]]&gt;Table1_1[[#This Row],[Monthly Budget]], "Over Budget", "OK"), "-")</f>
        <v>Over Budget</v>
      </c>
      <c r="J1091">
        <f>IF(Table1_1[[#This Row],[Type]]="Income", Table1_1[[#This Row],[Amount]], -Table1_1[[#This Row],[Amount]])</f>
        <v>-1173.1300000000001</v>
      </c>
    </row>
    <row r="1092" spans="1:10" x14ac:dyDescent="0.25">
      <c r="A1092" s="1">
        <v>45165</v>
      </c>
      <c r="B1092" t="s">
        <v>1107</v>
      </c>
      <c r="C1092" t="s">
        <v>20</v>
      </c>
      <c r="D1092" s="2">
        <v>2815</v>
      </c>
      <c r="E1092" t="s">
        <v>14</v>
      </c>
      <c r="F1092" t="s">
        <v>1562</v>
      </c>
      <c r="G1092">
        <v>2023</v>
      </c>
      <c r="H1092">
        <f>IF(Table1_1[[#This Row],[Type]]="Expense", _xlfn.XLOOKUP(Table1_1[[#This Row],[Category]], Budget_Ref[Category], Budget_Ref[Monthly Budget], 0), 0)</f>
        <v>0</v>
      </c>
      <c r="I1092" t="str">
        <f>IF(Table1_1[[#This Row],[Type]]="Expense", IF(Table1_1[[#This Row],[Amount]]&gt;Table1_1[[#This Row],[Monthly Budget]], "Over Budget", "OK"), "-")</f>
        <v>-</v>
      </c>
      <c r="J1092">
        <f>IF(Table1_1[[#This Row],[Type]]="Income", Table1_1[[#This Row],[Amount]], -Table1_1[[#This Row],[Amount]])</f>
        <v>2815</v>
      </c>
    </row>
    <row r="1093" spans="1:10" x14ac:dyDescent="0.25">
      <c r="A1093" s="1">
        <v>45168</v>
      </c>
      <c r="B1093" t="s">
        <v>1108</v>
      </c>
      <c r="C1093" t="s">
        <v>11</v>
      </c>
      <c r="D1093" s="2">
        <v>968.66</v>
      </c>
      <c r="E1093" t="s">
        <v>7</v>
      </c>
      <c r="F1093" t="s">
        <v>1562</v>
      </c>
      <c r="G1093">
        <v>2023</v>
      </c>
      <c r="H1093">
        <f>IF(Table1_1[[#This Row],[Type]]="Expense", _xlfn.XLOOKUP(Table1_1[[#This Row],[Category]], Budget_Ref[Category], Budget_Ref[Monthly Budget], 0), 0)</f>
        <v>1500</v>
      </c>
      <c r="I1093" t="str">
        <f>IF(Table1_1[[#This Row],[Type]]="Expense", IF(Table1_1[[#This Row],[Amount]]&gt;Table1_1[[#This Row],[Monthly Budget]], "Over Budget", "OK"), "-")</f>
        <v>OK</v>
      </c>
      <c r="J1093">
        <f>IF(Table1_1[[#This Row],[Type]]="Income", Table1_1[[#This Row],[Amount]], -Table1_1[[#This Row],[Amount]])</f>
        <v>-968.66</v>
      </c>
    </row>
    <row r="1094" spans="1:10" x14ac:dyDescent="0.25">
      <c r="A1094" s="1">
        <v>45168</v>
      </c>
      <c r="B1094" t="s">
        <v>1109</v>
      </c>
      <c r="C1094" t="s">
        <v>35</v>
      </c>
      <c r="D1094" s="2">
        <v>1284.78</v>
      </c>
      <c r="E1094" t="s">
        <v>7</v>
      </c>
      <c r="F1094" t="s">
        <v>1562</v>
      </c>
      <c r="G1094">
        <v>2023</v>
      </c>
      <c r="H1094">
        <f>IF(Table1_1[[#This Row],[Type]]="Expense", _xlfn.XLOOKUP(Table1_1[[#This Row],[Category]], Budget_Ref[Category], Budget_Ref[Monthly Budget], 0), 0)</f>
        <v>200</v>
      </c>
      <c r="I1094" t="str">
        <f>IF(Table1_1[[#This Row],[Type]]="Expense", IF(Table1_1[[#This Row],[Amount]]&gt;Table1_1[[#This Row],[Monthly Budget]], "Over Budget", "OK"), "-")</f>
        <v>Over Budget</v>
      </c>
      <c r="J1094">
        <f>IF(Table1_1[[#This Row],[Type]]="Income", Table1_1[[#This Row],[Amount]], -Table1_1[[#This Row],[Amount]])</f>
        <v>-1284.78</v>
      </c>
    </row>
    <row r="1095" spans="1:10" x14ac:dyDescent="0.25">
      <c r="A1095" s="1">
        <v>45168</v>
      </c>
      <c r="B1095" t="s">
        <v>1110</v>
      </c>
      <c r="C1095" t="s">
        <v>35</v>
      </c>
      <c r="D1095" s="2">
        <v>1315.68</v>
      </c>
      <c r="E1095" t="s">
        <v>7</v>
      </c>
      <c r="F1095" t="s">
        <v>1562</v>
      </c>
      <c r="G1095">
        <v>2023</v>
      </c>
      <c r="H1095">
        <f>IF(Table1_1[[#This Row],[Type]]="Expense", _xlfn.XLOOKUP(Table1_1[[#This Row],[Category]], Budget_Ref[Category], Budget_Ref[Monthly Budget], 0), 0)</f>
        <v>200</v>
      </c>
      <c r="I1095" t="str">
        <f>IF(Table1_1[[#This Row],[Type]]="Expense", IF(Table1_1[[#This Row],[Amount]]&gt;Table1_1[[#This Row],[Monthly Budget]], "Over Budget", "OK"), "-")</f>
        <v>Over Budget</v>
      </c>
      <c r="J1095">
        <f>IF(Table1_1[[#This Row],[Type]]="Income", Table1_1[[#This Row],[Amount]], -Table1_1[[#This Row],[Amount]])</f>
        <v>-1315.68</v>
      </c>
    </row>
    <row r="1096" spans="1:10" x14ac:dyDescent="0.25">
      <c r="A1096" s="1">
        <v>45168</v>
      </c>
      <c r="B1096" t="s">
        <v>1111</v>
      </c>
      <c r="C1096" t="s">
        <v>35</v>
      </c>
      <c r="D1096" s="2">
        <v>384.84</v>
      </c>
      <c r="E1096" t="s">
        <v>7</v>
      </c>
      <c r="F1096" t="s">
        <v>1562</v>
      </c>
      <c r="G1096">
        <v>2023</v>
      </c>
      <c r="H1096">
        <f>IF(Table1_1[[#This Row],[Type]]="Expense", _xlfn.XLOOKUP(Table1_1[[#This Row],[Category]], Budget_Ref[Category], Budget_Ref[Monthly Budget], 0), 0)</f>
        <v>200</v>
      </c>
      <c r="I1096" t="str">
        <f>IF(Table1_1[[#This Row],[Type]]="Expense", IF(Table1_1[[#This Row],[Amount]]&gt;Table1_1[[#This Row],[Monthly Budget]], "Over Budget", "OK"), "-")</f>
        <v>Over Budget</v>
      </c>
      <c r="J1096">
        <f>IF(Table1_1[[#This Row],[Type]]="Income", Table1_1[[#This Row],[Amount]], -Table1_1[[#This Row],[Amount]])</f>
        <v>-384.84</v>
      </c>
    </row>
    <row r="1097" spans="1:10" x14ac:dyDescent="0.25">
      <c r="A1097" s="1">
        <v>45170</v>
      </c>
      <c r="B1097" t="s">
        <v>1112</v>
      </c>
      <c r="C1097" t="s">
        <v>22</v>
      </c>
      <c r="D1097" s="2">
        <v>1800.38</v>
      </c>
      <c r="E1097" t="s">
        <v>7</v>
      </c>
      <c r="F1097" t="s">
        <v>1563</v>
      </c>
      <c r="G1097">
        <v>2023</v>
      </c>
      <c r="H1097">
        <f>IF(Table1_1[[#This Row],[Type]]="Expense", _xlfn.XLOOKUP(Table1_1[[#This Row],[Category]], Budget_Ref[Category], Budget_Ref[Monthly Budget], 0), 0)</f>
        <v>200</v>
      </c>
      <c r="I1097" t="str">
        <f>IF(Table1_1[[#This Row],[Type]]="Expense", IF(Table1_1[[#This Row],[Amount]]&gt;Table1_1[[#This Row],[Monthly Budget]], "Over Budget", "OK"), "-")</f>
        <v>Over Budget</v>
      </c>
      <c r="J1097">
        <f>IF(Table1_1[[#This Row],[Type]]="Income", Table1_1[[#This Row],[Amount]], -Table1_1[[#This Row],[Amount]])</f>
        <v>-1800.38</v>
      </c>
    </row>
    <row r="1098" spans="1:10" x14ac:dyDescent="0.25">
      <c r="A1098" s="1">
        <v>45170</v>
      </c>
      <c r="B1098" t="s">
        <v>1113</v>
      </c>
      <c r="C1098" t="s">
        <v>17</v>
      </c>
      <c r="D1098" s="2">
        <v>1324.46</v>
      </c>
      <c r="E1098" t="s">
        <v>7</v>
      </c>
      <c r="F1098" t="s">
        <v>1563</v>
      </c>
      <c r="G1098">
        <v>2023</v>
      </c>
      <c r="H1098">
        <f>IF(Table1_1[[#This Row],[Type]]="Expense", _xlfn.XLOOKUP(Table1_1[[#This Row],[Category]], Budget_Ref[Category], Budget_Ref[Monthly Budget], 0), 0)</f>
        <v>300</v>
      </c>
      <c r="I1098" t="str">
        <f>IF(Table1_1[[#This Row],[Type]]="Expense", IF(Table1_1[[#This Row],[Amount]]&gt;Table1_1[[#This Row],[Monthly Budget]], "Over Budget", "OK"), "-")</f>
        <v>Over Budget</v>
      </c>
      <c r="J1098">
        <f>IF(Table1_1[[#This Row],[Type]]="Income", Table1_1[[#This Row],[Amount]], -Table1_1[[#This Row],[Amount]])</f>
        <v>-1324.46</v>
      </c>
    </row>
    <row r="1099" spans="1:10" x14ac:dyDescent="0.25">
      <c r="A1099" s="1">
        <v>45172</v>
      </c>
      <c r="B1099" t="s">
        <v>1114</v>
      </c>
      <c r="C1099" t="s">
        <v>6</v>
      </c>
      <c r="D1099" s="2">
        <v>1314.25</v>
      </c>
      <c r="E1099" t="s">
        <v>7</v>
      </c>
      <c r="F1099" t="s">
        <v>1563</v>
      </c>
      <c r="G1099">
        <v>2023</v>
      </c>
      <c r="H1099">
        <f>IF(Table1_1[[#This Row],[Type]]="Expense", _xlfn.XLOOKUP(Table1_1[[#This Row],[Category]], Budget_Ref[Category], Budget_Ref[Monthly Budget], 0), 0)</f>
        <v>500</v>
      </c>
      <c r="I1099" t="str">
        <f>IF(Table1_1[[#This Row],[Type]]="Expense", IF(Table1_1[[#This Row],[Amount]]&gt;Table1_1[[#This Row],[Monthly Budget]], "Over Budget", "OK"), "-")</f>
        <v>Over Budget</v>
      </c>
      <c r="J1099">
        <f>IF(Table1_1[[#This Row],[Type]]="Income", Table1_1[[#This Row],[Amount]], -Table1_1[[#This Row],[Amount]])</f>
        <v>-1314.25</v>
      </c>
    </row>
    <row r="1100" spans="1:10" x14ac:dyDescent="0.25">
      <c r="A1100" s="1">
        <v>45173</v>
      </c>
      <c r="B1100" t="s">
        <v>1115</v>
      </c>
      <c r="C1100" t="s">
        <v>35</v>
      </c>
      <c r="D1100" s="2">
        <v>1814.75</v>
      </c>
      <c r="E1100" t="s">
        <v>7</v>
      </c>
      <c r="F1100" t="s">
        <v>1563</v>
      </c>
      <c r="G1100">
        <v>2023</v>
      </c>
      <c r="H1100">
        <f>IF(Table1_1[[#This Row],[Type]]="Expense", _xlfn.XLOOKUP(Table1_1[[#This Row],[Category]], Budget_Ref[Category], Budget_Ref[Monthly Budget], 0), 0)</f>
        <v>200</v>
      </c>
      <c r="I1100" t="str">
        <f>IF(Table1_1[[#This Row],[Type]]="Expense", IF(Table1_1[[#This Row],[Amount]]&gt;Table1_1[[#This Row],[Monthly Budget]], "Over Budget", "OK"), "-")</f>
        <v>Over Budget</v>
      </c>
      <c r="J1100">
        <f>IF(Table1_1[[#This Row],[Type]]="Income", Table1_1[[#This Row],[Amount]], -Table1_1[[#This Row],[Amount]])</f>
        <v>-1814.75</v>
      </c>
    </row>
    <row r="1101" spans="1:10" x14ac:dyDescent="0.25">
      <c r="A1101" s="1">
        <v>45173</v>
      </c>
      <c r="B1101" t="s">
        <v>1116</v>
      </c>
      <c r="C1101" t="s">
        <v>6</v>
      </c>
      <c r="D1101" s="2">
        <v>1170.22</v>
      </c>
      <c r="E1101" t="s">
        <v>7</v>
      </c>
      <c r="F1101" t="s">
        <v>1563</v>
      </c>
      <c r="G1101">
        <v>2023</v>
      </c>
      <c r="H1101">
        <f>IF(Table1_1[[#This Row],[Type]]="Expense", _xlfn.XLOOKUP(Table1_1[[#This Row],[Category]], Budget_Ref[Category], Budget_Ref[Monthly Budget], 0), 0)</f>
        <v>500</v>
      </c>
      <c r="I1101" t="str">
        <f>IF(Table1_1[[#This Row],[Type]]="Expense", IF(Table1_1[[#This Row],[Amount]]&gt;Table1_1[[#This Row],[Monthly Budget]], "Over Budget", "OK"), "-")</f>
        <v>Over Budget</v>
      </c>
      <c r="J1101">
        <f>IF(Table1_1[[#This Row],[Type]]="Income", Table1_1[[#This Row],[Amount]], -Table1_1[[#This Row],[Amount]])</f>
        <v>-1170.22</v>
      </c>
    </row>
    <row r="1102" spans="1:10" x14ac:dyDescent="0.25">
      <c r="A1102" s="1">
        <v>45173</v>
      </c>
      <c r="B1102" t="s">
        <v>1117</v>
      </c>
      <c r="C1102" t="s">
        <v>22</v>
      </c>
      <c r="D1102" s="2">
        <v>692.9</v>
      </c>
      <c r="E1102" t="s">
        <v>7</v>
      </c>
      <c r="F1102" t="s">
        <v>1563</v>
      </c>
      <c r="G1102">
        <v>2023</v>
      </c>
      <c r="H1102">
        <f>IF(Table1_1[[#This Row],[Type]]="Expense", _xlfn.XLOOKUP(Table1_1[[#This Row],[Category]], Budget_Ref[Category], Budget_Ref[Monthly Budget], 0), 0)</f>
        <v>200</v>
      </c>
      <c r="I1102" t="str">
        <f>IF(Table1_1[[#This Row],[Type]]="Expense", IF(Table1_1[[#This Row],[Amount]]&gt;Table1_1[[#This Row],[Monthly Budget]], "Over Budget", "OK"), "-")</f>
        <v>Over Budget</v>
      </c>
      <c r="J1102">
        <f>IF(Table1_1[[#This Row],[Type]]="Income", Table1_1[[#This Row],[Amount]], -Table1_1[[#This Row],[Amount]])</f>
        <v>-692.9</v>
      </c>
    </row>
    <row r="1103" spans="1:10" x14ac:dyDescent="0.25">
      <c r="A1103" s="1">
        <v>45176</v>
      </c>
      <c r="B1103" t="s">
        <v>1118</v>
      </c>
      <c r="C1103" t="s">
        <v>27</v>
      </c>
      <c r="D1103" s="2">
        <v>1813.99</v>
      </c>
      <c r="E1103" t="s">
        <v>14</v>
      </c>
      <c r="F1103" t="s">
        <v>1563</v>
      </c>
      <c r="G1103">
        <v>2023</v>
      </c>
      <c r="H1103">
        <f>IF(Table1_1[[#This Row],[Type]]="Expense", _xlfn.XLOOKUP(Table1_1[[#This Row],[Category]], Budget_Ref[Category], Budget_Ref[Monthly Budget], 0), 0)</f>
        <v>0</v>
      </c>
      <c r="I1103" t="str">
        <f>IF(Table1_1[[#This Row],[Type]]="Expense", IF(Table1_1[[#This Row],[Amount]]&gt;Table1_1[[#This Row],[Monthly Budget]], "Over Budget", "OK"), "-")</f>
        <v>-</v>
      </c>
      <c r="J1103">
        <f>IF(Table1_1[[#This Row],[Type]]="Income", Table1_1[[#This Row],[Amount]], -Table1_1[[#This Row],[Amount]])</f>
        <v>1813.99</v>
      </c>
    </row>
    <row r="1104" spans="1:10" x14ac:dyDescent="0.25">
      <c r="A1104" s="1">
        <v>45179</v>
      </c>
      <c r="B1104" t="s">
        <v>1119</v>
      </c>
      <c r="C1104" t="s">
        <v>35</v>
      </c>
      <c r="D1104" s="2">
        <v>1692.38</v>
      </c>
      <c r="E1104" t="s">
        <v>7</v>
      </c>
      <c r="F1104" t="s">
        <v>1563</v>
      </c>
      <c r="G1104">
        <v>2023</v>
      </c>
      <c r="H1104">
        <f>IF(Table1_1[[#This Row],[Type]]="Expense", _xlfn.XLOOKUP(Table1_1[[#This Row],[Category]], Budget_Ref[Category], Budget_Ref[Monthly Budget], 0), 0)</f>
        <v>200</v>
      </c>
      <c r="I1104" t="str">
        <f>IF(Table1_1[[#This Row],[Type]]="Expense", IF(Table1_1[[#This Row],[Amount]]&gt;Table1_1[[#This Row],[Monthly Budget]], "Over Budget", "OK"), "-")</f>
        <v>Over Budget</v>
      </c>
      <c r="J1104">
        <f>IF(Table1_1[[#This Row],[Type]]="Income", Table1_1[[#This Row],[Amount]], -Table1_1[[#This Row],[Amount]])</f>
        <v>-1692.38</v>
      </c>
    </row>
    <row r="1105" spans="1:10" x14ac:dyDescent="0.25">
      <c r="A1105" s="1">
        <v>45180</v>
      </c>
      <c r="B1105" t="s">
        <v>1120</v>
      </c>
      <c r="C1105" t="s">
        <v>9</v>
      </c>
      <c r="D1105" s="2">
        <v>594.63</v>
      </c>
      <c r="E1105" t="s">
        <v>7</v>
      </c>
      <c r="F1105" t="s">
        <v>1563</v>
      </c>
      <c r="G1105">
        <v>2023</v>
      </c>
      <c r="H1105">
        <f>IF(Table1_1[[#This Row],[Type]]="Expense", _xlfn.XLOOKUP(Table1_1[[#This Row],[Category]], Budget_Ref[Category], Budget_Ref[Monthly Budget], 0), 0)</f>
        <v>150</v>
      </c>
      <c r="I1105" t="str">
        <f>IF(Table1_1[[#This Row],[Type]]="Expense", IF(Table1_1[[#This Row],[Amount]]&gt;Table1_1[[#This Row],[Monthly Budget]], "Over Budget", "OK"), "-")</f>
        <v>Over Budget</v>
      </c>
      <c r="J1105">
        <f>IF(Table1_1[[#This Row],[Type]]="Income", Table1_1[[#This Row],[Amount]], -Table1_1[[#This Row],[Amount]])</f>
        <v>-594.63</v>
      </c>
    </row>
    <row r="1106" spans="1:10" x14ac:dyDescent="0.25">
      <c r="A1106" s="1">
        <v>45180</v>
      </c>
      <c r="B1106" t="s">
        <v>1121</v>
      </c>
      <c r="C1106" t="s">
        <v>35</v>
      </c>
      <c r="D1106" s="2">
        <v>1453.12</v>
      </c>
      <c r="E1106" t="s">
        <v>7</v>
      </c>
      <c r="F1106" t="s">
        <v>1563</v>
      </c>
      <c r="G1106">
        <v>2023</v>
      </c>
      <c r="H1106">
        <f>IF(Table1_1[[#This Row],[Type]]="Expense", _xlfn.XLOOKUP(Table1_1[[#This Row],[Category]], Budget_Ref[Category], Budget_Ref[Monthly Budget], 0), 0)</f>
        <v>200</v>
      </c>
      <c r="I1106" t="str">
        <f>IF(Table1_1[[#This Row],[Type]]="Expense", IF(Table1_1[[#This Row],[Amount]]&gt;Table1_1[[#This Row],[Monthly Budget]], "Over Budget", "OK"), "-")</f>
        <v>Over Budget</v>
      </c>
      <c r="J1106">
        <f>IF(Table1_1[[#This Row],[Type]]="Income", Table1_1[[#This Row],[Amount]], -Table1_1[[#This Row],[Amount]])</f>
        <v>-1453.12</v>
      </c>
    </row>
    <row r="1107" spans="1:10" x14ac:dyDescent="0.25">
      <c r="A1107" s="1">
        <v>45181</v>
      </c>
      <c r="B1107" t="s">
        <v>1122</v>
      </c>
      <c r="C1107" t="s">
        <v>9</v>
      </c>
      <c r="D1107" s="2">
        <v>1894.38</v>
      </c>
      <c r="E1107" t="s">
        <v>7</v>
      </c>
      <c r="F1107" t="s">
        <v>1563</v>
      </c>
      <c r="G1107">
        <v>2023</v>
      </c>
      <c r="H1107">
        <f>IF(Table1_1[[#This Row],[Type]]="Expense", _xlfn.XLOOKUP(Table1_1[[#This Row],[Category]], Budget_Ref[Category], Budget_Ref[Monthly Budget], 0), 0)</f>
        <v>150</v>
      </c>
      <c r="I1107" t="str">
        <f>IF(Table1_1[[#This Row],[Type]]="Expense", IF(Table1_1[[#This Row],[Amount]]&gt;Table1_1[[#This Row],[Monthly Budget]], "Over Budget", "OK"), "-")</f>
        <v>Over Budget</v>
      </c>
      <c r="J1107">
        <f>IF(Table1_1[[#This Row],[Type]]="Income", Table1_1[[#This Row],[Amount]], -Table1_1[[#This Row],[Amount]])</f>
        <v>-1894.38</v>
      </c>
    </row>
    <row r="1108" spans="1:10" x14ac:dyDescent="0.25">
      <c r="A1108" s="1">
        <v>45181</v>
      </c>
      <c r="B1108" t="s">
        <v>1123</v>
      </c>
      <c r="C1108" t="s">
        <v>11</v>
      </c>
      <c r="D1108" s="2">
        <v>452.28</v>
      </c>
      <c r="E1108" t="s">
        <v>7</v>
      </c>
      <c r="F1108" t="s">
        <v>1563</v>
      </c>
      <c r="G1108">
        <v>2023</v>
      </c>
      <c r="H1108">
        <f>IF(Table1_1[[#This Row],[Type]]="Expense", _xlfn.XLOOKUP(Table1_1[[#This Row],[Category]], Budget_Ref[Category], Budget_Ref[Monthly Budget], 0), 0)</f>
        <v>1500</v>
      </c>
      <c r="I1108" t="str">
        <f>IF(Table1_1[[#This Row],[Type]]="Expense", IF(Table1_1[[#This Row],[Amount]]&gt;Table1_1[[#This Row],[Monthly Budget]], "Over Budget", "OK"), "-")</f>
        <v>OK</v>
      </c>
      <c r="J1108">
        <f>IF(Table1_1[[#This Row],[Type]]="Income", Table1_1[[#This Row],[Amount]], -Table1_1[[#This Row],[Amount]])</f>
        <v>-452.28</v>
      </c>
    </row>
    <row r="1109" spans="1:10" x14ac:dyDescent="0.25">
      <c r="A1109" s="1">
        <v>45182</v>
      </c>
      <c r="B1109" t="s">
        <v>1124</v>
      </c>
      <c r="C1109" t="s">
        <v>35</v>
      </c>
      <c r="D1109" s="2">
        <v>846.74</v>
      </c>
      <c r="E1109" t="s">
        <v>7</v>
      </c>
      <c r="F1109" t="s">
        <v>1563</v>
      </c>
      <c r="G1109">
        <v>2023</v>
      </c>
      <c r="H1109">
        <f>IF(Table1_1[[#This Row],[Type]]="Expense", _xlfn.XLOOKUP(Table1_1[[#This Row],[Category]], Budget_Ref[Category], Budget_Ref[Monthly Budget], 0), 0)</f>
        <v>200</v>
      </c>
      <c r="I1109" t="str">
        <f>IF(Table1_1[[#This Row],[Type]]="Expense", IF(Table1_1[[#This Row],[Amount]]&gt;Table1_1[[#This Row],[Monthly Budget]], "Over Budget", "OK"), "-")</f>
        <v>Over Budget</v>
      </c>
      <c r="J1109">
        <f>IF(Table1_1[[#This Row],[Type]]="Income", Table1_1[[#This Row],[Amount]], -Table1_1[[#This Row],[Amount]])</f>
        <v>-846.74</v>
      </c>
    </row>
    <row r="1110" spans="1:10" x14ac:dyDescent="0.25">
      <c r="A1110" s="1">
        <v>45183</v>
      </c>
      <c r="B1110" t="s">
        <v>1125</v>
      </c>
      <c r="C1110" t="s">
        <v>25</v>
      </c>
      <c r="D1110" s="2">
        <v>528.51</v>
      </c>
      <c r="E1110" t="s">
        <v>7</v>
      </c>
      <c r="F1110" t="s">
        <v>1563</v>
      </c>
      <c r="G1110">
        <v>2023</v>
      </c>
      <c r="H1110">
        <f>IF(Table1_1[[#This Row],[Type]]="Expense", _xlfn.XLOOKUP(Table1_1[[#This Row],[Category]], Budget_Ref[Category], Budget_Ref[Monthly Budget], 0), 0)</f>
        <v>150</v>
      </c>
      <c r="I1110" t="str">
        <f>IF(Table1_1[[#This Row],[Type]]="Expense", IF(Table1_1[[#This Row],[Amount]]&gt;Table1_1[[#This Row],[Monthly Budget]], "Over Budget", "OK"), "-")</f>
        <v>Over Budget</v>
      </c>
      <c r="J1110">
        <f>IF(Table1_1[[#This Row],[Type]]="Income", Table1_1[[#This Row],[Amount]], -Table1_1[[#This Row],[Amount]])</f>
        <v>-528.51</v>
      </c>
    </row>
    <row r="1111" spans="1:10" x14ac:dyDescent="0.25">
      <c r="A1111" s="1">
        <v>45183</v>
      </c>
      <c r="B1111" t="s">
        <v>1126</v>
      </c>
      <c r="C1111" t="s">
        <v>11</v>
      </c>
      <c r="D1111" s="2">
        <v>946.37</v>
      </c>
      <c r="E1111" t="s">
        <v>7</v>
      </c>
      <c r="F1111" t="s">
        <v>1563</v>
      </c>
      <c r="G1111">
        <v>2023</v>
      </c>
      <c r="H1111">
        <f>IF(Table1_1[[#This Row],[Type]]="Expense", _xlfn.XLOOKUP(Table1_1[[#This Row],[Category]], Budget_Ref[Category], Budget_Ref[Monthly Budget], 0), 0)</f>
        <v>1500</v>
      </c>
      <c r="I1111" t="str">
        <f>IF(Table1_1[[#This Row],[Type]]="Expense", IF(Table1_1[[#This Row],[Amount]]&gt;Table1_1[[#This Row],[Monthly Budget]], "Over Budget", "OK"), "-")</f>
        <v>OK</v>
      </c>
      <c r="J1111">
        <f>IF(Table1_1[[#This Row],[Type]]="Income", Table1_1[[#This Row],[Amount]], -Table1_1[[#This Row],[Amount]])</f>
        <v>-946.37</v>
      </c>
    </row>
    <row r="1112" spans="1:10" x14ac:dyDescent="0.25">
      <c r="A1112" s="1">
        <v>45183</v>
      </c>
      <c r="B1112" t="s">
        <v>1127</v>
      </c>
      <c r="C1112" t="s">
        <v>11</v>
      </c>
      <c r="D1112" s="2">
        <v>949.72</v>
      </c>
      <c r="E1112" t="s">
        <v>7</v>
      </c>
      <c r="F1112" t="s">
        <v>1563</v>
      </c>
      <c r="G1112">
        <v>2023</v>
      </c>
      <c r="H1112">
        <f>IF(Table1_1[[#This Row],[Type]]="Expense", _xlfn.XLOOKUP(Table1_1[[#This Row],[Category]], Budget_Ref[Category], Budget_Ref[Monthly Budget], 0), 0)</f>
        <v>1500</v>
      </c>
      <c r="I1112" t="str">
        <f>IF(Table1_1[[#This Row],[Type]]="Expense", IF(Table1_1[[#This Row],[Amount]]&gt;Table1_1[[#This Row],[Monthly Budget]], "Over Budget", "OK"), "-")</f>
        <v>OK</v>
      </c>
      <c r="J1112">
        <f>IF(Table1_1[[#This Row],[Type]]="Income", Table1_1[[#This Row],[Amount]], -Table1_1[[#This Row],[Amount]])</f>
        <v>-949.72</v>
      </c>
    </row>
    <row r="1113" spans="1:10" x14ac:dyDescent="0.25">
      <c r="A1113" s="1">
        <v>45184</v>
      </c>
      <c r="B1113" t="s">
        <v>1128</v>
      </c>
      <c r="C1113" t="s">
        <v>13</v>
      </c>
      <c r="D1113" s="2">
        <v>3626</v>
      </c>
      <c r="E1113" t="s">
        <v>14</v>
      </c>
      <c r="F1113" t="s">
        <v>1563</v>
      </c>
      <c r="G1113">
        <v>2023</v>
      </c>
      <c r="H1113">
        <f>IF(Table1_1[[#This Row],[Type]]="Expense", _xlfn.XLOOKUP(Table1_1[[#This Row],[Category]], Budget_Ref[Category], Budget_Ref[Monthly Budget], 0), 0)</f>
        <v>0</v>
      </c>
      <c r="I1113" t="str">
        <f>IF(Table1_1[[#This Row],[Type]]="Expense", IF(Table1_1[[#This Row],[Amount]]&gt;Table1_1[[#This Row],[Monthly Budget]], "Over Budget", "OK"), "-")</f>
        <v>-</v>
      </c>
      <c r="J1113">
        <f>IF(Table1_1[[#This Row],[Type]]="Income", Table1_1[[#This Row],[Amount]], -Table1_1[[#This Row],[Amount]])</f>
        <v>3626</v>
      </c>
    </row>
    <row r="1114" spans="1:10" x14ac:dyDescent="0.25">
      <c r="A1114" s="1">
        <v>45184</v>
      </c>
      <c r="B1114" t="s">
        <v>1129</v>
      </c>
      <c r="C1114" t="s">
        <v>17</v>
      </c>
      <c r="D1114" s="2">
        <v>117.58</v>
      </c>
      <c r="E1114" t="s">
        <v>7</v>
      </c>
      <c r="F1114" t="s">
        <v>1563</v>
      </c>
      <c r="G1114">
        <v>2023</v>
      </c>
      <c r="H1114">
        <f>IF(Table1_1[[#This Row],[Type]]="Expense", _xlfn.XLOOKUP(Table1_1[[#This Row],[Category]], Budget_Ref[Category], Budget_Ref[Monthly Budget], 0), 0)</f>
        <v>300</v>
      </c>
      <c r="I1114" t="str">
        <f>IF(Table1_1[[#This Row],[Type]]="Expense", IF(Table1_1[[#This Row],[Amount]]&gt;Table1_1[[#This Row],[Monthly Budget]], "Over Budget", "OK"), "-")</f>
        <v>OK</v>
      </c>
      <c r="J1114">
        <f>IF(Table1_1[[#This Row],[Type]]="Income", Table1_1[[#This Row],[Amount]], -Table1_1[[#This Row],[Amount]])</f>
        <v>-117.58</v>
      </c>
    </row>
    <row r="1115" spans="1:10" x14ac:dyDescent="0.25">
      <c r="A1115" s="1">
        <v>45185</v>
      </c>
      <c r="B1115" t="s">
        <v>1130</v>
      </c>
      <c r="C1115" t="s">
        <v>9</v>
      </c>
      <c r="D1115" s="2">
        <v>1984.77</v>
      </c>
      <c r="E1115" t="s">
        <v>7</v>
      </c>
      <c r="F1115" t="s">
        <v>1563</v>
      </c>
      <c r="G1115">
        <v>2023</v>
      </c>
      <c r="H1115">
        <f>IF(Table1_1[[#This Row],[Type]]="Expense", _xlfn.XLOOKUP(Table1_1[[#This Row],[Category]], Budget_Ref[Category], Budget_Ref[Monthly Budget], 0), 0)</f>
        <v>150</v>
      </c>
      <c r="I1115" t="str">
        <f>IF(Table1_1[[#This Row],[Type]]="Expense", IF(Table1_1[[#This Row],[Amount]]&gt;Table1_1[[#This Row],[Monthly Budget]], "Over Budget", "OK"), "-")</f>
        <v>Over Budget</v>
      </c>
      <c r="J1115">
        <f>IF(Table1_1[[#This Row],[Type]]="Income", Table1_1[[#This Row],[Amount]], -Table1_1[[#This Row],[Amount]])</f>
        <v>-1984.77</v>
      </c>
    </row>
    <row r="1116" spans="1:10" x14ac:dyDescent="0.25">
      <c r="A1116" s="1">
        <v>45185</v>
      </c>
      <c r="B1116" t="s">
        <v>1131</v>
      </c>
      <c r="C1116" t="s">
        <v>27</v>
      </c>
      <c r="D1116" s="2">
        <v>295.02</v>
      </c>
      <c r="E1116" t="s">
        <v>14</v>
      </c>
      <c r="F1116" t="s">
        <v>1563</v>
      </c>
      <c r="G1116">
        <v>2023</v>
      </c>
      <c r="H1116">
        <f>IF(Table1_1[[#This Row],[Type]]="Expense", _xlfn.XLOOKUP(Table1_1[[#This Row],[Category]], Budget_Ref[Category], Budget_Ref[Monthly Budget], 0), 0)</f>
        <v>0</v>
      </c>
      <c r="I1116" t="str">
        <f>IF(Table1_1[[#This Row],[Type]]="Expense", IF(Table1_1[[#This Row],[Amount]]&gt;Table1_1[[#This Row],[Monthly Budget]], "Over Budget", "OK"), "-")</f>
        <v>-</v>
      </c>
      <c r="J1116">
        <f>IF(Table1_1[[#This Row],[Type]]="Income", Table1_1[[#This Row],[Amount]], -Table1_1[[#This Row],[Amount]])</f>
        <v>295.02</v>
      </c>
    </row>
    <row r="1117" spans="1:10" x14ac:dyDescent="0.25">
      <c r="A1117" s="1">
        <v>45190</v>
      </c>
      <c r="B1117" t="s">
        <v>1132</v>
      </c>
      <c r="C1117" t="s">
        <v>9</v>
      </c>
      <c r="D1117" s="2">
        <v>1560.09</v>
      </c>
      <c r="E1117" t="s">
        <v>7</v>
      </c>
      <c r="F1117" t="s">
        <v>1563</v>
      </c>
      <c r="G1117">
        <v>2023</v>
      </c>
      <c r="H1117">
        <f>IF(Table1_1[[#This Row],[Type]]="Expense", _xlfn.XLOOKUP(Table1_1[[#This Row],[Category]], Budget_Ref[Category], Budget_Ref[Monthly Budget], 0), 0)</f>
        <v>150</v>
      </c>
      <c r="I1117" t="str">
        <f>IF(Table1_1[[#This Row],[Type]]="Expense", IF(Table1_1[[#This Row],[Amount]]&gt;Table1_1[[#This Row],[Monthly Budget]], "Over Budget", "OK"), "-")</f>
        <v>Over Budget</v>
      </c>
      <c r="J1117">
        <f>IF(Table1_1[[#This Row],[Type]]="Income", Table1_1[[#This Row],[Amount]], -Table1_1[[#This Row],[Amount]])</f>
        <v>-1560.09</v>
      </c>
    </row>
    <row r="1118" spans="1:10" x14ac:dyDescent="0.25">
      <c r="A1118" s="1">
        <v>45190</v>
      </c>
      <c r="B1118" t="s">
        <v>1133</v>
      </c>
      <c r="C1118" t="s">
        <v>9</v>
      </c>
      <c r="D1118" s="2">
        <v>633.69000000000005</v>
      </c>
      <c r="E1118" t="s">
        <v>7</v>
      </c>
      <c r="F1118" t="s">
        <v>1563</v>
      </c>
      <c r="G1118">
        <v>2023</v>
      </c>
      <c r="H1118">
        <f>IF(Table1_1[[#This Row],[Type]]="Expense", _xlfn.XLOOKUP(Table1_1[[#This Row],[Category]], Budget_Ref[Category], Budget_Ref[Monthly Budget], 0), 0)</f>
        <v>150</v>
      </c>
      <c r="I1118" t="str">
        <f>IF(Table1_1[[#This Row],[Type]]="Expense", IF(Table1_1[[#This Row],[Amount]]&gt;Table1_1[[#This Row],[Monthly Budget]], "Over Budget", "OK"), "-")</f>
        <v>Over Budget</v>
      </c>
      <c r="J1118">
        <f>IF(Table1_1[[#This Row],[Type]]="Income", Table1_1[[#This Row],[Amount]], -Table1_1[[#This Row],[Amount]])</f>
        <v>-633.69000000000005</v>
      </c>
    </row>
    <row r="1119" spans="1:10" x14ac:dyDescent="0.25">
      <c r="A1119" s="1">
        <v>45192</v>
      </c>
      <c r="B1119" t="s">
        <v>1134</v>
      </c>
      <c r="C1119" t="s">
        <v>20</v>
      </c>
      <c r="D1119" s="2">
        <v>2740</v>
      </c>
      <c r="E1119" t="s">
        <v>14</v>
      </c>
      <c r="F1119" t="s">
        <v>1563</v>
      </c>
      <c r="G1119">
        <v>2023</v>
      </c>
      <c r="H1119">
        <f>IF(Table1_1[[#This Row],[Type]]="Expense", _xlfn.XLOOKUP(Table1_1[[#This Row],[Category]], Budget_Ref[Category], Budget_Ref[Monthly Budget], 0), 0)</f>
        <v>0</v>
      </c>
      <c r="I1119" t="str">
        <f>IF(Table1_1[[#This Row],[Type]]="Expense", IF(Table1_1[[#This Row],[Amount]]&gt;Table1_1[[#This Row],[Monthly Budget]], "Over Budget", "OK"), "-")</f>
        <v>-</v>
      </c>
      <c r="J1119">
        <f>IF(Table1_1[[#This Row],[Type]]="Income", Table1_1[[#This Row],[Amount]], -Table1_1[[#This Row],[Amount]])</f>
        <v>2740</v>
      </c>
    </row>
    <row r="1120" spans="1:10" x14ac:dyDescent="0.25">
      <c r="A1120" s="1">
        <v>45193</v>
      </c>
      <c r="B1120" t="s">
        <v>1135</v>
      </c>
      <c r="C1120" t="s">
        <v>9</v>
      </c>
      <c r="D1120" s="2">
        <v>1156.8</v>
      </c>
      <c r="E1120" t="s">
        <v>7</v>
      </c>
      <c r="F1120" t="s">
        <v>1563</v>
      </c>
      <c r="G1120">
        <v>2023</v>
      </c>
      <c r="H1120">
        <f>IF(Table1_1[[#This Row],[Type]]="Expense", _xlfn.XLOOKUP(Table1_1[[#This Row],[Category]], Budget_Ref[Category], Budget_Ref[Monthly Budget], 0), 0)</f>
        <v>150</v>
      </c>
      <c r="I1120" t="str">
        <f>IF(Table1_1[[#This Row],[Type]]="Expense", IF(Table1_1[[#This Row],[Amount]]&gt;Table1_1[[#This Row],[Monthly Budget]], "Over Budget", "OK"), "-")</f>
        <v>Over Budget</v>
      </c>
      <c r="J1120">
        <f>IF(Table1_1[[#This Row],[Type]]="Income", Table1_1[[#This Row],[Amount]], -Table1_1[[#This Row],[Amount]])</f>
        <v>-1156.8</v>
      </c>
    </row>
    <row r="1121" spans="1:10" x14ac:dyDescent="0.25">
      <c r="A1121" s="1">
        <v>45197</v>
      </c>
      <c r="B1121" t="s">
        <v>1136</v>
      </c>
      <c r="C1121" t="s">
        <v>13</v>
      </c>
      <c r="D1121" s="2">
        <v>1560</v>
      </c>
      <c r="E1121" t="s">
        <v>14</v>
      </c>
      <c r="F1121" t="s">
        <v>1563</v>
      </c>
      <c r="G1121">
        <v>2023</v>
      </c>
      <c r="H1121">
        <f>IF(Table1_1[[#This Row],[Type]]="Expense", _xlfn.XLOOKUP(Table1_1[[#This Row],[Category]], Budget_Ref[Category], Budget_Ref[Monthly Budget], 0), 0)</f>
        <v>0</v>
      </c>
      <c r="I1121" t="str">
        <f>IF(Table1_1[[#This Row],[Type]]="Expense", IF(Table1_1[[#This Row],[Amount]]&gt;Table1_1[[#This Row],[Monthly Budget]], "Over Budget", "OK"), "-")</f>
        <v>-</v>
      </c>
      <c r="J1121">
        <f>IF(Table1_1[[#This Row],[Type]]="Income", Table1_1[[#This Row],[Amount]], -Table1_1[[#This Row],[Amount]])</f>
        <v>1560</v>
      </c>
    </row>
    <row r="1122" spans="1:10" x14ac:dyDescent="0.25">
      <c r="A1122" s="1">
        <v>45198</v>
      </c>
      <c r="B1122" t="s">
        <v>1137</v>
      </c>
      <c r="C1122" t="s">
        <v>17</v>
      </c>
      <c r="D1122" s="2">
        <v>812.75</v>
      </c>
      <c r="E1122" t="s">
        <v>7</v>
      </c>
      <c r="F1122" t="s">
        <v>1563</v>
      </c>
      <c r="G1122">
        <v>2023</v>
      </c>
      <c r="H1122">
        <f>IF(Table1_1[[#This Row],[Type]]="Expense", _xlfn.XLOOKUP(Table1_1[[#This Row],[Category]], Budget_Ref[Category], Budget_Ref[Monthly Budget], 0), 0)</f>
        <v>300</v>
      </c>
      <c r="I1122" t="str">
        <f>IF(Table1_1[[#This Row],[Type]]="Expense", IF(Table1_1[[#This Row],[Amount]]&gt;Table1_1[[#This Row],[Monthly Budget]], "Over Budget", "OK"), "-")</f>
        <v>Over Budget</v>
      </c>
      <c r="J1122">
        <f>IF(Table1_1[[#This Row],[Type]]="Income", Table1_1[[#This Row],[Amount]], -Table1_1[[#This Row],[Amount]])</f>
        <v>-812.75</v>
      </c>
    </row>
    <row r="1123" spans="1:10" x14ac:dyDescent="0.25">
      <c r="A1123" s="1">
        <v>45202</v>
      </c>
      <c r="B1123" t="s">
        <v>1138</v>
      </c>
      <c r="C1123" t="s">
        <v>17</v>
      </c>
      <c r="D1123" s="2">
        <v>19.29</v>
      </c>
      <c r="E1123" t="s">
        <v>7</v>
      </c>
      <c r="F1123" t="s">
        <v>1564</v>
      </c>
      <c r="G1123">
        <v>2023</v>
      </c>
      <c r="H1123">
        <f>IF(Table1_1[[#This Row],[Type]]="Expense", _xlfn.XLOOKUP(Table1_1[[#This Row],[Category]], Budget_Ref[Category], Budget_Ref[Monthly Budget], 0), 0)</f>
        <v>300</v>
      </c>
      <c r="I1123" t="str">
        <f>IF(Table1_1[[#This Row],[Type]]="Expense", IF(Table1_1[[#This Row],[Amount]]&gt;Table1_1[[#This Row],[Monthly Budget]], "Over Budget", "OK"), "-")</f>
        <v>OK</v>
      </c>
      <c r="J1123">
        <f>IF(Table1_1[[#This Row],[Type]]="Income", Table1_1[[#This Row],[Amount]], -Table1_1[[#This Row],[Amount]])</f>
        <v>-19.29</v>
      </c>
    </row>
    <row r="1124" spans="1:10" x14ac:dyDescent="0.25">
      <c r="A1124" s="1">
        <v>45203</v>
      </c>
      <c r="B1124" t="s">
        <v>1139</v>
      </c>
      <c r="C1124" t="s">
        <v>25</v>
      </c>
      <c r="D1124" s="2">
        <v>1900.64</v>
      </c>
      <c r="E1124" t="s">
        <v>7</v>
      </c>
      <c r="F1124" t="s">
        <v>1564</v>
      </c>
      <c r="G1124">
        <v>2023</v>
      </c>
      <c r="H1124">
        <f>IF(Table1_1[[#This Row],[Type]]="Expense", _xlfn.XLOOKUP(Table1_1[[#This Row],[Category]], Budget_Ref[Category], Budget_Ref[Monthly Budget], 0), 0)</f>
        <v>150</v>
      </c>
      <c r="I1124" t="str">
        <f>IF(Table1_1[[#This Row],[Type]]="Expense", IF(Table1_1[[#This Row],[Amount]]&gt;Table1_1[[#This Row],[Monthly Budget]], "Over Budget", "OK"), "-")</f>
        <v>Over Budget</v>
      </c>
      <c r="J1124">
        <f>IF(Table1_1[[#This Row],[Type]]="Income", Table1_1[[#This Row],[Amount]], -Table1_1[[#This Row],[Amount]])</f>
        <v>-1900.64</v>
      </c>
    </row>
    <row r="1125" spans="1:10" x14ac:dyDescent="0.25">
      <c r="A1125" s="1">
        <v>45203</v>
      </c>
      <c r="B1125" t="s">
        <v>1140</v>
      </c>
      <c r="C1125" t="s">
        <v>22</v>
      </c>
      <c r="D1125" s="2">
        <v>45.65</v>
      </c>
      <c r="E1125" t="s">
        <v>7</v>
      </c>
      <c r="F1125" t="s">
        <v>1564</v>
      </c>
      <c r="G1125">
        <v>2023</v>
      </c>
      <c r="H1125">
        <f>IF(Table1_1[[#This Row],[Type]]="Expense", _xlfn.XLOOKUP(Table1_1[[#This Row],[Category]], Budget_Ref[Category], Budget_Ref[Monthly Budget], 0), 0)</f>
        <v>200</v>
      </c>
      <c r="I1125" t="str">
        <f>IF(Table1_1[[#This Row],[Type]]="Expense", IF(Table1_1[[#This Row],[Amount]]&gt;Table1_1[[#This Row],[Monthly Budget]], "Over Budget", "OK"), "-")</f>
        <v>OK</v>
      </c>
      <c r="J1125">
        <f>IF(Table1_1[[#This Row],[Type]]="Income", Table1_1[[#This Row],[Amount]], -Table1_1[[#This Row],[Amount]])</f>
        <v>-45.65</v>
      </c>
    </row>
    <row r="1126" spans="1:10" x14ac:dyDescent="0.25">
      <c r="A1126" s="1">
        <v>45204</v>
      </c>
      <c r="B1126" t="s">
        <v>1141</v>
      </c>
      <c r="C1126" t="s">
        <v>13</v>
      </c>
      <c r="D1126" s="2">
        <v>2353</v>
      </c>
      <c r="E1126" t="s">
        <v>14</v>
      </c>
      <c r="F1126" t="s">
        <v>1564</v>
      </c>
      <c r="G1126">
        <v>2023</v>
      </c>
      <c r="H1126">
        <f>IF(Table1_1[[#This Row],[Type]]="Expense", _xlfn.XLOOKUP(Table1_1[[#This Row],[Category]], Budget_Ref[Category], Budget_Ref[Monthly Budget], 0), 0)</f>
        <v>0</v>
      </c>
      <c r="I1126" t="str">
        <f>IF(Table1_1[[#This Row],[Type]]="Expense", IF(Table1_1[[#This Row],[Amount]]&gt;Table1_1[[#This Row],[Monthly Budget]], "Over Budget", "OK"), "-")</f>
        <v>-</v>
      </c>
      <c r="J1126">
        <f>IF(Table1_1[[#This Row],[Type]]="Income", Table1_1[[#This Row],[Amount]], -Table1_1[[#This Row],[Amount]])</f>
        <v>2353</v>
      </c>
    </row>
    <row r="1127" spans="1:10" x14ac:dyDescent="0.25">
      <c r="A1127" s="1">
        <v>45205</v>
      </c>
      <c r="B1127" t="s">
        <v>1142</v>
      </c>
      <c r="C1127" t="s">
        <v>25</v>
      </c>
      <c r="D1127" s="2">
        <v>631.05999999999995</v>
      </c>
      <c r="E1127" t="s">
        <v>7</v>
      </c>
      <c r="F1127" t="s">
        <v>1564</v>
      </c>
      <c r="G1127">
        <v>2023</v>
      </c>
      <c r="H1127">
        <f>IF(Table1_1[[#This Row],[Type]]="Expense", _xlfn.XLOOKUP(Table1_1[[#This Row],[Category]], Budget_Ref[Category], Budget_Ref[Monthly Budget], 0), 0)</f>
        <v>150</v>
      </c>
      <c r="I1127" t="str">
        <f>IF(Table1_1[[#This Row],[Type]]="Expense", IF(Table1_1[[#This Row],[Amount]]&gt;Table1_1[[#This Row],[Monthly Budget]], "Over Budget", "OK"), "-")</f>
        <v>Over Budget</v>
      </c>
      <c r="J1127">
        <f>IF(Table1_1[[#This Row],[Type]]="Income", Table1_1[[#This Row],[Amount]], -Table1_1[[#This Row],[Amount]])</f>
        <v>-631.05999999999995</v>
      </c>
    </row>
    <row r="1128" spans="1:10" x14ac:dyDescent="0.25">
      <c r="A1128" s="1">
        <v>45207</v>
      </c>
      <c r="B1128" t="s">
        <v>1143</v>
      </c>
      <c r="C1128" t="s">
        <v>20</v>
      </c>
      <c r="D1128" s="2">
        <v>1868</v>
      </c>
      <c r="E1128" t="s">
        <v>14</v>
      </c>
      <c r="F1128" t="s">
        <v>1564</v>
      </c>
      <c r="G1128">
        <v>2023</v>
      </c>
      <c r="H1128">
        <f>IF(Table1_1[[#This Row],[Type]]="Expense", _xlfn.XLOOKUP(Table1_1[[#This Row],[Category]], Budget_Ref[Category], Budget_Ref[Monthly Budget], 0), 0)</f>
        <v>0</v>
      </c>
      <c r="I1128" t="str">
        <f>IF(Table1_1[[#This Row],[Type]]="Expense", IF(Table1_1[[#This Row],[Amount]]&gt;Table1_1[[#This Row],[Monthly Budget]], "Over Budget", "OK"), "-")</f>
        <v>-</v>
      </c>
      <c r="J1128">
        <f>IF(Table1_1[[#This Row],[Type]]="Income", Table1_1[[#This Row],[Amount]], -Table1_1[[#This Row],[Amount]])</f>
        <v>1868</v>
      </c>
    </row>
    <row r="1129" spans="1:10" x14ac:dyDescent="0.25">
      <c r="A1129" s="1">
        <v>45207</v>
      </c>
      <c r="B1129" t="s">
        <v>1144</v>
      </c>
      <c r="C1129" t="s">
        <v>13</v>
      </c>
      <c r="D1129" s="2">
        <v>2942</v>
      </c>
      <c r="E1129" t="s">
        <v>14</v>
      </c>
      <c r="F1129" t="s">
        <v>1564</v>
      </c>
      <c r="G1129">
        <v>2023</v>
      </c>
      <c r="H1129">
        <f>IF(Table1_1[[#This Row],[Type]]="Expense", _xlfn.XLOOKUP(Table1_1[[#This Row],[Category]], Budget_Ref[Category], Budget_Ref[Monthly Budget], 0), 0)</f>
        <v>0</v>
      </c>
      <c r="I1129" t="str">
        <f>IF(Table1_1[[#This Row],[Type]]="Expense", IF(Table1_1[[#This Row],[Amount]]&gt;Table1_1[[#This Row],[Monthly Budget]], "Over Budget", "OK"), "-")</f>
        <v>-</v>
      </c>
      <c r="J1129">
        <f>IF(Table1_1[[#This Row],[Type]]="Income", Table1_1[[#This Row],[Amount]], -Table1_1[[#This Row],[Amount]])</f>
        <v>2942</v>
      </c>
    </row>
    <row r="1130" spans="1:10" x14ac:dyDescent="0.25">
      <c r="A1130" s="1">
        <v>45207</v>
      </c>
      <c r="B1130" t="s">
        <v>1145</v>
      </c>
      <c r="C1130" t="s">
        <v>27</v>
      </c>
      <c r="D1130" s="2">
        <v>1458.39</v>
      </c>
      <c r="E1130" t="s">
        <v>14</v>
      </c>
      <c r="F1130" t="s">
        <v>1564</v>
      </c>
      <c r="G1130">
        <v>2023</v>
      </c>
      <c r="H1130">
        <f>IF(Table1_1[[#This Row],[Type]]="Expense", _xlfn.XLOOKUP(Table1_1[[#This Row],[Category]], Budget_Ref[Category], Budget_Ref[Monthly Budget], 0), 0)</f>
        <v>0</v>
      </c>
      <c r="I1130" t="str">
        <f>IF(Table1_1[[#This Row],[Type]]="Expense", IF(Table1_1[[#This Row],[Amount]]&gt;Table1_1[[#This Row],[Monthly Budget]], "Over Budget", "OK"), "-")</f>
        <v>-</v>
      </c>
      <c r="J1130">
        <f>IF(Table1_1[[#This Row],[Type]]="Income", Table1_1[[#This Row],[Amount]], -Table1_1[[#This Row],[Amount]])</f>
        <v>1458.39</v>
      </c>
    </row>
    <row r="1131" spans="1:10" x14ac:dyDescent="0.25">
      <c r="A1131" s="1">
        <v>45208</v>
      </c>
      <c r="B1131" t="s">
        <v>1146</v>
      </c>
      <c r="C1131" t="s">
        <v>25</v>
      </c>
      <c r="D1131" s="2">
        <v>872.99</v>
      </c>
      <c r="E1131" t="s">
        <v>7</v>
      </c>
      <c r="F1131" t="s">
        <v>1564</v>
      </c>
      <c r="G1131">
        <v>2023</v>
      </c>
      <c r="H1131">
        <f>IF(Table1_1[[#This Row],[Type]]="Expense", _xlfn.XLOOKUP(Table1_1[[#This Row],[Category]], Budget_Ref[Category], Budget_Ref[Monthly Budget], 0), 0)</f>
        <v>150</v>
      </c>
      <c r="I1131" t="str">
        <f>IF(Table1_1[[#This Row],[Type]]="Expense", IF(Table1_1[[#This Row],[Amount]]&gt;Table1_1[[#This Row],[Monthly Budget]], "Over Budget", "OK"), "-")</f>
        <v>Over Budget</v>
      </c>
      <c r="J1131">
        <f>IF(Table1_1[[#This Row],[Type]]="Income", Table1_1[[#This Row],[Amount]], -Table1_1[[#This Row],[Amount]])</f>
        <v>-872.99</v>
      </c>
    </row>
    <row r="1132" spans="1:10" x14ac:dyDescent="0.25">
      <c r="A1132" s="1">
        <v>45208</v>
      </c>
      <c r="B1132" t="s">
        <v>1147</v>
      </c>
      <c r="C1132" t="s">
        <v>9</v>
      </c>
      <c r="D1132" s="2">
        <v>692.04</v>
      </c>
      <c r="E1132" t="s">
        <v>7</v>
      </c>
      <c r="F1132" t="s">
        <v>1564</v>
      </c>
      <c r="G1132">
        <v>2023</v>
      </c>
      <c r="H1132">
        <f>IF(Table1_1[[#This Row],[Type]]="Expense", _xlfn.XLOOKUP(Table1_1[[#This Row],[Category]], Budget_Ref[Category], Budget_Ref[Monthly Budget], 0), 0)</f>
        <v>150</v>
      </c>
      <c r="I1132" t="str">
        <f>IF(Table1_1[[#This Row],[Type]]="Expense", IF(Table1_1[[#This Row],[Amount]]&gt;Table1_1[[#This Row],[Monthly Budget]], "Over Budget", "OK"), "-")</f>
        <v>Over Budget</v>
      </c>
      <c r="J1132">
        <f>IF(Table1_1[[#This Row],[Type]]="Income", Table1_1[[#This Row],[Amount]], -Table1_1[[#This Row],[Amount]])</f>
        <v>-692.04</v>
      </c>
    </row>
    <row r="1133" spans="1:10" x14ac:dyDescent="0.25">
      <c r="A1133" s="1">
        <v>45210</v>
      </c>
      <c r="B1133" t="s">
        <v>1148</v>
      </c>
      <c r="C1133" t="s">
        <v>25</v>
      </c>
      <c r="D1133" s="2">
        <v>1502.73</v>
      </c>
      <c r="E1133" t="s">
        <v>7</v>
      </c>
      <c r="F1133" t="s">
        <v>1564</v>
      </c>
      <c r="G1133">
        <v>2023</v>
      </c>
      <c r="H1133">
        <f>IF(Table1_1[[#This Row],[Type]]="Expense", _xlfn.XLOOKUP(Table1_1[[#This Row],[Category]], Budget_Ref[Category], Budget_Ref[Monthly Budget], 0), 0)</f>
        <v>150</v>
      </c>
      <c r="I1133" t="str">
        <f>IF(Table1_1[[#This Row],[Type]]="Expense", IF(Table1_1[[#This Row],[Amount]]&gt;Table1_1[[#This Row],[Monthly Budget]], "Over Budget", "OK"), "-")</f>
        <v>Over Budget</v>
      </c>
      <c r="J1133">
        <f>IF(Table1_1[[#This Row],[Type]]="Income", Table1_1[[#This Row],[Amount]], -Table1_1[[#This Row],[Amount]])</f>
        <v>-1502.73</v>
      </c>
    </row>
    <row r="1134" spans="1:10" x14ac:dyDescent="0.25">
      <c r="A1134" s="1">
        <v>45212</v>
      </c>
      <c r="B1134" t="s">
        <v>1149</v>
      </c>
      <c r="C1134" t="s">
        <v>20</v>
      </c>
      <c r="D1134" s="2">
        <v>656</v>
      </c>
      <c r="E1134" t="s">
        <v>14</v>
      </c>
      <c r="F1134" t="s">
        <v>1564</v>
      </c>
      <c r="G1134">
        <v>2023</v>
      </c>
      <c r="H1134">
        <f>IF(Table1_1[[#This Row],[Type]]="Expense", _xlfn.XLOOKUP(Table1_1[[#This Row],[Category]], Budget_Ref[Category], Budget_Ref[Monthly Budget], 0), 0)</f>
        <v>0</v>
      </c>
      <c r="I1134" t="str">
        <f>IF(Table1_1[[#This Row],[Type]]="Expense", IF(Table1_1[[#This Row],[Amount]]&gt;Table1_1[[#This Row],[Monthly Budget]], "Over Budget", "OK"), "-")</f>
        <v>-</v>
      </c>
      <c r="J1134">
        <f>IF(Table1_1[[#This Row],[Type]]="Income", Table1_1[[#This Row],[Amount]], -Table1_1[[#This Row],[Amount]])</f>
        <v>656</v>
      </c>
    </row>
    <row r="1135" spans="1:10" x14ac:dyDescent="0.25">
      <c r="A1135" s="1">
        <v>45213</v>
      </c>
      <c r="B1135" t="s">
        <v>1150</v>
      </c>
      <c r="C1135" t="s">
        <v>9</v>
      </c>
      <c r="D1135" s="2">
        <v>430.27</v>
      </c>
      <c r="E1135" t="s">
        <v>7</v>
      </c>
      <c r="F1135" t="s">
        <v>1564</v>
      </c>
      <c r="G1135">
        <v>2023</v>
      </c>
      <c r="H1135">
        <f>IF(Table1_1[[#This Row],[Type]]="Expense", _xlfn.XLOOKUP(Table1_1[[#This Row],[Category]], Budget_Ref[Category], Budget_Ref[Monthly Budget], 0), 0)</f>
        <v>150</v>
      </c>
      <c r="I1135" t="str">
        <f>IF(Table1_1[[#This Row],[Type]]="Expense", IF(Table1_1[[#This Row],[Amount]]&gt;Table1_1[[#This Row],[Monthly Budget]], "Over Budget", "OK"), "-")</f>
        <v>Over Budget</v>
      </c>
      <c r="J1135">
        <f>IF(Table1_1[[#This Row],[Type]]="Income", Table1_1[[#This Row],[Amount]], -Table1_1[[#This Row],[Amount]])</f>
        <v>-430.27</v>
      </c>
    </row>
    <row r="1136" spans="1:10" x14ac:dyDescent="0.25">
      <c r="A1136" s="1">
        <v>45213</v>
      </c>
      <c r="B1136" t="s">
        <v>1151</v>
      </c>
      <c r="C1136" t="s">
        <v>13</v>
      </c>
      <c r="D1136" s="2">
        <v>1508</v>
      </c>
      <c r="E1136" t="s">
        <v>14</v>
      </c>
      <c r="F1136" t="s">
        <v>1564</v>
      </c>
      <c r="G1136">
        <v>2023</v>
      </c>
      <c r="H1136">
        <f>IF(Table1_1[[#This Row],[Type]]="Expense", _xlfn.XLOOKUP(Table1_1[[#This Row],[Category]], Budget_Ref[Category], Budget_Ref[Monthly Budget], 0), 0)</f>
        <v>0</v>
      </c>
      <c r="I1136" t="str">
        <f>IF(Table1_1[[#This Row],[Type]]="Expense", IF(Table1_1[[#This Row],[Amount]]&gt;Table1_1[[#This Row],[Monthly Budget]], "Over Budget", "OK"), "-")</f>
        <v>-</v>
      </c>
      <c r="J1136">
        <f>IF(Table1_1[[#This Row],[Type]]="Income", Table1_1[[#This Row],[Amount]], -Table1_1[[#This Row],[Amount]])</f>
        <v>1508</v>
      </c>
    </row>
    <row r="1137" spans="1:10" x14ac:dyDescent="0.25">
      <c r="A1137" s="1">
        <v>45214</v>
      </c>
      <c r="B1137" t="s">
        <v>1152</v>
      </c>
      <c r="C1137" t="s">
        <v>6</v>
      </c>
      <c r="D1137" s="2">
        <v>756.63</v>
      </c>
      <c r="E1137" t="s">
        <v>7</v>
      </c>
      <c r="F1137" t="s">
        <v>1564</v>
      </c>
      <c r="G1137">
        <v>2023</v>
      </c>
      <c r="H1137">
        <f>IF(Table1_1[[#This Row],[Type]]="Expense", _xlfn.XLOOKUP(Table1_1[[#This Row],[Category]], Budget_Ref[Category], Budget_Ref[Monthly Budget], 0), 0)</f>
        <v>500</v>
      </c>
      <c r="I1137" t="str">
        <f>IF(Table1_1[[#This Row],[Type]]="Expense", IF(Table1_1[[#This Row],[Amount]]&gt;Table1_1[[#This Row],[Monthly Budget]], "Over Budget", "OK"), "-")</f>
        <v>Over Budget</v>
      </c>
      <c r="J1137">
        <f>IF(Table1_1[[#This Row],[Type]]="Income", Table1_1[[#This Row],[Amount]], -Table1_1[[#This Row],[Amount]])</f>
        <v>-756.63</v>
      </c>
    </row>
    <row r="1138" spans="1:10" x14ac:dyDescent="0.25">
      <c r="A1138" s="1">
        <v>45214</v>
      </c>
      <c r="B1138" t="s">
        <v>1153</v>
      </c>
      <c r="C1138" t="s">
        <v>6</v>
      </c>
      <c r="D1138" s="2">
        <v>1191.9100000000001</v>
      </c>
      <c r="E1138" t="s">
        <v>7</v>
      </c>
      <c r="F1138" t="s">
        <v>1564</v>
      </c>
      <c r="G1138">
        <v>2023</v>
      </c>
      <c r="H1138">
        <f>IF(Table1_1[[#This Row],[Type]]="Expense", _xlfn.XLOOKUP(Table1_1[[#This Row],[Category]], Budget_Ref[Category], Budget_Ref[Monthly Budget], 0), 0)</f>
        <v>500</v>
      </c>
      <c r="I1138" t="str">
        <f>IF(Table1_1[[#This Row],[Type]]="Expense", IF(Table1_1[[#This Row],[Amount]]&gt;Table1_1[[#This Row],[Monthly Budget]], "Over Budget", "OK"), "-")</f>
        <v>Over Budget</v>
      </c>
      <c r="J1138">
        <f>IF(Table1_1[[#This Row],[Type]]="Income", Table1_1[[#This Row],[Amount]], -Table1_1[[#This Row],[Amount]])</f>
        <v>-1191.9100000000001</v>
      </c>
    </row>
    <row r="1139" spans="1:10" x14ac:dyDescent="0.25">
      <c r="A1139" s="1">
        <v>45215</v>
      </c>
      <c r="B1139" t="s">
        <v>1154</v>
      </c>
      <c r="C1139" t="s">
        <v>13</v>
      </c>
      <c r="D1139" s="2">
        <v>661</v>
      </c>
      <c r="E1139" t="s">
        <v>14</v>
      </c>
      <c r="F1139" t="s">
        <v>1564</v>
      </c>
      <c r="G1139">
        <v>2023</v>
      </c>
      <c r="H1139">
        <f>IF(Table1_1[[#This Row],[Type]]="Expense", _xlfn.XLOOKUP(Table1_1[[#This Row],[Category]], Budget_Ref[Category], Budget_Ref[Monthly Budget], 0), 0)</f>
        <v>0</v>
      </c>
      <c r="I1139" t="str">
        <f>IF(Table1_1[[#This Row],[Type]]="Expense", IF(Table1_1[[#This Row],[Amount]]&gt;Table1_1[[#This Row],[Monthly Budget]], "Over Budget", "OK"), "-")</f>
        <v>-</v>
      </c>
      <c r="J1139">
        <f>IF(Table1_1[[#This Row],[Type]]="Income", Table1_1[[#This Row],[Amount]], -Table1_1[[#This Row],[Amount]])</f>
        <v>661</v>
      </c>
    </row>
    <row r="1140" spans="1:10" x14ac:dyDescent="0.25">
      <c r="A1140" s="1">
        <v>45216</v>
      </c>
      <c r="B1140" t="s">
        <v>1155</v>
      </c>
      <c r="C1140" t="s">
        <v>13</v>
      </c>
      <c r="D1140" s="2">
        <v>3914</v>
      </c>
      <c r="E1140" t="s">
        <v>14</v>
      </c>
      <c r="F1140" t="s">
        <v>1564</v>
      </c>
      <c r="G1140">
        <v>2023</v>
      </c>
      <c r="H1140">
        <f>IF(Table1_1[[#This Row],[Type]]="Expense", _xlfn.XLOOKUP(Table1_1[[#This Row],[Category]], Budget_Ref[Category], Budget_Ref[Monthly Budget], 0), 0)</f>
        <v>0</v>
      </c>
      <c r="I1140" t="str">
        <f>IF(Table1_1[[#This Row],[Type]]="Expense", IF(Table1_1[[#This Row],[Amount]]&gt;Table1_1[[#This Row],[Monthly Budget]], "Over Budget", "OK"), "-")</f>
        <v>-</v>
      </c>
      <c r="J1140">
        <f>IF(Table1_1[[#This Row],[Type]]="Income", Table1_1[[#This Row],[Amount]], -Table1_1[[#This Row],[Amount]])</f>
        <v>3914</v>
      </c>
    </row>
    <row r="1141" spans="1:10" x14ac:dyDescent="0.25">
      <c r="A1141" s="1">
        <v>45216</v>
      </c>
      <c r="B1141" t="s">
        <v>1156</v>
      </c>
      <c r="C1141" t="s">
        <v>11</v>
      </c>
      <c r="D1141" s="2">
        <v>1099.0899999999999</v>
      </c>
      <c r="E1141" t="s">
        <v>7</v>
      </c>
      <c r="F1141" t="s">
        <v>1564</v>
      </c>
      <c r="G1141">
        <v>2023</v>
      </c>
      <c r="H1141">
        <f>IF(Table1_1[[#This Row],[Type]]="Expense", _xlfn.XLOOKUP(Table1_1[[#This Row],[Category]], Budget_Ref[Category], Budget_Ref[Monthly Budget], 0), 0)</f>
        <v>1500</v>
      </c>
      <c r="I1141" t="str">
        <f>IF(Table1_1[[#This Row],[Type]]="Expense", IF(Table1_1[[#This Row],[Amount]]&gt;Table1_1[[#This Row],[Monthly Budget]], "Over Budget", "OK"), "-")</f>
        <v>OK</v>
      </c>
      <c r="J1141">
        <f>IF(Table1_1[[#This Row],[Type]]="Income", Table1_1[[#This Row],[Amount]], -Table1_1[[#This Row],[Amount]])</f>
        <v>-1099.0899999999999</v>
      </c>
    </row>
    <row r="1142" spans="1:10" x14ac:dyDescent="0.25">
      <c r="A1142" s="1">
        <v>45226</v>
      </c>
      <c r="B1142" t="s">
        <v>1157</v>
      </c>
      <c r="C1142" t="s">
        <v>9</v>
      </c>
      <c r="D1142" s="2">
        <v>418.93</v>
      </c>
      <c r="E1142" t="s">
        <v>7</v>
      </c>
      <c r="F1142" t="s">
        <v>1564</v>
      </c>
      <c r="G1142">
        <v>2023</v>
      </c>
      <c r="H1142">
        <f>IF(Table1_1[[#This Row],[Type]]="Expense", _xlfn.XLOOKUP(Table1_1[[#This Row],[Category]], Budget_Ref[Category], Budget_Ref[Monthly Budget], 0), 0)</f>
        <v>150</v>
      </c>
      <c r="I1142" t="str">
        <f>IF(Table1_1[[#This Row],[Type]]="Expense", IF(Table1_1[[#This Row],[Amount]]&gt;Table1_1[[#This Row],[Monthly Budget]], "Over Budget", "OK"), "-")</f>
        <v>Over Budget</v>
      </c>
      <c r="J1142">
        <f>IF(Table1_1[[#This Row],[Type]]="Income", Table1_1[[#This Row],[Amount]], -Table1_1[[#This Row],[Amount]])</f>
        <v>-418.93</v>
      </c>
    </row>
    <row r="1143" spans="1:10" x14ac:dyDescent="0.25">
      <c r="A1143" s="1">
        <v>45226</v>
      </c>
      <c r="B1143" t="s">
        <v>1158</v>
      </c>
      <c r="C1143" t="s">
        <v>6</v>
      </c>
      <c r="D1143" s="2">
        <v>609.22</v>
      </c>
      <c r="E1143" t="s">
        <v>7</v>
      </c>
      <c r="F1143" t="s">
        <v>1564</v>
      </c>
      <c r="G1143">
        <v>2023</v>
      </c>
      <c r="H1143">
        <f>IF(Table1_1[[#This Row],[Type]]="Expense", _xlfn.XLOOKUP(Table1_1[[#This Row],[Category]], Budget_Ref[Category], Budget_Ref[Monthly Budget], 0), 0)</f>
        <v>500</v>
      </c>
      <c r="I1143" t="str">
        <f>IF(Table1_1[[#This Row],[Type]]="Expense", IF(Table1_1[[#This Row],[Amount]]&gt;Table1_1[[#This Row],[Monthly Budget]], "Over Budget", "OK"), "-")</f>
        <v>Over Budget</v>
      </c>
      <c r="J1143">
        <f>IF(Table1_1[[#This Row],[Type]]="Income", Table1_1[[#This Row],[Amount]], -Table1_1[[#This Row],[Amount]])</f>
        <v>-609.22</v>
      </c>
    </row>
    <row r="1144" spans="1:10" x14ac:dyDescent="0.25">
      <c r="A1144" s="1">
        <v>45228</v>
      </c>
      <c r="B1144" t="s">
        <v>1159</v>
      </c>
      <c r="C1144" t="s">
        <v>35</v>
      </c>
      <c r="D1144" s="2">
        <v>1249.3699999999999</v>
      </c>
      <c r="E1144" t="s">
        <v>7</v>
      </c>
      <c r="F1144" t="s">
        <v>1564</v>
      </c>
      <c r="G1144">
        <v>2023</v>
      </c>
      <c r="H1144">
        <f>IF(Table1_1[[#This Row],[Type]]="Expense", _xlfn.XLOOKUP(Table1_1[[#This Row],[Category]], Budget_Ref[Category], Budget_Ref[Monthly Budget], 0), 0)</f>
        <v>200</v>
      </c>
      <c r="I1144" t="str">
        <f>IF(Table1_1[[#This Row],[Type]]="Expense", IF(Table1_1[[#This Row],[Amount]]&gt;Table1_1[[#This Row],[Monthly Budget]], "Over Budget", "OK"), "-")</f>
        <v>Over Budget</v>
      </c>
      <c r="J1144">
        <f>IF(Table1_1[[#This Row],[Type]]="Income", Table1_1[[#This Row],[Amount]], -Table1_1[[#This Row],[Amount]])</f>
        <v>-1249.3699999999999</v>
      </c>
    </row>
    <row r="1145" spans="1:10" x14ac:dyDescent="0.25">
      <c r="A1145" s="1">
        <v>45229</v>
      </c>
      <c r="B1145" t="s">
        <v>1160</v>
      </c>
      <c r="C1145" t="s">
        <v>17</v>
      </c>
      <c r="D1145" s="2">
        <v>1663</v>
      </c>
      <c r="E1145" t="s">
        <v>7</v>
      </c>
      <c r="F1145" t="s">
        <v>1564</v>
      </c>
      <c r="G1145">
        <v>2023</v>
      </c>
      <c r="H1145">
        <f>IF(Table1_1[[#This Row],[Type]]="Expense", _xlfn.XLOOKUP(Table1_1[[#This Row],[Category]], Budget_Ref[Category], Budget_Ref[Monthly Budget], 0), 0)</f>
        <v>300</v>
      </c>
      <c r="I1145" t="str">
        <f>IF(Table1_1[[#This Row],[Type]]="Expense", IF(Table1_1[[#This Row],[Amount]]&gt;Table1_1[[#This Row],[Monthly Budget]], "Over Budget", "OK"), "-")</f>
        <v>Over Budget</v>
      </c>
      <c r="J1145">
        <f>IF(Table1_1[[#This Row],[Type]]="Income", Table1_1[[#This Row],[Amount]], -Table1_1[[#This Row],[Amount]])</f>
        <v>-1663</v>
      </c>
    </row>
    <row r="1146" spans="1:10" x14ac:dyDescent="0.25">
      <c r="A1146" s="1">
        <v>45229</v>
      </c>
      <c r="B1146" t="s">
        <v>1161</v>
      </c>
      <c r="C1146" t="s">
        <v>13</v>
      </c>
      <c r="D1146" s="2">
        <v>2815</v>
      </c>
      <c r="E1146" t="s">
        <v>14</v>
      </c>
      <c r="F1146" t="s">
        <v>1564</v>
      </c>
      <c r="G1146">
        <v>2023</v>
      </c>
      <c r="H1146">
        <f>IF(Table1_1[[#This Row],[Type]]="Expense", _xlfn.XLOOKUP(Table1_1[[#This Row],[Category]], Budget_Ref[Category], Budget_Ref[Monthly Budget], 0), 0)</f>
        <v>0</v>
      </c>
      <c r="I1146" t="str">
        <f>IF(Table1_1[[#This Row],[Type]]="Expense", IF(Table1_1[[#This Row],[Amount]]&gt;Table1_1[[#This Row],[Monthly Budget]], "Over Budget", "OK"), "-")</f>
        <v>-</v>
      </c>
      <c r="J1146">
        <f>IF(Table1_1[[#This Row],[Type]]="Income", Table1_1[[#This Row],[Amount]], -Table1_1[[#This Row],[Amount]])</f>
        <v>2815</v>
      </c>
    </row>
    <row r="1147" spans="1:10" x14ac:dyDescent="0.25">
      <c r="A1147" s="1">
        <v>45234</v>
      </c>
      <c r="B1147" t="s">
        <v>1162</v>
      </c>
      <c r="C1147" t="s">
        <v>13</v>
      </c>
      <c r="D1147" s="2">
        <v>4577</v>
      </c>
      <c r="E1147" t="s">
        <v>14</v>
      </c>
      <c r="F1147" t="s">
        <v>1565</v>
      </c>
      <c r="G1147">
        <v>2023</v>
      </c>
      <c r="H1147">
        <f>IF(Table1_1[[#This Row],[Type]]="Expense", _xlfn.XLOOKUP(Table1_1[[#This Row],[Category]], Budget_Ref[Category], Budget_Ref[Monthly Budget], 0), 0)</f>
        <v>0</v>
      </c>
      <c r="I1147" t="str">
        <f>IF(Table1_1[[#This Row],[Type]]="Expense", IF(Table1_1[[#This Row],[Amount]]&gt;Table1_1[[#This Row],[Monthly Budget]], "Over Budget", "OK"), "-")</f>
        <v>-</v>
      </c>
      <c r="J1147">
        <f>IF(Table1_1[[#This Row],[Type]]="Income", Table1_1[[#This Row],[Amount]], -Table1_1[[#This Row],[Amount]])</f>
        <v>4577</v>
      </c>
    </row>
    <row r="1148" spans="1:10" x14ac:dyDescent="0.25">
      <c r="A1148" s="1">
        <v>45235</v>
      </c>
      <c r="B1148" t="s">
        <v>1163</v>
      </c>
      <c r="C1148" t="s">
        <v>13</v>
      </c>
      <c r="D1148" s="2">
        <v>2654</v>
      </c>
      <c r="E1148" t="s">
        <v>14</v>
      </c>
      <c r="F1148" t="s">
        <v>1565</v>
      </c>
      <c r="G1148">
        <v>2023</v>
      </c>
      <c r="H1148">
        <f>IF(Table1_1[[#This Row],[Type]]="Expense", _xlfn.XLOOKUP(Table1_1[[#This Row],[Category]], Budget_Ref[Category], Budget_Ref[Monthly Budget], 0), 0)</f>
        <v>0</v>
      </c>
      <c r="I1148" t="str">
        <f>IF(Table1_1[[#This Row],[Type]]="Expense", IF(Table1_1[[#This Row],[Amount]]&gt;Table1_1[[#This Row],[Monthly Budget]], "Over Budget", "OK"), "-")</f>
        <v>-</v>
      </c>
      <c r="J1148">
        <f>IF(Table1_1[[#This Row],[Type]]="Income", Table1_1[[#This Row],[Amount]], -Table1_1[[#This Row],[Amount]])</f>
        <v>2654</v>
      </c>
    </row>
    <row r="1149" spans="1:10" x14ac:dyDescent="0.25">
      <c r="A1149" s="1">
        <v>45238</v>
      </c>
      <c r="B1149" t="s">
        <v>1164</v>
      </c>
      <c r="C1149" t="s">
        <v>22</v>
      </c>
      <c r="D1149" s="2">
        <v>722.26</v>
      </c>
      <c r="E1149" t="s">
        <v>7</v>
      </c>
      <c r="F1149" t="s">
        <v>1565</v>
      </c>
      <c r="G1149">
        <v>2023</v>
      </c>
      <c r="H1149">
        <f>IF(Table1_1[[#This Row],[Type]]="Expense", _xlfn.XLOOKUP(Table1_1[[#This Row],[Category]], Budget_Ref[Category], Budget_Ref[Monthly Budget], 0), 0)</f>
        <v>200</v>
      </c>
      <c r="I1149" t="str">
        <f>IF(Table1_1[[#This Row],[Type]]="Expense", IF(Table1_1[[#This Row],[Amount]]&gt;Table1_1[[#This Row],[Monthly Budget]], "Over Budget", "OK"), "-")</f>
        <v>Over Budget</v>
      </c>
      <c r="J1149">
        <f>IF(Table1_1[[#This Row],[Type]]="Income", Table1_1[[#This Row],[Amount]], -Table1_1[[#This Row],[Amount]])</f>
        <v>-722.26</v>
      </c>
    </row>
    <row r="1150" spans="1:10" x14ac:dyDescent="0.25">
      <c r="A1150" s="1">
        <v>45238</v>
      </c>
      <c r="B1150" t="s">
        <v>1165</v>
      </c>
      <c r="C1150" t="s">
        <v>9</v>
      </c>
      <c r="D1150" s="2">
        <v>88.42</v>
      </c>
      <c r="E1150" t="s">
        <v>7</v>
      </c>
      <c r="F1150" t="s">
        <v>1565</v>
      </c>
      <c r="G1150">
        <v>2023</v>
      </c>
      <c r="H1150">
        <f>IF(Table1_1[[#This Row],[Type]]="Expense", _xlfn.XLOOKUP(Table1_1[[#This Row],[Category]], Budget_Ref[Category], Budget_Ref[Monthly Budget], 0), 0)</f>
        <v>150</v>
      </c>
      <c r="I1150" t="str">
        <f>IF(Table1_1[[#This Row],[Type]]="Expense", IF(Table1_1[[#This Row],[Amount]]&gt;Table1_1[[#This Row],[Monthly Budget]], "Over Budget", "OK"), "-")</f>
        <v>OK</v>
      </c>
      <c r="J1150">
        <f>IF(Table1_1[[#This Row],[Type]]="Income", Table1_1[[#This Row],[Amount]], -Table1_1[[#This Row],[Amount]])</f>
        <v>-88.42</v>
      </c>
    </row>
    <row r="1151" spans="1:10" x14ac:dyDescent="0.25">
      <c r="A1151" s="1">
        <v>45238</v>
      </c>
      <c r="B1151" t="s">
        <v>1166</v>
      </c>
      <c r="C1151" t="s">
        <v>22</v>
      </c>
      <c r="D1151" s="2">
        <v>1379.53</v>
      </c>
      <c r="E1151" t="s">
        <v>7</v>
      </c>
      <c r="F1151" t="s">
        <v>1565</v>
      </c>
      <c r="G1151">
        <v>2023</v>
      </c>
      <c r="H1151">
        <f>IF(Table1_1[[#This Row],[Type]]="Expense", _xlfn.XLOOKUP(Table1_1[[#This Row],[Category]], Budget_Ref[Category], Budget_Ref[Monthly Budget], 0), 0)</f>
        <v>200</v>
      </c>
      <c r="I1151" t="str">
        <f>IF(Table1_1[[#This Row],[Type]]="Expense", IF(Table1_1[[#This Row],[Amount]]&gt;Table1_1[[#This Row],[Monthly Budget]], "Over Budget", "OK"), "-")</f>
        <v>Over Budget</v>
      </c>
      <c r="J1151">
        <f>IF(Table1_1[[#This Row],[Type]]="Income", Table1_1[[#This Row],[Amount]], -Table1_1[[#This Row],[Amount]])</f>
        <v>-1379.53</v>
      </c>
    </row>
    <row r="1152" spans="1:10" x14ac:dyDescent="0.25">
      <c r="A1152" s="1">
        <v>45239</v>
      </c>
      <c r="B1152" t="s">
        <v>1167</v>
      </c>
      <c r="C1152" t="s">
        <v>22</v>
      </c>
      <c r="D1152" s="2">
        <v>15.45</v>
      </c>
      <c r="E1152" t="s">
        <v>7</v>
      </c>
      <c r="F1152" t="s">
        <v>1565</v>
      </c>
      <c r="G1152">
        <v>2023</v>
      </c>
      <c r="H1152">
        <f>IF(Table1_1[[#This Row],[Type]]="Expense", _xlfn.XLOOKUP(Table1_1[[#This Row],[Category]], Budget_Ref[Category], Budget_Ref[Monthly Budget], 0), 0)</f>
        <v>200</v>
      </c>
      <c r="I1152" t="str">
        <f>IF(Table1_1[[#This Row],[Type]]="Expense", IF(Table1_1[[#This Row],[Amount]]&gt;Table1_1[[#This Row],[Monthly Budget]], "Over Budget", "OK"), "-")</f>
        <v>OK</v>
      </c>
      <c r="J1152">
        <f>IF(Table1_1[[#This Row],[Type]]="Income", Table1_1[[#This Row],[Amount]], -Table1_1[[#This Row],[Amount]])</f>
        <v>-15.45</v>
      </c>
    </row>
    <row r="1153" spans="1:10" x14ac:dyDescent="0.25">
      <c r="A1153" s="1">
        <v>45239</v>
      </c>
      <c r="B1153" t="s">
        <v>1168</v>
      </c>
      <c r="C1153" t="s">
        <v>11</v>
      </c>
      <c r="D1153" s="2">
        <v>1672.11</v>
      </c>
      <c r="E1153" t="s">
        <v>7</v>
      </c>
      <c r="F1153" t="s">
        <v>1565</v>
      </c>
      <c r="G1153">
        <v>2023</v>
      </c>
      <c r="H1153">
        <f>IF(Table1_1[[#This Row],[Type]]="Expense", _xlfn.XLOOKUP(Table1_1[[#This Row],[Category]], Budget_Ref[Category], Budget_Ref[Monthly Budget], 0), 0)</f>
        <v>1500</v>
      </c>
      <c r="I1153" t="str">
        <f>IF(Table1_1[[#This Row],[Type]]="Expense", IF(Table1_1[[#This Row],[Amount]]&gt;Table1_1[[#This Row],[Monthly Budget]], "Over Budget", "OK"), "-")</f>
        <v>Over Budget</v>
      </c>
      <c r="J1153">
        <f>IF(Table1_1[[#This Row],[Type]]="Income", Table1_1[[#This Row],[Amount]], -Table1_1[[#This Row],[Amount]])</f>
        <v>-1672.11</v>
      </c>
    </row>
    <row r="1154" spans="1:10" x14ac:dyDescent="0.25">
      <c r="A1154" s="1">
        <v>45241</v>
      </c>
      <c r="B1154" t="s">
        <v>1169</v>
      </c>
      <c r="C1154" t="s">
        <v>9</v>
      </c>
      <c r="D1154" s="2">
        <v>1899.4</v>
      </c>
      <c r="E1154" t="s">
        <v>7</v>
      </c>
      <c r="F1154" t="s">
        <v>1565</v>
      </c>
      <c r="G1154">
        <v>2023</v>
      </c>
      <c r="H1154">
        <f>IF(Table1_1[[#This Row],[Type]]="Expense", _xlfn.XLOOKUP(Table1_1[[#This Row],[Category]], Budget_Ref[Category], Budget_Ref[Monthly Budget], 0), 0)</f>
        <v>150</v>
      </c>
      <c r="I1154" t="str">
        <f>IF(Table1_1[[#This Row],[Type]]="Expense", IF(Table1_1[[#This Row],[Amount]]&gt;Table1_1[[#This Row],[Monthly Budget]], "Over Budget", "OK"), "-")</f>
        <v>Over Budget</v>
      </c>
      <c r="J1154">
        <f>IF(Table1_1[[#This Row],[Type]]="Income", Table1_1[[#This Row],[Amount]], -Table1_1[[#This Row],[Amount]])</f>
        <v>-1899.4</v>
      </c>
    </row>
    <row r="1155" spans="1:10" x14ac:dyDescent="0.25">
      <c r="A1155" s="1">
        <v>45241</v>
      </c>
      <c r="B1155" t="s">
        <v>1170</v>
      </c>
      <c r="C1155" t="s">
        <v>11</v>
      </c>
      <c r="D1155" s="2">
        <v>1449.89</v>
      </c>
      <c r="E1155" t="s">
        <v>7</v>
      </c>
      <c r="F1155" t="s">
        <v>1565</v>
      </c>
      <c r="G1155">
        <v>2023</v>
      </c>
      <c r="H1155">
        <f>IF(Table1_1[[#This Row],[Type]]="Expense", _xlfn.XLOOKUP(Table1_1[[#This Row],[Category]], Budget_Ref[Category], Budget_Ref[Monthly Budget], 0), 0)</f>
        <v>1500</v>
      </c>
      <c r="I1155" t="str">
        <f>IF(Table1_1[[#This Row],[Type]]="Expense", IF(Table1_1[[#This Row],[Amount]]&gt;Table1_1[[#This Row],[Monthly Budget]], "Over Budget", "OK"), "-")</f>
        <v>OK</v>
      </c>
      <c r="J1155">
        <f>IF(Table1_1[[#This Row],[Type]]="Income", Table1_1[[#This Row],[Amount]], -Table1_1[[#This Row],[Amount]])</f>
        <v>-1449.89</v>
      </c>
    </row>
    <row r="1156" spans="1:10" x14ac:dyDescent="0.25">
      <c r="A1156" s="1">
        <v>45243</v>
      </c>
      <c r="B1156" t="s">
        <v>1171</v>
      </c>
      <c r="C1156" t="s">
        <v>20</v>
      </c>
      <c r="D1156" s="2">
        <v>2393</v>
      </c>
      <c r="E1156" t="s">
        <v>14</v>
      </c>
      <c r="F1156" t="s">
        <v>1565</v>
      </c>
      <c r="G1156">
        <v>2023</v>
      </c>
      <c r="H1156">
        <f>IF(Table1_1[[#This Row],[Type]]="Expense", _xlfn.XLOOKUP(Table1_1[[#This Row],[Category]], Budget_Ref[Category], Budget_Ref[Monthly Budget], 0), 0)</f>
        <v>0</v>
      </c>
      <c r="I1156" t="str">
        <f>IF(Table1_1[[#This Row],[Type]]="Expense", IF(Table1_1[[#This Row],[Amount]]&gt;Table1_1[[#This Row],[Monthly Budget]], "Over Budget", "OK"), "-")</f>
        <v>-</v>
      </c>
      <c r="J1156">
        <f>IF(Table1_1[[#This Row],[Type]]="Income", Table1_1[[#This Row],[Amount]], -Table1_1[[#This Row],[Amount]])</f>
        <v>2393</v>
      </c>
    </row>
    <row r="1157" spans="1:10" x14ac:dyDescent="0.25">
      <c r="A1157" s="1">
        <v>45244</v>
      </c>
      <c r="B1157" t="s">
        <v>1172</v>
      </c>
      <c r="C1157" t="s">
        <v>35</v>
      </c>
      <c r="D1157" s="2">
        <v>535.61</v>
      </c>
      <c r="E1157" t="s">
        <v>7</v>
      </c>
      <c r="F1157" t="s">
        <v>1565</v>
      </c>
      <c r="G1157">
        <v>2023</v>
      </c>
      <c r="H1157">
        <f>IF(Table1_1[[#This Row],[Type]]="Expense", _xlfn.XLOOKUP(Table1_1[[#This Row],[Category]], Budget_Ref[Category], Budget_Ref[Monthly Budget], 0), 0)</f>
        <v>200</v>
      </c>
      <c r="I1157" t="str">
        <f>IF(Table1_1[[#This Row],[Type]]="Expense", IF(Table1_1[[#This Row],[Amount]]&gt;Table1_1[[#This Row],[Monthly Budget]], "Over Budget", "OK"), "-")</f>
        <v>Over Budget</v>
      </c>
      <c r="J1157">
        <f>IF(Table1_1[[#This Row],[Type]]="Income", Table1_1[[#This Row],[Amount]], -Table1_1[[#This Row],[Amount]])</f>
        <v>-535.61</v>
      </c>
    </row>
    <row r="1158" spans="1:10" x14ac:dyDescent="0.25">
      <c r="A1158" s="1">
        <v>45244</v>
      </c>
      <c r="B1158" t="s">
        <v>1173</v>
      </c>
      <c r="C1158" t="s">
        <v>13</v>
      </c>
      <c r="D1158" s="2">
        <v>823</v>
      </c>
      <c r="E1158" t="s">
        <v>14</v>
      </c>
      <c r="F1158" t="s">
        <v>1565</v>
      </c>
      <c r="G1158">
        <v>2023</v>
      </c>
      <c r="H1158">
        <f>IF(Table1_1[[#This Row],[Type]]="Expense", _xlfn.XLOOKUP(Table1_1[[#This Row],[Category]], Budget_Ref[Category], Budget_Ref[Monthly Budget], 0), 0)</f>
        <v>0</v>
      </c>
      <c r="I1158" t="str">
        <f>IF(Table1_1[[#This Row],[Type]]="Expense", IF(Table1_1[[#This Row],[Amount]]&gt;Table1_1[[#This Row],[Monthly Budget]], "Over Budget", "OK"), "-")</f>
        <v>-</v>
      </c>
      <c r="J1158">
        <f>IF(Table1_1[[#This Row],[Type]]="Income", Table1_1[[#This Row],[Amount]], -Table1_1[[#This Row],[Amount]])</f>
        <v>823</v>
      </c>
    </row>
    <row r="1159" spans="1:10" x14ac:dyDescent="0.25">
      <c r="A1159" s="1">
        <v>45245</v>
      </c>
      <c r="B1159" t="s">
        <v>1174</v>
      </c>
      <c r="C1159" t="s">
        <v>25</v>
      </c>
      <c r="D1159" s="2">
        <v>1605.18</v>
      </c>
      <c r="E1159" t="s">
        <v>7</v>
      </c>
      <c r="F1159" t="s">
        <v>1565</v>
      </c>
      <c r="G1159">
        <v>2023</v>
      </c>
      <c r="H1159">
        <f>IF(Table1_1[[#This Row],[Type]]="Expense", _xlfn.XLOOKUP(Table1_1[[#This Row],[Category]], Budget_Ref[Category], Budget_Ref[Monthly Budget], 0), 0)</f>
        <v>150</v>
      </c>
      <c r="I1159" t="str">
        <f>IF(Table1_1[[#This Row],[Type]]="Expense", IF(Table1_1[[#This Row],[Amount]]&gt;Table1_1[[#This Row],[Monthly Budget]], "Over Budget", "OK"), "-")</f>
        <v>Over Budget</v>
      </c>
      <c r="J1159">
        <f>IF(Table1_1[[#This Row],[Type]]="Income", Table1_1[[#This Row],[Amount]], -Table1_1[[#This Row],[Amount]])</f>
        <v>-1605.18</v>
      </c>
    </row>
    <row r="1160" spans="1:10" x14ac:dyDescent="0.25">
      <c r="A1160" s="1">
        <v>45247</v>
      </c>
      <c r="B1160" t="s">
        <v>1175</v>
      </c>
      <c r="C1160" t="s">
        <v>11</v>
      </c>
      <c r="D1160" s="2">
        <v>199.05</v>
      </c>
      <c r="E1160" t="s">
        <v>7</v>
      </c>
      <c r="F1160" t="s">
        <v>1565</v>
      </c>
      <c r="G1160">
        <v>2023</v>
      </c>
      <c r="H1160">
        <f>IF(Table1_1[[#This Row],[Type]]="Expense", _xlfn.XLOOKUP(Table1_1[[#This Row],[Category]], Budget_Ref[Category], Budget_Ref[Monthly Budget], 0), 0)</f>
        <v>1500</v>
      </c>
      <c r="I1160" t="str">
        <f>IF(Table1_1[[#This Row],[Type]]="Expense", IF(Table1_1[[#This Row],[Amount]]&gt;Table1_1[[#This Row],[Monthly Budget]], "Over Budget", "OK"), "-")</f>
        <v>OK</v>
      </c>
      <c r="J1160">
        <f>IF(Table1_1[[#This Row],[Type]]="Income", Table1_1[[#This Row],[Amount]], -Table1_1[[#This Row],[Amount]])</f>
        <v>-199.05</v>
      </c>
    </row>
    <row r="1161" spans="1:10" x14ac:dyDescent="0.25">
      <c r="A1161" s="1">
        <v>45248</v>
      </c>
      <c r="B1161" t="s">
        <v>1176</v>
      </c>
      <c r="C1161" t="s">
        <v>6</v>
      </c>
      <c r="D1161" s="2">
        <v>29.25</v>
      </c>
      <c r="E1161" t="s">
        <v>7</v>
      </c>
      <c r="F1161" t="s">
        <v>1565</v>
      </c>
      <c r="G1161">
        <v>2023</v>
      </c>
      <c r="H1161">
        <f>IF(Table1_1[[#This Row],[Type]]="Expense", _xlfn.XLOOKUP(Table1_1[[#This Row],[Category]], Budget_Ref[Category], Budget_Ref[Monthly Budget], 0), 0)</f>
        <v>500</v>
      </c>
      <c r="I1161" t="str">
        <f>IF(Table1_1[[#This Row],[Type]]="Expense", IF(Table1_1[[#This Row],[Amount]]&gt;Table1_1[[#This Row],[Monthly Budget]], "Over Budget", "OK"), "-")</f>
        <v>OK</v>
      </c>
      <c r="J1161">
        <f>IF(Table1_1[[#This Row],[Type]]="Income", Table1_1[[#This Row],[Amount]], -Table1_1[[#This Row],[Amount]])</f>
        <v>-29.25</v>
      </c>
    </row>
    <row r="1162" spans="1:10" x14ac:dyDescent="0.25">
      <c r="A1162" s="1">
        <v>45251</v>
      </c>
      <c r="B1162" t="s">
        <v>1177</v>
      </c>
      <c r="C1162" t="s">
        <v>13</v>
      </c>
      <c r="D1162" s="2">
        <v>3192</v>
      </c>
      <c r="E1162" t="s">
        <v>14</v>
      </c>
      <c r="F1162" t="s">
        <v>1565</v>
      </c>
      <c r="G1162">
        <v>2023</v>
      </c>
      <c r="H1162">
        <f>IF(Table1_1[[#This Row],[Type]]="Expense", _xlfn.XLOOKUP(Table1_1[[#This Row],[Category]], Budget_Ref[Category], Budget_Ref[Monthly Budget], 0), 0)</f>
        <v>0</v>
      </c>
      <c r="I1162" t="str">
        <f>IF(Table1_1[[#This Row],[Type]]="Expense", IF(Table1_1[[#This Row],[Amount]]&gt;Table1_1[[#This Row],[Monthly Budget]], "Over Budget", "OK"), "-")</f>
        <v>-</v>
      </c>
      <c r="J1162">
        <f>IF(Table1_1[[#This Row],[Type]]="Income", Table1_1[[#This Row],[Amount]], -Table1_1[[#This Row],[Amount]])</f>
        <v>3192</v>
      </c>
    </row>
    <row r="1163" spans="1:10" x14ac:dyDescent="0.25">
      <c r="A1163" s="1">
        <v>45251</v>
      </c>
      <c r="B1163" t="s">
        <v>1178</v>
      </c>
      <c r="C1163" t="s">
        <v>27</v>
      </c>
      <c r="D1163" s="2">
        <v>1910.63</v>
      </c>
      <c r="E1163" t="s">
        <v>14</v>
      </c>
      <c r="F1163" t="s">
        <v>1565</v>
      </c>
      <c r="G1163">
        <v>2023</v>
      </c>
      <c r="H1163">
        <f>IF(Table1_1[[#This Row],[Type]]="Expense", _xlfn.XLOOKUP(Table1_1[[#This Row],[Category]], Budget_Ref[Category], Budget_Ref[Monthly Budget], 0), 0)</f>
        <v>0</v>
      </c>
      <c r="I1163" t="str">
        <f>IF(Table1_1[[#This Row],[Type]]="Expense", IF(Table1_1[[#This Row],[Amount]]&gt;Table1_1[[#This Row],[Monthly Budget]], "Over Budget", "OK"), "-")</f>
        <v>-</v>
      </c>
      <c r="J1163">
        <f>IF(Table1_1[[#This Row],[Type]]="Income", Table1_1[[#This Row],[Amount]], -Table1_1[[#This Row],[Amount]])</f>
        <v>1910.63</v>
      </c>
    </row>
    <row r="1164" spans="1:10" x14ac:dyDescent="0.25">
      <c r="A1164" s="1">
        <v>45252</v>
      </c>
      <c r="B1164" t="s">
        <v>1179</v>
      </c>
      <c r="C1164" t="s">
        <v>11</v>
      </c>
      <c r="D1164" s="2">
        <v>751.52</v>
      </c>
      <c r="E1164" t="s">
        <v>7</v>
      </c>
      <c r="F1164" t="s">
        <v>1565</v>
      </c>
      <c r="G1164">
        <v>2023</v>
      </c>
      <c r="H1164">
        <f>IF(Table1_1[[#This Row],[Type]]="Expense", _xlfn.XLOOKUP(Table1_1[[#This Row],[Category]], Budget_Ref[Category], Budget_Ref[Monthly Budget], 0), 0)</f>
        <v>1500</v>
      </c>
      <c r="I1164" t="str">
        <f>IF(Table1_1[[#This Row],[Type]]="Expense", IF(Table1_1[[#This Row],[Amount]]&gt;Table1_1[[#This Row],[Monthly Budget]], "Over Budget", "OK"), "-")</f>
        <v>OK</v>
      </c>
      <c r="J1164">
        <f>IF(Table1_1[[#This Row],[Type]]="Income", Table1_1[[#This Row],[Amount]], -Table1_1[[#This Row],[Amount]])</f>
        <v>-751.52</v>
      </c>
    </row>
    <row r="1165" spans="1:10" x14ac:dyDescent="0.25">
      <c r="A1165" s="1">
        <v>45253</v>
      </c>
      <c r="B1165" t="s">
        <v>1180</v>
      </c>
      <c r="C1165" t="s">
        <v>11</v>
      </c>
      <c r="D1165" s="2">
        <v>807.55</v>
      </c>
      <c r="E1165" t="s">
        <v>7</v>
      </c>
      <c r="F1165" t="s">
        <v>1565</v>
      </c>
      <c r="G1165">
        <v>2023</v>
      </c>
      <c r="H1165">
        <f>IF(Table1_1[[#This Row],[Type]]="Expense", _xlfn.XLOOKUP(Table1_1[[#This Row],[Category]], Budget_Ref[Category], Budget_Ref[Monthly Budget], 0), 0)</f>
        <v>1500</v>
      </c>
      <c r="I1165" t="str">
        <f>IF(Table1_1[[#This Row],[Type]]="Expense", IF(Table1_1[[#This Row],[Amount]]&gt;Table1_1[[#This Row],[Monthly Budget]], "Over Budget", "OK"), "-")</f>
        <v>OK</v>
      </c>
      <c r="J1165">
        <f>IF(Table1_1[[#This Row],[Type]]="Income", Table1_1[[#This Row],[Amount]], -Table1_1[[#This Row],[Amount]])</f>
        <v>-807.55</v>
      </c>
    </row>
    <row r="1166" spans="1:10" x14ac:dyDescent="0.25">
      <c r="A1166" s="1">
        <v>45253</v>
      </c>
      <c r="B1166" t="s">
        <v>1181</v>
      </c>
      <c r="C1166" t="s">
        <v>35</v>
      </c>
      <c r="D1166" s="2">
        <v>1673.06</v>
      </c>
      <c r="E1166" t="s">
        <v>7</v>
      </c>
      <c r="F1166" t="s">
        <v>1565</v>
      </c>
      <c r="G1166">
        <v>2023</v>
      </c>
      <c r="H1166">
        <f>IF(Table1_1[[#This Row],[Type]]="Expense", _xlfn.XLOOKUP(Table1_1[[#This Row],[Category]], Budget_Ref[Category], Budget_Ref[Monthly Budget], 0), 0)</f>
        <v>200</v>
      </c>
      <c r="I1166" t="str">
        <f>IF(Table1_1[[#This Row],[Type]]="Expense", IF(Table1_1[[#This Row],[Amount]]&gt;Table1_1[[#This Row],[Monthly Budget]], "Over Budget", "OK"), "-")</f>
        <v>Over Budget</v>
      </c>
      <c r="J1166">
        <f>IF(Table1_1[[#This Row],[Type]]="Income", Table1_1[[#This Row],[Amount]], -Table1_1[[#This Row],[Amount]])</f>
        <v>-1673.06</v>
      </c>
    </row>
    <row r="1167" spans="1:10" x14ac:dyDescent="0.25">
      <c r="A1167" s="1">
        <v>45256</v>
      </c>
      <c r="B1167" t="s">
        <v>1182</v>
      </c>
      <c r="C1167" t="s">
        <v>27</v>
      </c>
      <c r="D1167" s="2">
        <v>1601.8</v>
      </c>
      <c r="E1167" t="s">
        <v>14</v>
      </c>
      <c r="F1167" t="s">
        <v>1565</v>
      </c>
      <c r="G1167">
        <v>2023</v>
      </c>
      <c r="H1167">
        <f>IF(Table1_1[[#This Row],[Type]]="Expense", _xlfn.XLOOKUP(Table1_1[[#This Row],[Category]], Budget_Ref[Category], Budget_Ref[Monthly Budget], 0), 0)</f>
        <v>0</v>
      </c>
      <c r="I1167" t="str">
        <f>IF(Table1_1[[#This Row],[Type]]="Expense", IF(Table1_1[[#This Row],[Amount]]&gt;Table1_1[[#This Row],[Monthly Budget]], "Over Budget", "OK"), "-")</f>
        <v>-</v>
      </c>
      <c r="J1167">
        <f>IF(Table1_1[[#This Row],[Type]]="Income", Table1_1[[#This Row],[Amount]], -Table1_1[[#This Row],[Amount]])</f>
        <v>1601.8</v>
      </c>
    </row>
    <row r="1168" spans="1:10" x14ac:dyDescent="0.25">
      <c r="A1168" s="1">
        <v>45256</v>
      </c>
      <c r="B1168" t="s">
        <v>1183</v>
      </c>
      <c r="C1168" t="s">
        <v>9</v>
      </c>
      <c r="D1168" s="2">
        <v>234.98</v>
      </c>
      <c r="E1168" t="s">
        <v>7</v>
      </c>
      <c r="F1168" t="s">
        <v>1565</v>
      </c>
      <c r="G1168">
        <v>2023</v>
      </c>
      <c r="H1168">
        <f>IF(Table1_1[[#This Row],[Type]]="Expense", _xlfn.XLOOKUP(Table1_1[[#This Row],[Category]], Budget_Ref[Category], Budget_Ref[Monthly Budget], 0), 0)</f>
        <v>150</v>
      </c>
      <c r="I1168" t="str">
        <f>IF(Table1_1[[#This Row],[Type]]="Expense", IF(Table1_1[[#This Row],[Amount]]&gt;Table1_1[[#This Row],[Monthly Budget]], "Over Budget", "OK"), "-")</f>
        <v>Over Budget</v>
      </c>
      <c r="J1168">
        <f>IF(Table1_1[[#This Row],[Type]]="Income", Table1_1[[#This Row],[Amount]], -Table1_1[[#This Row],[Amount]])</f>
        <v>-234.98</v>
      </c>
    </row>
    <row r="1169" spans="1:10" x14ac:dyDescent="0.25">
      <c r="A1169" s="1">
        <v>45256</v>
      </c>
      <c r="B1169" t="s">
        <v>1184</v>
      </c>
      <c r="C1169" t="s">
        <v>6</v>
      </c>
      <c r="D1169" s="2">
        <v>1963.32</v>
      </c>
      <c r="E1169" t="s">
        <v>7</v>
      </c>
      <c r="F1169" t="s">
        <v>1565</v>
      </c>
      <c r="G1169">
        <v>2023</v>
      </c>
      <c r="H1169">
        <f>IF(Table1_1[[#This Row],[Type]]="Expense", _xlfn.XLOOKUP(Table1_1[[#This Row],[Category]], Budget_Ref[Category], Budget_Ref[Monthly Budget], 0), 0)</f>
        <v>500</v>
      </c>
      <c r="I1169" t="str">
        <f>IF(Table1_1[[#This Row],[Type]]="Expense", IF(Table1_1[[#This Row],[Amount]]&gt;Table1_1[[#This Row],[Monthly Budget]], "Over Budget", "OK"), "-")</f>
        <v>Over Budget</v>
      </c>
      <c r="J1169">
        <f>IF(Table1_1[[#This Row],[Type]]="Income", Table1_1[[#This Row],[Amount]], -Table1_1[[#This Row],[Amount]])</f>
        <v>-1963.32</v>
      </c>
    </row>
    <row r="1170" spans="1:10" x14ac:dyDescent="0.25">
      <c r="A1170" s="1">
        <v>45256</v>
      </c>
      <c r="B1170" t="s">
        <v>1185</v>
      </c>
      <c r="C1170" t="s">
        <v>11</v>
      </c>
      <c r="D1170" s="2">
        <v>837.9</v>
      </c>
      <c r="E1170" t="s">
        <v>7</v>
      </c>
      <c r="F1170" t="s">
        <v>1565</v>
      </c>
      <c r="G1170">
        <v>2023</v>
      </c>
      <c r="H1170">
        <f>IF(Table1_1[[#This Row],[Type]]="Expense", _xlfn.XLOOKUP(Table1_1[[#This Row],[Category]], Budget_Ref[Category], Budget_Ref[Monthly Budget], 0), 0)</f>
        <v>1500</v>
      </c>
      <c r="I1170" t="str">
        <f>IF(Table1_1[[#This Row],[Type]]="Expense", IF(Table1_1[[#This Row],[Amount]]&gt;Table1_1[[#This Row],[Monthly Budget]], "Over Budget", "OK"), "-")</f>
        <v>OK</v>
      </c>
      <c r="J1170">
        <f>IF(Table1_1[[#This Row],[Type]]="Income", Table1_1[[#This Row],[Amount]], -Table1_1[[#This Row],[Amount]])</f>
        <v>-837.9</v>
      </c>
    </row>
    <row r="1171" spans="1:10" x14ac:dyDescent="0.25">
      <c r="A1171" s="1">
        <v>45257</v>
      </c>
      <c r="B1171" t="s">
        <v>1186</v>
      </c>
      <c r="C1171" t="s">
        <v>27</v>
      </c>
      <c r="D1171" s="2">
        <v>370.71</v>
      </c>
      <c r="E1171" t="s">
        <v>14</v>
      </c>
      <c r="F1171" t="s">
        <v>1565</v>
      </c>
      <c r="G1171">
        <v>2023</v>
      </c>
      <c r="H1171">
        <f>IF(Table1_1[[#This Row],[Type]]="Expense", _xlfn.XLOOKUP(Table1_1[[#This Row],[Category]], Budget_Ref[Category], Budget_Ref[Monthly Budget], 0), 0)</f>
        <v>0</v>
      </c>
      <c r="I1171" t="str">
        <f>IF(Table1_1[[#This Row],[Type]]="Expense", IF(Table1_1[[#This Row],[Amount]]&gt;Table1_1[[#This Row],[Monthly Budget]], "Over Budget", "OK"), "-")</f>
        <v>-</v>
      </c>
      <c r="J1171">
        <f>IF(Table1_1[[#This Row],[Type]]="Income", Table1_1[[#This Row],[Amount]], -Table1_1[[#This Row],[Amount]])</f>
        <v>370.71</v>
      </c>
    </row>
    <row r="1172" spans="1:10" x14ac:dyDescent="0.25">
      <c r="A1172" s="1">
        <v>45257</v>
      </c>
      <c r="B1172" t="s">
        <v>1187</v>
      </c>
      <c r="C1172" t="s">
        <v>25</v>
      </c>
      <c r="D1172" s="2">
        <v>1226.5999999999999</v>
      </c>
      <c r="E1172" t="s">
        <v>7</v>
      </c>
      <c r="F1172" t="s">
        <v>1565</v>
      </c>
      <c r="G1172">
        <v>2023</v>
      </c>
      <c r="H1172">
        <f>IF(Table1_1[[#This Row],[Type]]="Expense", _xlfn.XLOOKUP(Table1_1[[#This Row],[Category]], Budget_Ref[Category], Budget_Ref[Monthly Budget], 0), 0)</f>
        <v>150</v>
      </c>
      <c r="I1172" t="str">
        <f>IF(Table1_1[[#This Row],[Type]]="Expense", IF(Table1_1[[#This Row],[Amount]]&gt;Table1_1[[#This Row],[Monthly Budget]], "Over Budget", "OK"), "-")</f>
        <v>Over Budget</v>
      </c>
      <c r="J1172">
        <f>IF(Table1_1[[#This Row],[Type]]="Income", Table1_1[[#This Row],[Amount]], -Table1_1[[#This Row],[Amount]])</f>
        <v>-1226.5999999999999</v>
      </c>
    </row>
    <row r="1173" spans="1:10" x14ac:dyDescent="0.25">
      <c r="A1173" s="1">
        <v>45258</v>
      </c>
      <c r="B1173" t="s">
        <v>1188</v>
      </c>
      <c r="C1173" t="s">
        <v>9</v>
      </c>
      <c r="D1173" s="2">
        <v>971.33</v>
      </c>
      <c r="E1173" t="s">
        <v>7</v>
      </c>
      <c r="F1173" t="s">
        <v>1565</v>
      </c>
      <c r="G1173">
        <v>2023</v>
      </c>
      <c r="H1173">
        <f>IF(Table1_1[[#This Row],[Type]]="Expense", _xlfn.XLOOKUP(Table1_1[[#This Row],[Category]], Budget_Ref[Category], Budget_Ref[Monthly Budget], 0), 0)</f>
        <v>150</v>
      </c>
      <c r="I1173" t="str">
        <f>IF(Table1_1[[#This Row],[Type]]="Expense", IF(Table1_1[[#This Row],[Amount]]&gt;Table1_1[[#This Row],[Monthly Budget]], "Over Budget", "OK"), "-")</f>
        <v>Over Budget</v>
      </c>
      <c r="J1173">
        <f>IF(Table1_1[[#This Row],[Type]]="Income", Table1_1[[#This Row],[Amount]], -Table1_1[[#This Row],[Amount]])</f>
        <v>-971.33</v>
      </c>
    </row>
    <row r="1174" spans="1:10" x14ac:dyDescent="0.25">
      <c r="A1174" s="1">
        <v>45258</v>
      </c>
      <c r="B1174" t="s">
        <v>1189</v>
      </c>
      <c r="C1174" t="s">
        <v>17</v>
      </c>
      <c r="D1174" s="2">
        <v>886.97</v>
      </c>
      <c r="E1174" t="s">
        <v>7</v>
      </c>
      <c r="F1174" t="s">
        <v>1565</v>
      </c>
      <c r="G1174">
        <v>2023</v>
      </c>
      <c r="H1174">
        <f>IF(Table1_1[[#This Row],[Type]]="Expense", _xlfn.XLOOKUP(Table1_1[[#This Row],[Category]], Budget_Ref[Category], Budget_Ref[Monthly Budget], 0), 0)</f>
        <v>300</v>
      </c>
      <c r="I1174" t="str">
        <f>IF(Table1_1[[#This Row],[Type]]="Expense", IF(Table1_1[[#This Row],[Amount]]&gt;Table1_1[[#This Row],[Monthly Budget]], "Over Budget", "OK"), "-")</f>
        <v>Over Budget</v>
      </c>
      <c r="J1174">
        <f>IF(Table1_1[[#This Row],[Type]]="Income", Table1_1[[#This Row],[Amount]], -Table1_1[[#This Row],[Amount]])</f>
        <v>-886.97</v>
      </c>
    </row>
    <row r="1175" spans="1:10" x14ac:dyDescent="0.25">
      <c r="A1175" s="1">
        <v>45259</v>
      </c>
      <c r="B1175" t="s">
        <v>1190</v>
      </c>
      <c r="C1175" t="s">
        <v>20</v>
      </c>
      <c r="D1175" s="2">
        <v>601</v>
      </c>
      <c r="E1175" t="s">
        <v>14</v>
      </c>
      <c r="F1175" t="s">
        <v>1565</v>
      </c>
      <c r="G1175">
        <v>2023</v>
      </c>
      <c r="H1175">
        <f>IF(Table1_1[[#This Row],[Type]]="Expense", _xlfn.XLOOKUP(Table1_1[[#This Row],[Category]], Budget_Ref[Category], Budget_Ref[Monthly Budget], 0), 0)</f>
        <v>0</v>
      </c>
      <c r="I1175" t="str">
        <f>IF(Table1_1[[#This Row],[Type]]="Expense", IF(Table1_1[[#This Row],[Amount]]&gt;Table1_1[[#This Row],[Monthly Budget]], "Over Budget", "OK"), "-")</f>
        <v>-</v>
      </c>
      <c r="J1175">
        <f>IF(Table1_1[[#This Row],[Type]]="Income", Table1_1[[#This Row],[Amount]], -Table1_1[[#This Row],[Amount]])</f>
        <v>601</v>
      </c>
    </row>
    <row r="1176" spans="1:10" x14ac:dyDescent="0.25">
      <c r="A1176" s="1">
        <v>45265</v>
      </c>
      <c r="B1176" t="s">
        <v>1191</v>
      </c>
      <c r="C1176" t="s">
        <v>22</v>
      </c>
      <c r="D1176" s="2">
        <v>1956.01</v>
      </c>
      <c r="E1176" t="s">
        <v>7</v>
      </c>
      <c r="F1176" t="s">
        <v>1566</v>
      </c>
      <c r="G1176">
        <v>2023</v>
      </c>
      <c r="H1176">
        <f>IF(Table1_1[[#This Row],[Type]]="Expense", _xlfn.XLOOKUP(Table1_1[[#This Row],[Category]], Budget_Ref[Category], Budget_Ref[Monthly Budget], 0), 0)</f>
        <v>200</v>
      </c>
      <c r="I1176" t="str">
        <f>IF(Table1_1[[#This Row],[Type]]="Expense", IF(Table1_1[[#This Row],[Amount]]&gt;Table1_1[[#This Row],[Monthly Budget]], "Over Budget", "OK"), "-")</f>
        <v>Over Budget</v>
      </c>
      <c r="J1176">
        <f>IF(Table1_1[[#This Row],[Type]]="Income", Table1_1[[#This Row],[Amount]], -Table1_1[[#This Row],[Amount]])</f>
        <v>-1956.01</v>
      </c>
    </row>
    <row r="1177" spans="1:10" x14ac:dyDescent="0.25">
      <c r="A1177" s="1">
        <v>45265</v>
      </c>
      <c r="B1177" t="s">
        <v>1192</v>
      </c>
      <c r="C1177" t="s">
        <v>25</v>
      </c>
      <c r="D1177" s="2">
        <v>1043.01</v>
      </c>
      <c r="E1177" t="s">
        <v>7</v>
      </c>
      <c r="F1177" t="s">
        <v>1566</v>
      </c>
      <c r="G1177">
        <v>2023</v>
      </c>
      <c r="H1177">
        <f>IF(Table1_1[[#This Row],[Type]]="Expense", _xlfn.XLOOKUP(Table1_1[[#This Row],[Category]], Budget_Ref[Category], Budget_Ref[Monthly Budget], 0), 0)</f>
        <v>150</v>
      </c>
      <c r="I1177" t="str">
        <f>IF(Table1_1[[#This Row],[Type]]="Expense", IF(Table1_1[[#This Row],[Amount]]&gt;Table1_1[[#This Row],[Monthly Budget]], "Over Budget", "OK"), "-")</f>
        <v>Over Budget</v>
      </c>
      <c r="J1177">
        <f>IF(Table1_1[[#This Row],[Type]]="Income", Table1_1[[#This Row],[Amount]], -Table1_1[[#This Row],[Amount]])</f>
        <v>-1043.01</v>
      </c>
    </row>
    <row r="1178" spans="1:10" x14ac:dyDescent="0.25">
      <c r="A1178" s="1">
        <v>45266</v>
      </c>
      <c r="B1178" t="s">
        <v>1193</v>
      </c>
      <c r="C1178" t="s">
        <v>11</v>
      </c>
      <c r="D1178" s="2">
        <v>871.37</v>
      </c>
      <c r="E1178" t="s">
        <v>7</v>
      </c>
      <c r="F1178" t="s">
        <v>1566</v>
      </c>
      <c r="G1178">
        <v>2023</v>
      </c>
      <c r="H1178">
        <f>IF(Table1_1[[#This Row],[Type]]="Expense", _xlfn.XLOOKUP(Table1_1[[#This Row],[Category]], Budget_Ref[Category], Budget_Ref[Monthly Budget], 0), 0)</f>
        <v>1500</v>
      </c>
      <c r="I1178" t="str">
        <f>IF(Table1_1[[#This Row],[Type]]="Expense", IF(Table1_1[[#This Row],[Amount]]&gt;Table1_1[[#This Row],[Monthly Budget]], "Over Budget", "OK"), "-")</f>
        <v>OK</v>
      </c>
      <c r="J1178">
        <f>IF(Table1_1[[#This Row],[Type]]="Income", Table1_1[[#This Row],[Amount]], -Table1_1[[#This Row],[Amount]])</f>
        <v>-871.37</v>
      </c>
    </row>
    <row r="1179" spans="1:10" x14ac:dyDescent="0.25">
      <c r="A1179" s="1">
        <v>45268</v>
      </c>
      <c r="B1179" t="s">
        <v>1194</v>
      </c>
      <c r="C1179" t="s">
        <v>27</v>
      </c>
      <c r="D1179" s="2">
        <v>698.04</v>
      </c>
      <c r="E1179" t="s">
        <v>14</v>
      </c>
      <c r="F1179" t="s">
        <v>1566</v>
      </c>
      <c r="G1179">
        <v>2023</v>
      </c>
      <c r="H1179">
        <f>IF(Table1_1[[#This Row],[Type]]="Expense", _xlfn.XLOOKUP(Table1_1[[#This Row],[Category]], Budget_Ref[Category], Budget_Ref[Monthly Budget], 0), 0)</f>
        <v>0</v>
      </c>
      <c r="I1179" t="str">
        <f>IF(Table1_1[[#This Row],[Type]]="Expense", IF(Table1_1[[#This Row],[Amount]]&gt;Table1_1[[#This Row],[Monthly Budget]], "Over Budget", "OK"), "-")</f>
        <v>-</v>
      </c>
      <c r="J1179">
        <f>IF(Table1_1[[#This Row],[Type]]="Income", Table1_1[[#This Row],[Amount]], -Table1_1[[#This Row],[Amount]])</f>
        <v>698.04</v>
      </c>
    </row>
    <row r="1180" spans="1:10" x14ac:dyDescent="0.25">
      <c r="A1180" s="1">
        <v>45269</v>
      </c>
      <c r="B1180" t="s">
        <v>1195</v>
      </c>
      <c r="C1180" t="s">
        <v>17</v>
      </c>
      <c r="D1180" s="2">
        <v>305.82</v>
      </c>
      <c r="E1180" t="s">
        <v>7</v>
      </c>
      <c r="F1180" t="s">
        <v>1566</v>
      </c>
      <c r="G1180">
        <v>2023</v>
      </c>
      <c r="H1180">
        <f>IF(Table1_1[[#This Row],[Type]]="Expense", _xlfn.XLOOKUP(Table1_1[[#This Row],[Category]], Budget_Ref[Category], Budget_Ref[Monthly Budget], 0), 0)</f>
        <v>300</v>
      </c>
      <c r="I1180" t="str">
        <f>IF(Table1_1[[#This Row],[Type]]="Expense", IF(Table1_1[[#This Row],[Amount]]&gt;Table1_1[[#This Row],[Monthly Budget]], "Over Budget", "OK"), "-")</f>
        <v>Over Budget</v>
      </c>
      <c r="J1180">
        <f>IF(Table1_1[[#This Row],[Type]]="Income", Table1_1[[#This Row],[Amount]], -Table1_1[[#This Row],[Amount]])</f>
        <v>-305.82</v>
      </c>
    </row>
    <row r="1181" spans="1:10" x14ac:dyDescent="0.25">
      <c r="A1181" s="1">
        <v>45269</v>
      </c>
      <c r="B1181" t="s">
        <v>1196</v>
      </c>
      <c r="C1181" t="s">
        <v>6</v>
      </c>
      <c r="D1181" s="2">
        <v>33.17</v>
      </c>
      <c r="E1181" t="s">
        <v>7</v>
      </c>
      <c r="F1181" t="s">
        <v>1566</v>
      </c>
      <c r="G1181">
        <v>2023</v>
      </c>
      <c r="H1181">
        <f>IF(Table1_1[[#This Row],[Type]]="Expense", _xlfn.XLOOKUP(Table1_1[[#This Row],[Category]], Budget_Ref[Category], Budget_Ref[Monthly Budget], 0), 0)</f>
        <v>500</v>
      </c>
      <c r="I1181" t="str">
        <f>IF(Table1_1[[#This Row],[Type]]="Expense", IF(Table1_1[[#This Row],[Amount]]&gt;Table1_1[[#This Row],[Monthly Budget]], "Over Budget", "OK"), "-")</f>
        <v>OK</v>
      </c>
      <c r="J1181">
        <f>IF(Table1_1[[#This Row],[Type]]="Income", Table1_1[[#This Row],[Amount]], -Table1_1[[#This Row],[Amount]])</f>
        <v>-33.17</v>
      </c>
    </row>
    <row r="1182" spans="1:10" x14ac:dyDescent="0.25">
      <c r="A1182" s="1">
        <v>45270</v>
      </c>
      <c r="B1182" t="s">
        <v>1197</v>
      </c>
      <c r="C1182" t="s">
        <v>27</v>
      </c>
      <c r="D1182" s="2">
        <v>1705.22</v>
      </c>
      <c r="E1182" t="s">
        <v>14</v>
      </c>
      <c r="F1182" t="s">
        <v>1566</v>
      </c>
      <c r="G1182">
        <v>2023</v>
      </c>
      <c r="H1182">
        <f>IF(Table1_1[[#This Row],[Type]]="Expense", _xlfn.XLOOKUP(Table1_1[[#This Row],[Category]], Budget_Ref[Category], Budget_Ref[Monthly Budget], 0), 0)</f>
        <v>0</v>
      </c>
      <c r="I1182" t="str">
        <f>IF(Table1_1[[#This Row],[Type]]="Expense", IF(Table1_1[[#This Row],[Amount]]&gt;Table1_1[[#This Row],[Monthly Budget]], "Over Budget", "OK"), "-")</f>
        <v>-</v>
      </c>
      <c r="J1182">
        <f>IF(Table1_1[[#This Row],[Type]]="Income", Table1_1[[#This Row],[Amount]], -Table1_1[[#This Row],[Amount]])</f>
        <v>1705.22</v>
      </c>
    </row>
    <row r="1183" spans="1:10" x14ac:dyDescent="0.25">
      <c r="A1183" s="1">
        <v>45271</v>
      </c>
      <c r="B1183" t="s">
        <v>1198</v>
      </c>
      <c r="C1183" t="s">
        <v>11</v>
      </c>
      <c r="D1183" s="2">
        <v>1505.35</v>
      </c>
      <c r="E1183" t="s">
        <v>7</v>
      </c>
      <c r="F1183" t="s">
        <v>1566</v>
      </c>
      <c r="G1183">
        <v>2023</v>
      </c>
      <c r="H1183">
        <f>IF(Table1_1[[#This Row],[Type]]="Expense", _xlfn.XLOOKUP(Table1_1[[#This Row],[Category]], Budget_Ref[Category], Budget_Ref[Monthly Budget], 0), 0)</f>
        <v>1500</v>
      </c>
      <c r="I1183" t="str">
        <f>IF(Table1_1[[#This Row],[Type]]="Expense", IF(Table1_1[[#This Row],[Amount]]&gt;Table1_1[[#This Row],[Monthly Budget]], "Over Budget", "OK"), "-")</f>
        <v>Over Budget</v>
      </c>
      <c r="J1183">
        <f>IF(Table1_1[[#This Row],[Type]]="Income", Table1_1[[#This Row],[Amount]], -Table1_1[[#This Row],[Amount]])</f>
        <v>-1505.35</v>
      </c>
    </row>
    <row r="1184" spans="1:10" x14ac:dyDescent="0.25">
      <c r="A1184" s="1">
        <v>45273</v>
      </c>
      <c r="B1184" t="s">
        <v>1199</v>
      </c>
      <c r="C1184" t="s">
        <v>25</v>
      </c>
      <c r="D1184" s="2">
        <v>1940.59</v>
      </c>
      <c r="E1184" t="s">
        <v>7</v>
      </c>
      <c r="F1184" t="s">
        <v>1566</v>
      </c>
      <c r="G1184">
        <v>2023</v>
      </c>
      <c r="H1184">
        <f>IF(Table1_1[[#This Row],[Type]]="Expense", _xlfn.XLOOKUP(Table1_1[[#This Row],[Category]], Budget_Ref[Category], Budget_Ref[Monthly Budget], 0), 0)</f>
        <v>150</v>
      </c>
      <c r="I1184" t="str">
        <f>IF(Table1_1[[#This Row],[Type]]="Expense", IF(Table1_1[[#This Row],[Amount]]&gt;Table1_1[[#This Row],[Monthly Budget]], "Over Budget", "OK"), "-")</f>
        <v>Over Budget</v>
      </c>
      <c r="J1184">
        <f>IF(Table1_1[[#This Row],[Type]]="Income", Table1_1[[#This Row],[Amount]], -Table1_1[[#This Row],[Amount]])</f>
        <v>-1940.59</v>
      </c>
    </row>
    <row r="1185" spans="1:10" x14ac:dyDescent="0.25">
      <c r="A1185" s="1">
        <v>45274</v>
      </c>
      <c r="B1185" t="s">
        <v>1200</v>
      </c>
      <c r="C1185" t="s">
        <v>13</v>
      </c>
      <c r="D1185" s="2">
        <v>3601</v>
      </c>
      <c r="E1185" t="s">
        <v>14</v>
      </c>
      <c r="F1185" t="s">
        <v>1566</v>
      </c>
      <c r="G1185">
        <v>2023</v>
      </c>
      <c r="H1185">
        <f>IF(Table1_1[[#This Row],[Type]]="Expense", _xlfn.XLOOKUP(Table1_1[[#This Row],[Category]], Budget_Ref[Category], Budget_Ref[Monthly Budget], 0), 0)</f>
        <v>0</v>
      </c>
      <c r="I1185" t="str">
        <f>IF(Table1_1[[#This Row],[Type]]="Expense", IF(Table1_1[[#This Row],[Amount]]&gt;Table1_1[[#This Row],[Monthly Budget]], "Over Budget", "OK"), "-")</f>
        <v>-</v>
      </c>
      <c r="J1185">
        <f>IF(Table1_1[[#This Row],[Type]]="Income", Table1_1[[#This Row],[Amount]], -Table1_1[[#This Row],[Amount]])</f>
        <v>3601</v>
      </c>
    </row>
    <row r="1186" spans="1:10" x14ac:dyDescent="0.25">
      <c r="A1186" s="1">
        <v>45274</v>
      </c>
      <c r="B1186" t="s">
        <v>1201</v>
      </c>
      <c r="C1186" t="s">
        <v>22</v>
      </c>
      <c r="D1186" s="2">
        <v>166.87</v>
      </c>
      <c r="E1186" t="s">
        <v>7</v>
      </c>
      <c r="F1186" t="s">
        <v>1566</v>
      </c>
      <c r="G1186">
        <v>2023</v>
      </c>
      <c r="H1186">
        <f>IF(Table1_1[[#This Row],[Type]]="Expense", _xlfn.XLOOKUP(Table1_1[[#This Row],[Category]], Budget_Ref[Category], Budget_Ref[Monthly Budget], 0), 0)</f>
        <v>200</v>
      </c>
      <c r="I1186" t="str">
        <f>IF(Table1_1[[#This Row],[Type]]="Expense", IF(Table1_1[[#This Row],[Amount]]&gt;Table1_1[[#This Row],[Monthly Budget]], "Over Budget", "OK"), "-")</f>
        <v>OK</v>
      </c>
      <c r="J1186">
        <f>IF(Table1_1[[#This Row],[Type]]="Income", Table1_1[[#This Row],[Amount]], -Table1_1[[#This Row],[Amount]])</f>
        <v>-166.87</v>
      </c>
    </row>
    <row r="1187" spans="1:10" x14ac:dyDescent="0.25">
      <c r="A1187" s="1">
        <v>45278</v>
      </c>
      <c r="B1187" t="s">
        <v>1202</v>
      </c>
      <c r="C1187" t="s">
        <v>27</v>
      </c>
      <c r="D1187" s="2">
        <v>185.16</v>
      </c>
      <c r="E1187" t="s">
        <v>14</v>
      </c>
      <c r="F1187" t="s">
        <v>1566</v>
      </c>
      <c r="G1187">
        <v>2023</v>
      </c>
      <c r="H1187">
        <f>IF(Table1_1[[#This Row],[Type]]="Expense", _xlfn.XLOOKUP(Table1_1[[#This Row],[Category]], Budget_Ref[Category], Budget_Ref[Monthly Budget], 0), 0)</f>
        <v>0</v>
      </c>
      <c r="I1187" t="str">
        <f>IF(Table1_1[[#This Row],[Type]]="Expense", IF(Table1_1[[#This Row],[Amount]]&gt;Table1_1[[#This Row],[Monthly Budget]], "Over Budget", "OK"), "-")</f>
        <v>-</v>
      </c>
      <c r="J1187">
        <f>IF(Table1_1[[#This Row],[Type]]="Income", Table1_1[[#This Row],[Amount]], -Table1_1[[#This Row],[Amount]])</f>
        <v>185.16</v>
      </c>
    </row>
    <row r="1188" spans="1:10" x14ac:dyDescent="0.25">
      <c r="A1188" s="1">
        <v>45280</v>
      </c>
      <c r="B1188" t="s">
        <v>1203</v>
      </c>
      <c r="C1188" t="s">
        <v>25</v>
      </c>
      <c r="D1188" s="2">
        <v>246.23</v>
      </c>
      <c r="E1188" t="s">
        <v>7</v>
      </c>
      <c r="F1188" t="s">
        <v>1566</v>
      </c>
      <c r="G1188">
        <v>2023</v>
      </c>
      <c r="H1188">
        <f>IF(Table1_1[[#This Row],[Type]]="Expense", _xlfn.XLOOKUP(Table1_1[[#This Row],[Category]], Budget_Ref[Category], Budget_Ref[Monthly Budget], 0), 0)</f>
        <v>150</v>
      </c>
      <c r="I1188" t="str">
        <f>IF(Table1_1[[#This Row],[Type]]="Expense", IF(Table1_1[[#This Row],[Amount]]&gt;Table1_1[[#This Row],[Monthly Budget]], "Over Budget", "OK"), "-")</f>
        <v>Over Budget</v>
      </c>
      <c r="J1188">
        <f>IF(Table1_1[[#This Row],[Type]]="Income", Table1_1[[#This Row],[Amount]], -Table1_1[[#This Row],[Amount]])</f>
        <v>-246.23</v>
      </c>
    </row>
    <row r="1189" spans="1:10" x14ac:dyDescent="0.25">
      <c r="A1189" s="1">
        <v>45281</v>
      </c>
      <c r="B1189" t="s">
        <v>1204</v>
      </c>
      <c r="C1189" t="s">
        <v>6</v>
      </c>
      <c r="D1189" s="2">
        <v>214.26</v>
      </c>
      <c r="E1189" t="s">
        <v>7</v>
      </c>
      <c r="F1189" t="s">
        <v>1566</v>
      </c>
      <c r="G1189">
        <v>2023</v>
      </c>
      <c r="H1189">
        <f>IF(Table1_1[[#This Row],[Type]]="Expense", _xlfn.XLOOKUP(Table1_1[[#This Row],[Category]], Budget_Ref[Category], Budget_Ref[Monthly Budget], 0), 0)</f>
        <v>500</v>
      </c>
      <c r="I1189" t="str">
        <f>IF(Table1_1[[#This Row],[Type]]="Expense", IF(Table1_1[[#This Row],[Amount]]&gt;Table1_1[[#This Row],[Monthly Budget]], "Over Budget", "OK"), "-")</f>
        <v>OK</v>
      </c>
      <c r="J1189">
        <f>IF(Table1_1[[#This Row],[Type]]="Income", Table1_1[[#This Row],[Amount]], -Table1_1[[#This Row],[Amount]])</f>
        <v>-214.26</v>
      </c>
    </row>
    <row r="1190" spans="1:10" x14ac:dyDescent="0.25">
      <c r="A1190" s="1">
        <v>45282</v>
      </c>
      <c r="B1190" t="s">
        <v>1205</v>
      </c>
      <c r="C1190" t="s">
        <v>6</v>
      </c>
      <c r="D1190" s="2">
        <v>1653.56</v>
      </c>
      <c r="E1190" t="s">
        <v>7</v>
      </c>
      <c r="F1190" t="s">
        <v>1566</v>
      </c>
      <c r="G1190">
        <v>2023</v>
      </c>
      <c r="H1190">
        <f>IF(Table1_1[[#This Row],[Type]]="Expense", _xlfn.XLOOKUP(Table1_1[[#This Row],[Category]], Budget_Ref[Category], Budget_Ref[Monthly Budget], 0), 0)</f>
        <v>500</v>
      </c>
      <c r="I1190" t="str">
        <f>IF(Table1_1[[#This Row],[Type]]="Expense", IF(Table1_1[[#This Row],[Amount]]&gt;Table1_1[[#This Row],[Monthly Budget]], "Over Budget", "OK"), "-")</f>
        <v>Over Budget</v>
      </c>
      <c r="J1190">
        <f>IF(Table1_1[[#This Row],[Type]]="Income", Table1_1[[#This Row],[Amount]], -Table1_1[[#This Row],[Amount]])</f>
        <v>-1653.56</v>
      </c>
    </row>
    <row r="1191" spans="1:10" x14ac:dyDescent="0.25">
      <c r="A1191" s="1">
        <v>45283</v>
      </c>
      <c r="B1191" t="s">
        <v>1206</v>
      </c>
      <c r="C1191" t="s">
        <v>35</v>
      </c>
      <c r="D1191" s="2">
        <v>1781.32</v>
      </c>
      <c r="E1191" t="s">
        <v>7</v>
      </c>
      <c r="F1191" t="s">
        <v>1566</v>
      </c>
      <c r="G1191">
        <v>2023</v>
      </c>
      <c r="H1191">
        <f>IF(Table1_1[[#This Row],[Type]]="Expense", _xlfn.XLOOKUP(Table1_1[[#This Row],[Category]], Budget_Ref[Category], Budget_Ref[Monthly Budget], 0), 0)</f>
        <v>200</v>
      </c>
      <c r="I1191" t="str">
        <f>IF(Table1_1[[#This Row],[Type]]="Expense", IF(Table1_1[[#This Row],[Amount]]&gt;Table1_1[[#This Row],[Monthly Budget]], "Over Budget", "OK"), "-")</f>
        <v>Over Budget</v>
      </c>
      <c r="J1191">
        <f>IF(Table1_1[[#This Row],[Type]]="Income", Table1_1[[#This Row],[Amount]], -Table1_1[[#This Row],[Amount]])</f>
        <v>-1781.32</v>
      </c>
    </row>
    <row r="1192" spans="1:10" x14ac:dyDescent="0.25">
      <c r="A1192" s="1">
        <v>45285</v>
      </c>
      <c r="B1192" t="s">
        <v>1207</v>
      </c>
      <c r="C1192" t="s">
        <v>27</v>
      </c>
      <c r="D1192" s="2">
        <v>1901.21</v>
      </c>
      <c r="E1192" t="s">
        <v>14</v>
      </c>
      <c r="F1192" t="s">
        <v>1566</v>
      </c>
      <c r="G1192">
        <v>2023</v>
      </c>
      <c r="H1192">
        <f>IF(Table1_1[[#This Row],[Type]]="Expense", _xlfn.XLOOKUP(Table1_1[[#This Row],[Category]], Budget_Ref[Category], Budget_Ref[Monthly Budget], 0), 0)</f>
        <v>0</v>
      </c>
      <c r="I1192" t="str">
        <f>IF(Table1_1[[#This Row],[Type]]="Expense", IF(Table1_1[[#This Row],[Amount]]&gt;Table1_1[[#This Row],[Monthly Budget]], "Over Budget", "OK"), "-")</f>
        <v>-</v>
      </c>
      <c r="J1192">
        <f>IF(Table1_1[[#This Row],[Type]]="Income", Table1_1[[#This Row],[Amount]], -Table1_1[[#This Row],[Amount]])</f>
        <v>1901.21</v>
      </c>
    </row>
    <row r="1193" spans="1:10" x14ac:dyDescent="0.25">
      <c r="A1193" s="1">
        <v>45286</v>
      </c>
      <c r="B1193" t="s">
        <v>1208</v>
      </c>
      <c r="C1193" t="s">
        <v>6</v>
      </c>
      <c r="D1193" s="2">
        <v>1635.01</v>
      </c>
      <c r="E1193" t="s">
        <v>7</v>
      </c>
      <c r="F1193" t="s">
        <v>1566</v>
      </c>
      <c r="G1193">
        <v>2023</v>
      </c>
      <c r="H1193">
        <f>IF(Table1_1[[#This Row],[Type]]="Expense", _xlfn.XLOOKUP(Table1_1[[#This Row],[Category]], Budget_Ref[Category], Budget_Ref[Monthly Budget], 0), 0)</f>
        <v>500</v>
      </c>
      <c r="I1193" t="str">
        <f>IF(Table1_1[[#This Row],[Type]]="Expense", IF(Table1_1[[#This Row],[Amount]]&gt;Table1_1[[#This Row],[Monthly Budget]], "Over Budget", "OK"), "-")</f>
        <v>Over Budget</v>
      </c>
      <c r="J1193">
        <f>IF(Table1_1[[#This Row],[Type]]="Income", Table1_1[[#This Row],[Amount]], -Table1_1[[#This Row],[Amount]])</f>
        <v>-1635.01</v>
      </c>
    </row>
    <row r="1194" spans="1:10" x14ac:dyDescent="0.25">
      <c r="A1194" s="1">
        <v>45287</v>
      </c>
      <c r="B1194" t="s">
        <v>1209</v>
      </c>
      <c r="C1194" t="s">
        <v>25</v>
      </c>
      <c r="D1194" s="2">
        <v>1124.7</v>
      </c>
      <c r="E1194" t="s">
        <v>7</v>
      </c>
      <c r="F1194" t="s">
        <v>1566</v>
      </c>
      <c r="G1194">
        <v>2023</v>
      </c>
      <c r="H1194">
        <f>IF(Table1_1[[#This Row],[Type]]="Expense", _xlfn.XLOOKUP(Table1_1[[#This Row],[Category]], Budget_Ref[Category], Budget_Ref[Monthly Budget], 0), 0)</f>
        <v>150</v>
      </c>
      <c r="I1194" t="str">
        <f>IF(Table1_1[[#This Row],[Type]]="Expense", IF(Table1_1[[#This Row],[Amount]]&gt;Table1_1[[#This Row],[Monthly Budget]], "Over Budget", "OK"), "-")</f>
        <v>Over Budget</v>
      </c>
      <c r="J1194">
        <f>IF(Table1_1[[#This Row],[Type]]="Income", Table1_1[[#This Row],[Amount]], -Table1_1[[#This Row],[Amount]])</f>
        <v>-1124.7</v>
      </c>
    </row>
    <row r="1195" spans="1:10" x14ac:dyDescent="0.25">
      <c r="A1195" s="1">
        <v>45289</v>
      </c>
      <c r="B1195" t="s">
        <v>1210</v>
      </c>
      <c r="C1195" t="s">
        <v>27</v>
      </c>
      <c r="D1195" s="2">
        <v>1436.15</v>
      </c>
      <c r="E1195" t="s">
        <v>14</v>
      </c>
      <c r="F1195" t="s">
        <v>1566</v>
      </c>
      <c r="G1195">
        <v>2023</v>
      </c>
      <c r="H1195">
        <f>IF(Table1_1[[#This Row],[Type]]="Expense", _xlfn.XLOOKUP(Table1_1[[#This Row],[Category]], Budget_Ref[Category], Budget_Ref[Monthly Budget], 0), 0)</f>
        <v>0</v>
      </c>
      <c r="I1195" t="str">
        <f>IF(Table1_1[[#This Row],[Type]]="Expense", IF(Table1_1[[#This Row],[Amount]]&gt;Table1_1[[#This Row],[Monthly Budget]], "Over Budget", "OK"), "-")</f>
        <v>-</v>
      </c>
      <c r="J1195">
        <f>IF(Table1_1[[#This Row],[Type]]="Income", Table1_1[[#This Row],[Amount]], -Table1_1[[#This Row],[Amount]])</f>
        <v>1436.15</v>
      </c>
    </row>
    <row r="1196" spans="1:10" x14ac:dyDescent="0.25">
      <c r="A1196" s="1">
        <v>45289</v>
      </c>
      <c r="B1196" t="s">
        <v>1211</v>
      </c>
      <c r="C1196" t="s">
        <v>27</v>
      </c>
      <c r="D1196" s="2">
        <v>236.91</v>
      </c>
      <c r="E1196" t="s">
        <v>14</v>
      </c>
      <c r="F1196" t="s">
        <v>1566</v>
      </c>
      <c r="G1196">
        <v>2023</v>
      </c>
      <c r="H1196">
        <f>IF(Table1_1[[#This Row],[Type]]="Expense", _xlfn.XLOOKUP(Table1_1[[#This Row],[Category]], Budget_Ref[Category], Budget_Ref[Monthly Budget], 0), 0)</f>
        <v>0</v>
      </c>
      <c r="I1196" t="str">
        <f>IF(Table1_1[[#This Row],[Type]]="Expense", IF(Table1_1[[#This Row],[Amount]]&gt;Table1_1[[#This Row],[Monthly Budget]], "Over Budget", "OK"), "-")</f>
        <v>-</v>
      </c>
      <c r="J1196">
        <f>IF(Table1_1[[#This Row],[Type]]="Income", Table1_1[[#This Row],[Amount]], -Table1_1[[#This Row],[Amount]])</f>
        <v>236.91</v>
      </c>
    </row>
    <row r="1197" spans="1:10" x14ac:dyDescent="0.25">
      <c r="A1197" s="1">
        <v>45289</v>
      </c>
      <c r="B1197" t="s">
        <v>1212</v>
      </c>
      <c r="C1197" t="s">
        <v>22</v>
      </c>
      <c r="D1197" s="2">
        <v>14.37</v>
      </c>
      <c r="E1197" t="s">
        <v>7</v>
      </c>
      <c r="F1197" t="s">
        <v>1566</v>
      </c>
      <c r="G1197">
        <v>2023</v>
      </c>
      <c r="H1197">
        <f>IF(Table1_1[[#This Row],[Type]]="Expense", _xlfn.XLOOKUP(Table1_1[[#This Row],[Category]], Budget_Ref[Category], Budget_Ref[Monthly Budget], 0), 0)</f>
        <v>200</v>
      </c>
      <c r="I1197" t="str">
        <f>IF(Table1_1[[#This Row],[Type]]="Expense", IF(Table1_1[[#This Row],[Amount]]&gt;Table1_1[[#This Row],[Monthly Budget]], "Over Budget", "OK"), "-")</f>
        <v>OK</v>
      </c>
      <c r="J1197">
        <f>IF(Table1_1[[#This Row],[Type]]="Income", Table1_1[[#This Row],[Amount]], -Table1_1[[#This Row],[Amount]])</f>
        <v>-14.37</v>
      </c>
    </row>
    <row r="1198" spans="1:10" x14ac:dyDescent="0.25">
      <c r="A1198" s="1">
        <v>45293</v>
      </c>
      <c r="B1198" t="s">
        <v>1213</v>
      </c>
      <c r="C1198" t="s">
        <v>35</v>
      </c>
      <c r="D1198" s="2">
        <v>1099.9000000000001</v>
      </c>
      <c r="E1198" t="s">
        <v>7</v>
      </c>
      <c r="F1198" t="s">
        <v>1567</v>
      </c>
      <c r="G1198">
        <v>2024</v>
      </c>
      <c r="H1198">
        <f>IF(Table1_1[[#This Row],[Type]]="Expense", _xlfn.XLOOKUP(Table1_1[[#This Row],[Category]], Budget_Ref[Category], Budget_Ref[Monthly Budget], 0), 0)</f>
        <v>200</v>
      </c>
      <c r="I1198" t="str">
        <f>IF(Table1_1[[#This Row],[Type]]="Expense", IF(Table1_1[[#This Row],[Amount]]&gt;Table1_1[[#This Row],[Monthly Budget]], "Over Budget", "OK"), "-")</f>
        <v>Over Budget</v>
      </c>
      <c r="J1198">
        <f>IF(Table1_1[[#This Row],[Type]]="Income", Table1_1[[#This Row],[Amount]], -Table1_1[[#This Row],[Amount]])</f>
        <v>-1099.9000000000001</v>
      </c>
    </row>
    <row r="1199" spans="1:10" x14ac:dyDescent="0.25">
      <c r="A1199" s="1">
        <v>45293</v>
      </c>
      <c r="B1199" t="s">
        <v>1214</v>
      </c>
      <c r="C1199" t="s">
        <v>11</v>
      </c>
      <c r="D1199" s="2">
        <v>101.1</v>
      </c>
      <c r="E1199" t="s">
        <v>7</v>
      </c>
      <c r="F1199" t="s">
        <v>1567</v>
      </c>
      <c r="G1199">
        <v>2024</v>
      </c>
      <c r="H1199">
        <f>IF(Table1_1[[#This Row],[Type]]="Expense", _xlfn.XLOOKUP(Table1_1[[#This Row],[Category]], Budget_Ref[Category], Budget_Ref[Monthly Budget], 0), 0)</f>
        <v>1500</v>
      </c>
      <c r="I1199" t="str">
        <f>IF(Table1_1[[#This Row],[Type]]="Expense", IF(Table1_1[[#This Row],[Amount]]&gt;Table1_1[[#This Row],[Monthly Budget]], "Over Budget", "OK"), "-")</f>
        <v>OK</v>
      </c>
      <c r="J1199">
        <f>IF(Table1_1[[#This Row],[Type]]="Income", Table1_1[[#This Row],[Amount]], -Table1_1[[#This Row],[Amount]])</f>
        <v>-101.1</v>
      </c>
    </row>
    <row r="1200" spans="1:10" x14ac:dyDescent="0.25">
      <c r="A1200" s="1">
        <v>45295</v>
      </c>
      <c r="B1200" t="s">
        <v>1215</v>
      </c>
      <c r="C1200" t="s">
        <v>13</v>
      </c>
      <c r="D1200" s="2">
        <v>3852</v>
      </c>
      <c r="E1200" t="s">
        <v>14</v>
      </c>
      <c r="F1200" t="s">
        <v>1567</v>
      </c>
      <c r="G1200">
        <v>2024</v>
      </c>
      <c r="H1200">
        <f>IF(Table1_1[[#This Row],[Type]]="Expense", _xlfn.XLOOKUP(Table1_1[[#This Row],[Category]], Budget_Ref[Category], Budget_Ref[Monthly Budget], 0), 0)</f>
        <v>0</v>
      </c>
      <c r="I1200" t="str">
        <f>IF(Table1_1[[#This Row],[Type]]="Expense", IF(Table1_1[[#This Row],[Amount]]&gt;Table1_1[[#This Row],[Monthly Budget]], "Over Budget", "OK"), "-")</f>
        <v>-</v>
      </c>
      <c r="J1200">
        <f>IF(Table1_1[[#This Row],[Type]]="Income", Table1_1[[#This Row],[Amount]], -Table1_1[[#This Row],[Amount]])</f>
        <v>3852</v>
      </c>
    </row>
    <row r="1201" spans="1:10" x14ac:dyDescent="0.25">
      <c r="A1201" s="1">
        <v>45295</v>
      </c>
      <c r="B1201" t="s">
        <v>1216</v>
      </c>
      <c r="C1201" t="s">
        <v>13</v>
      </c>
      <c r="D1201" s="2">
        <v>2036</v>
      </c>
      <c r="E1201" t="s">
        <v>14</v>
      </c>
      <c r="F1201" t="s">
        <v>1567</v>
      </c>
      <c r="G1201">
        <v>2024</v>
      </c>
      <c r="H1201">
        <f>IF(Table1_1[[#This Row],[Type]]="Expense", _xlfn.XLOOKUP(Table1_1[[#This Row],[Category]], Budget_Ref[Category], Budget_Ref[Monthly Budget], 0), 0)</f>
        <v>0</v>
      </c>
      <c r="I1201" t="str">
        <f>IF(Table1_1[[#This Row],[Type]]="Expense", IF(Table1_1[[#This Row],[Amount]]&gt;Table1_1[[#This Row],[Monthly Budget]], "Over Budget", "OK"), "-")</f>
        <v>-</v>
      </c>
      <c r="J1201">
        <f>IF(Table1_1[[#This Row],[Type]]="Income", Table1_1[[#This Row],[Amount]], -Table1_1[[#This Row],[Amount]])</f>
        <v>2036</v>
      </c>
    </row>
    <row r="1202" spans="1:10" x14ac:dyDescent="0.25">
      <c r="A1202" s="1">
        <v>45298</v>
      </c>
      <c r="B1202" t="s">
        <v>1217</v>
      </c>
      <c r="C1202" t="s">
        <v>20</v>
      </c>
      <c r="D1202" s="2">
        <v>2266</v>
      </c>
      <c r="E1202" t="s">
        <v>14</v>
      </c>
      <c r="F1202" t="s">
        <v>1567</v>
      </c>
      <c r="G1202">
        <v>2024</v>
      </c>
      <c r="H1202">
        <f>IF(Table1_1[[#This Row],[Type]]="Expense", _xlfn.XLOOKUP(Table1_1[[#This Row],[Category]], Budget_Ref[Category], Budget_Ref[Monthly Budget], 0), 0)</f>
        <v>0</v>
      </c>
      <c r="I1202" t="str">
        <f>IF(Table1_1[[#This Row],[Type]]="Expense", IF(Table1_1[[#This Row],[Amount]]&gt;Table1_1[[#This Row],[Monthly Budget]], "Over Budget", "OK"), "-")</f>
        <v>-</v>
      </c>
      <c r="J1202">
        <f>IF(Table1_1[[#This Row],[Type]]="Income", Table1_1[[#This Row],[Amount]], -Table1_1[[#This Row],[Amount]])</f>
        <v>2266</v>
      </c>
    </row>
    <row r="1203" spans="1:10" x14ac:dyDescent="0.25">
      <c r="A1203" s="1">
        <v>45300</v>
      </c>
      <c r="B1203" t="s">
        <v>1218</v>
      </c>
      <c r="C1203" t="s">
        <v>22</v>
      </c>
      <c r="D1203" s="2">
        <v>1436.41</v>
      </c>
      <c r="E1203" t="s">
        <v>7</v>
      </c>
      <c r="F1203" t="s">
        <v>1567</v>
      </c>
      <c r="G1203">
        <v>2024</v>
      </c>
      <c r="H1203">
        <f>IF(Table1_1[[#This Row],[Type]]="Expense", _xlfn.XLOOKUP(Table1_1[[#This Row],[Category]], Budget_Ref[Category], Budget_Ref[Monthly Budget], 0), 0)</f>
        <v>200</v>
      </c>
      <c r="I1203" t="str">
        <f>IF(Table1_1[[#This Row],[Type]]="Expense", IF(Table1_1[[#This Row],[Amount]]&gt;Table1_1[[#This Row],[Monthly Budget]], "Over Budget", "OK"), "-")</f>
        <v>Over Budget</v>
      </c>
      <c r="J1203">
        <f>IF(Table1_1[[#This Row],[Type]]="Income", Table1_1[[#This Row],[Amount]], -Table1_1[[#This Row],[Amount]])</f>
        <v>-1436.41</v>
      </c>
    </row>
    <row r="1204" spans="1:10" x14ac:dyDescent="0.25">
      <c r="A1204" s="1">
        <v>45300</v>
      </c>
      <c r="B1204" t="s">
        <v>1219</v>
      </c>
      <c r="C1204" t="s">
        <v>20</v>
      </c>
      <c r="D1204" s="2">
        <v>880</v>
      </c>
      <c r="E1204" t="s">
        <v>14</v>
      </c>
      <c r="F1204" t="s">
        <v>1567</v>
      </c>
      <c r="G1204">
        <v>2024</v>
      </c>
      <c r="H1204">
        <f>IF(Table1_1[[#This Row],[Type]]="Expense", _xlfn.XLOOKUP(Table1_1[[#This Row],[Category]], Budget_Ref[Category], Budget_Ref[Monthly Budget], 0), 0)</f>
        <v>0</v>
      </c>
      <c r="I1204" t="str">
        <f>IF(Table1_1[[#This Row],[Type]]="Expense", IF(Table1_1[[#This Row],[Amount]]&gt;Table1_1[[#This Row],[Monthly Budget]], "Over Budget", "OK"), "-")</f>
        <v>-</v>
      </c>
      <c r="J1204">
        <f>IF(Table1_1[[#This Row],[Type]]="Income", Table1_1[[#This Row],[Amount]], -Table1_1[[#This Row],[Amount]])</f>
        <v>880</v>
      </c>
    </row>
    <row r="1205" spans="1:10" x14ac:dyDescent="0.25">
      <c r="A1205" s="1">
        <v>45301</v>
      </c>
      <c r="B1205" t="s">
        <v>1220</v>
      </c>
      <c r="C1205" t="s">
        <v>11</v>
      </c>
      <c r="D1205" s="2">
        <v>1546.57</v>
      </c>
      <c r="E1205" t="s">
        <v>7</v>
      </c>
      <c r="F1205" t="s">
        <v>1567</v>
      </c>
      <c r="G1205">
        <v>2024</v>
      </c>
      <c r="H1205">
        <f>IF(Table1_1[[#This Row],[Type]]="Expense", _xlfn.XLOOKUP(Table1_1[[#This Row],[Category]], Budget_Ref[Category], Budget_Ref[Monthly Budget], 0), 0)</f>
        <v>1500</v>
      </c>
      <c r="I1205" t="str">
        <f>IF(Table1_1[[#This Row],[Type]]="Expense", IF(Table1_1[[#This Row],[Amount]]&gt;Table1_1[[#This Row],[Monthly Budget]], "Over Budget", "OK"), "-")</f>
        <v>Over Budget</v>
      </c>
      <c r="J1205">
        <f>IF(Table1_1[[#This Row],[Type]]="Income", Table1_1[[#This Row],[Amount]], -Table1_1[[#This Row],[Amount]])</f>
        <v>-1546.57</v>
      </c>
    </row>
    <row r="1206" spans="1:10" x14ac:dyDescent="0.25">
      <c r="A1206" s="1">
        <v>45302</v>
      </c>
      <c r="B1206" t="s">
        <v>1221</v>
      </c>
      <c r="C1206" t="s">
        <v>9</v>
      </c>
      <c r="D1206" s="2">
        <v>1928.07</v>
      </c>
      <c r="E1206" t="s">
        <v>7</v>
      </c>
      <c r="F1206" t="s">
        <v>1567</v>
      </c>
      <c r="G1206">
        <v>2024</v>
      </c>
      <c r="H1206">
        <f>IF(Table1_1[[#This Row],[Type]]="Expense", _xlfn.XLOOKUP(Table1_1[[#This Row],[Category]], Budget_Ref[Category], Budget_Ref[Monthly Budget], 0), 0)</f>
        <v>150</v>
      </c>
      <c r="I1206" t="str">
        <f>IF(Table1_1[[#This Row],[Type]]="Expense", IF(Table1_1[[#This Row],[Amount]]&gt;Table1_1[[#This Row],[Monthly Budget]], "Over Budget", "OK"), "-")</f>
        <v>Over Budget</v>
      </c>
      <c r="J1206">
        <f>IF(Table1_1[[#This Row],[Type]]="Income", Table1_1[[#This Row],[Amount]], -Table1_1[[#This Row],[Amount]])</f>
        <v>-1928.07</v>
      </c>
    </row>
    <row r="1207" spans="1:10" x14ac:dyDescent="0.25">
      <c r="A1207" s="1">
        <v>45302</v>
      </c>
      <c r="B1207" t="s">
        <v>1222</v>
      </c>
      <c r="C1207" t="s">
        <v>13</v>
      </c>
      <c r="D1207" s="2">
        <v>4045</v>
      </c>
      <c r="E1207" t="s">
        <v>14</v>
      </c>
      <c r="F1207" t="s">
        <v>1567</v>
      </c>
      <c r="G1207">
        <v>2024</v>
      </c>
      <c r="H1207">
        <f>IF(Table1_1[[#This Row],[Type]]="Expense", _xlfn.XLOOKUP(Table1_1[[#This Row],[Category]], Budget_Ref[Category], Budget_Ref[Monthly Budget], 0), 0)</f>
        <v>0</v>
      </c>
      <c r="I1207" t="str">
        <f>IF(Table1_1[[#This Row],[Type]]="Expense", IF(Table1_1[[#This Row],[Amount]]&gt;Table1_1[[#This Row],[Monthly Budget]], "Over Budget", "OK"), "-")</f>
        <v>-</v>
      </c>
      <c r="J1207">
        <f>IF(Table1_1[[#This Row],[Type]]="Income", Table1_1[[#This Row],[Amount]], -Table1_1[[#This Row],[Amount]])</f>
        <v>4045</v>
      </c>
    </row>
    <row r="1208" spans="1:10" x14ac:dyDescent="0.25">
      <c r="A1208" s="1">
        <v>45302</v>
      </c>
      <c r="B1208" t="s">
        <v>1223</v>
      </c>
      <c r="C1208" t="s">
        <v>27</v>
      </c>
      <c r="D1208" s="2">
        <v>1849.5</v>
      </c>
      <c r="E1208" t="s">
        <v>14</v>
      </c>
      <c r="F1208" t="s">
        <v>1567</v>
      </c>
      <c r="G1208">
        <v>2024</v>
      </c>
      <c r="H1208">
        <f>IF(Table1_1[[#This Row],[Type]]="Expense", _xlfn.XLOOKUP(Table1_1[[#This Row],[Category]], Budget_Ref[Category], Budget_Ref[Monthly Budget], 0), 0)</f>
        <v>0</v>
      </c>
      <c r="I1208" t="str">
        <f>IF(Table1_1[[#This Row],[Type]]="Expense", IF(Table1_1[[#This Row],[Amount]]&gt;Table1_1[[#This Row],[Monthly Budget]], "Over Budget", "OK"), "-")</f>
        <v>-</v>
      </c>
      <c r="J1208">
        <f>IF(Table1_1[[#This Row],[Type]]="Income", Table1_1[[#This Row],[Amount]], -Table1_1[[#This Row],[Amount]])</f>
        <v>1849.5</v>
      </c>
    </row>
    <row r="1209" spans="1:10" x14ac:dyDescent="0.25">
      <c r="A1209" s="1">
        <v>45303</v>
      </c>
      <c r="B1209" t="s">
        <v>1224</v>
      </c>
      <c r="C1209" t="s">
        <v>9</v>
      </c>
      <c r="D1209" s="2">
        <v>1386.72</v>
      </c>
      <c r="E1209" t="s">
        <v>7</v>
      </c>
      <c r="F1209" t="s">
        <v>1567</v>
      </c>
      <c r="G1209">
        <v>2024</v>
      </c>
      <c r="H1209">
        <f>IF(Table1_1[[#This Row],[Type]]="Expense", _xlfn.XLOOKUP(Table1_1[[#This Row],[Category]], Budget_Ref[Category], Budget_Ref[Monthly Budget], 0), 0)</f>
        <v>150</v>
      </c>
      <c r="I1209" t="str">
        <f>IF(Table1_1[[#This Row],[Type]]="Expense", IF(Table1_1[[#This Row],[Amount]]&gt;Table1_1[[#This Row],[Monthly Budget]], "Over Budget", "OK"), "-")</f>
        <v>Over Budget</v>
      </c>
      <c r="J1209">
        <f>IF(Table1_1[[#This Row],[Type]]="Income", Table1_1[[#This Row],[Amount]], -Table1_1[[#This Row],[Amount]])</f>
        <v>-1386.72</v>
      </c>
    </row>
    <row r="1210" spans="1:10" x14ac:dyDescent="0.25">
      <c r="A1210" s="1">
        <v>45304</v>
      </c>
      <c r="B1210" t="s">
        <v>1225</v>
      </c>
      <c r="C1210" t="s">
        <v>13</v>
      </c>
      <c r="D1210" s="2">
        <v>1348</v>
      </c>
      <c r="E1210" t="s">
        <v>14</v>
      </c>
      <c r="F1210" t="s">
        <v>1567</v>
      </c>
      <c r="G1210">
        <v>2024</v>
      </c>
      <c r="H1210">
        <f>IF(Table1_1[[#This Row],[Type]]="Expense", _xlfn.XLOOKUP(Table1_1[[#This Row],[Category]], Budget_Ref[Category], Budget_Ref[Monthly Budget], 0), 0)</f>
        <v>0</v>
      </c>
      <c r="I1210" t="str">
        <f>IF(Table1_1[[#This Row],[Type]]="Expense", IF(Table1_1[[#This Row],[Amount]]&gt;Table1_1[[#This Row],[Monthly Budget]], "Over Budget", "OK"), "-")</f>
        <v>-</v>
      </c>
      <c r="J1210">
        <f>IF(Table1_1[[#This Row],[Type]]="Income", Table1_1[[#This Row],[Amount]], -Table1_1[[#This Row],[Amount]])</f>
        <v>1348</v>
      </c>
    </row>
    <row r="1211" spans="1:10" x14ac:dyDescent="0.25">
      <c r="A1211" s="1">
        <v>45305</v>
      </c>
      <c r="B1211" t="s">
        <v>1226</v>
      </c>
      <c r="C1211" t="s">
        <v>25</v>
      </c>
      <c r="D1211" s="2">
        <v>1013.18</v>
      </c>
      <c r="E1211" t="s">
        <v>7</v>
      </c>
      <c r="F1211" t="s">
        <v>1567</v>
      </c>
      <c r="G1211">
        <v>2024</v>
      </c>
      <c r="H1211">
        <f>IF(Table1_1[[#This Row],[Type]]="Expense", _xlfn.XLOOKUP(Table1_1[[#This Row],[Category]], Budget_Ref[Category], Budget_Ref[Monthly Budget], 0), 0)</f>
        <v>150</v>
      </c>
      <c r="I1211" t="str">
        <f>IF(Table1_1[[#This Row],[Type]]="Expense", IF(Table1_1[[#This Row],[Amount]]&gt;Table1_1[[#This Row],[Monthly Budget]], "Over Budget", "OK"), "-")</f>
        <v>Over Budget</v>
      </c>
      <c r="J1211">
        <f>IF(Table1_1[[#This Row],[Type]]="Income", Table1_1[[#This Row],[Amount]], -Table1_1[[#This Row],[Amount]])</f>
        <v>-1013.18</v>
      </c>
    </row>
    <row r="1212" spans="1:10" x14ac:dyDescent="0.25">
      <c r="A1212" s="1">
        <v>45306</v>
      </c>
      <c r="B1212" t="s">
        <v>1227</v>
      </c>
      <c r="C1212" t="s">
        <v>22</v>
      </c>
      <c r="D1212" s="2">
        <v>554.46</v>
      </c>
      <c r="E1212" t="s">
        <v>7</v>
      </c>
      <c r="F1212" t="s">
        <v>1567</v>
      </c>
      <c r="G1212">
        <v>2024</v>
      </c>
      <c r="H1212">
        <f>IF(Table1_1[[#This Row],[Type]]="Expense", _xlfn.XLOOKUP(Table1_1[[#This Row],[Category]], Budget_Ref[Category], Budget_Ref[Monthly Budget], 0), 0)</f>
        <v>200</v>
      </c>
      <c r="I1212" t="str">
        <f>IF(Table1_1[[#This Row],[Type]]="Expense", IF(Table1_1[[#This Row],[Amount]]&gt;Table1_1[[#This Row],[Monthly Budget]], "Over Budget", "OK"), "-")</f>
        <v>Over Budget</v>
      </c>
      <c r="J1212">
        <f>IF(Table1_1[[#This Row],[Type]]="Income", Table1_1[[#This Row],[Amount]], -Table1_1[[#This Row],[Amount]])</f>
        <v>-554.46</v>
      </c>
    </row>
    <row r="1213" spans="1:10" x14ac:dyDescent="0.25">
      <c r="A1213" s="1">
        <v>45307</v>
      </c>
      <c r="B1213" t="s">
        <v>1228</v>
      </c>
      <c r="C1213" t="s">
        <v>35</v>
      </c>
      <c r="D1213" s="2">
        <v>911.16</v>
      </c>
      <c r="E1213" t="s">
        <v>7</v>
      </c>
      <c r="F1213" t="s">
        <v>1567</v>
      </c>
      <c r="G1213">
        <v>2024</v>
      </c>
      <c r="H1213">
        <f>IF(Table1_1[[#This Row],[Type]]="Expense", _xlfn.XLOOKUP(Table1_1[[#This Row],[Category]], Budget_Ref[Category], Budget_Ref[Monthly Budget], 0), 0)</f>
        <v>200</v>
      </c>
      <c r="I1213" t="str">
        <f>IF(Table1_1[[#This Row],[Type]]="Expense", IF(Table1_1[[#This Row],[Amount]]&gt;Table1_1[[#This Row],[Monthly Budget]], "Over Budget", "OK"), "-")</f>
        <v>Over Budget</v>
      </c>
      <c r="J1213">
        <f>IF(Table1_1[[#This Row],[Type]]="Income", Table1_1[[#This Row],[Amount]], -Table1_1[[#This Row],[Amount]])</f>
        <v>-911.16</v>
      </c>
    </row>
    <row r="1214" spans="1:10" x14ac:dyDescent="0.25">
      <c r="A1214" s="1">
        <v>45307</v>
      </c>
      <c r="B1214" t="s">
        <v>1229</v>
      </c>
      <c r="C1214" t="s">
        <v>20</v>
      </c>
      <c r="D1214" s="2">
        <v>4696</v>
      </c>
      <c r="E1214" t="s">
        <v>14</v>
      </c>
      <c r="F1214" t="s">
        <v>1567</v>
      </c>
      <c r="G1214">
        <v>2024</v>
      </c>
      <c r="H1214">
        <f>IF(Table1_1[[#This Row],[Type]]="Expense", _xlfn.XLOOKUP(Table1_1[[#This Row],[Category]], Budget_Ref[Category], Budget_Ref[Monthly Budget], 0), 0)</f>
        <v>0</v>
      </c>
      <c r="I1214" t="str">
        <f>IF(Table1_1[[#This Row],[Type]]="Expense", IF(Table1_1[[#This Row],[Amount]]&gt;Table1_1[[#This Row],[Monthly Budget]], "Over Budget", "OK"), "-")</f>
        <v>-</v>
      </c>
      <c r="J1214">
        <f>IF(Table1_1[[#This Row],[Type]]="Income", Table1_1[[#This Row],[Amount]], -Table1_1[[#This Row],[Amount]])</f>
        <v>4696</v>
      </c>
    </row>
    <row r="1215" spans="1:10" x14ac:dyDescent="0.25">
      <c r="A1215" s="1">
        <v>45307</v>
      </c>
      <c r="B1215" t="s">
        <v>1230</v>
      </c>
      <c r="C1215" t="s">
        <v>25</v>
      </c>
      <c r="D1215" s="2">
        <v>1426.63</v>
      </c>
      <c r="E1215" t="s">
        <v>7</v>
      </c>
      <c r="F1215" t="s">
        <v>1567</v>
      </c>
      <c r="G1215">
        <v>2024</v>
      </c>
      <c r="H1215">
        <f>IF(Table1_1[[#This Row],[Type]]="Expense", _xlfn.XLOOKUP(Table1_1[[#This Row],[Category]], Budget_Ref[Category], Budget_Ref[Monthly Budget], 0), 0)</f>
        <v>150</v>
      </c>
      <c r="I1215" t="str">
        <f>IF(Table1_1[[#This Row],[Type]]="Expense", IF(Table1_1[[#This Row],[Amount]]&gt;Table1_1[[#This Row],[Monthly Budget]], "Over Budget", "OK"), "-")</f>
        <v>Over Budget</v>
      </c>
      <c r="J1215">
        <f>IF(Table1_1[[#This Row],[Type]]="Income", Table1_1[[#This Row],[Amount]], -Table1_1[[#This Row],[Amount]])</f>
        <v>-1426.63</v>
      </c>
    </row>
    <row r="1216" spans="1:10" x14ac:dyDescent="0.25">
      <c r="A1216" s="1">
        <v>45308</v>
      </c>
      <c r="B1216" t="s">
        <v>1231</v>
      </c>
      <c r="C1216" t="s">
        <v>22</v>
      </c>
      <c r="D1216" s="2">
        <v>409.77</v>
      </c>
      <c r="E1216" t="s">
        <v>7</v>
      </c>
      <c r="F1216" t="s">
        <v>1567</v>
      </c>
      <c r="G1216">
        <v>2024</v>
      </c>
      <c r="H1216">
        <f>IF(Table1_1[[#This Row],[Type]]="Expense", _xlfn.XLOOKUP(Table1_1[[#This Row],[Category]], Budget_Ref[Category], Budget_Ref[Monthly Budget], 0), 0)</f>
        <v>200</v>
      </c>
      <c r="I1216" t="str">
        <f>IF(Table1_1[[#This Row],[Type]]="Expense", IF(Table1_1[[#This Row],[Amount]]&gt;Table1_1[[#This Row],[Monthly Budget]], "Over Budget", "OK"), "-")</f>
        <v>Over Budget</v>
      </c>
      <c r="J1216">
        <f>IF(Table1_1[[#This Row],[Type]]="Income", Table1_1[[#This Row],[Amount]], -Table1_1[[#This Row],[Amount]])</f>
        <v>-409.77</v>
      </c>
    </row>
    <row r="1217" spans="1:10" x14ac:dyDescent="0.25">
      <c r="A1217" s="1">
        <v>45310</v>
      </c>
      <c r="B1217" t="s">
        <v>1232</v>
      </c>
      <c r="C1217" t="s">
        <v>35</v>
      </c>
      <c r="D1217" s="2">
        <v>1376.36</v>
      </c>
      <c r="E1217" t="s">
        <v>7</v>
      </c>
      <c r="F1217" t="s">
        <v>1567</v>
      </c>
      <c r="G1217">
        <v>2024</v>
      </c>
      <c r="H1217">
        <f>IF(Table1_1[[#This Row],[Type]]="Expense", _xlfn.XLOOKUP(Table1_1[[#This Row],[Category]], Budget_Ref[Category], Budget_Ref[Monthly Budget], 0), 0)</f>
        <v>200</v>
      </c>
      <c r="I1217" t="str">
        <f>IF(Table1_1[[#This Row],[Type]]="Expense", IF(Table1_1[[#This Row],[Amount]]&gt;Table1_1[[#This Row],[Monthly Budget]], "Over Budget", "OK"), "-")</f>
        <v>Over Budget</v>
      </c>
      <c r="J1217">
        <f>IF(Table1_1[[#This Row],[Type]]="Income", Table1_1[[#This Row],[Amount]], -Table1_1[[#This Row],[Amount]])</f>
        <v>-1376.36</v>
      </c>
    </row>
    <row r="1218" spans="1:10" x14ac:dyDescent="0.25">
      <c r="A1218" s="1">
        <v>45310</v>
      </c>
      <c r="B1218" t="s">
        <v>1233</v>
      </c>
      <c r="C1218" t="s">
        <v>9</v>
      </c>
      <c r="D1218" s="2">
        <v>1962.86</v>
      </c>
      <c r="E1218" t="s">
        <v>7</v>
      </c>
      <c r="F1218" t="s">
        <v>1567</v>
      </c>
      <c r="G1218">
        <v>2024</v>
      </c>
      <c r="H1218">
        <f>IF(Table1_1[[#This Row],[Type]]="Expense", _xlfn.XLOOKUP(Table1_1[[#This Row],[Category]], Budget_Ref[Category], Budget_Ref[Monthly Budget], 0), 0)</f>
        <v>150</v>
      </c>
      <c r="I1218" t="str">
        <f>IF(Table1_1[[#This Row],[Type]]="Expense", IF(Table1_1[[#This Row],[Amount]]&gt;Table1_1[[#This Row],[Monthly Budget]], "Over Budget", "OK"), "-")</f>
        <v>Over Budget</v>
      </c>
      <c r="J1218">
        <f>IF(Table1_1[[#This Row],[Type]]="Income", Table1_1[[#This Row],[Amount]], -Table1_1[[#This Row],[Amount]])</f>
        <v>-1962.86</v>
      </c>
    </row>
    <row r="1219" spans="1:10" x14ac:dyDescent="0.25">
      <c r="A1219" s="1">
        <v>45310</v>
      </c>
      <c r="B1219" t="s">
        <v>1234</v>
      </c>
      <c r="C1219" t="s">
        <v>9</v>
      </c>
      <c r="D1219" s="2">
        <v>1012.75</v>
      </c>
      <c r="E1219" t="s">
        <v>7</v>
      </c>
      <c r="F1219" t="s">
        <v>1567</v>
      </c>
      <c r="G1219">
        <v>2024</v>
      </c>
      <c r="H1219">
        <f>IF(Table1_1[[#This Row],[Type]]="Expense", _xlfn.XLOOKUP(Table1_1[[#This Row],[Category]], Budget_Ref[Category], Budget_Ref[Monthly Budget], 0), 0)</f>
        <v>150</v>
      </c>
      <c r="I1219" t="str">
        <f>IF(Table1_1[[#This Row],[Type]]="Expense", IF(Table1_1[[#This Row],[Amount]]&gt;Table1_1[[#This Row],[Monthly Budget]], "Over Budget", "OK"), "-")</f>
        <v>Over Budget</v>
      </c>
      <c r="J1219">
        <f>IF(Table1_1[[#This Row],[Type]]="Income", Table1_1[[#This Row],[Amount]], -Table1_1[[#This Row],[Amount]])</f>
        <v>-1012.75</v>
      </c>
    </row>
    <row r="1220" spans="1:10" x14ac:dyDescent="0.25">
      <c r="A1220" s="1">
        <v>45310</v>
      </c>
      <c r="B1220" t="s">
        <v>1235</v>
      </c>
      <c r="C1220" t="s">
        <v>25</v>
      </c>
      <c r="D1220" s="2">
        <v>1423.6</v>
      </c>
      <c r="E1220" t="s">
        <v>7</v>
      </c>
      <c r="F1220" t="s">
        <v>1567</v>
      </c>
      <c r="G1220">
        <v>2024</v>
      </c>
      <c r="H1220">
        <f>IF(Table1_1[[#This Row],[Type]]="Expense", _xlfn.XLOOKUP(Table1_1[[#This Row],[Category]], Budget_Ref[Category], Budget_Ref[Monthly Budget], 0), 0)</f>
        <v>150</v>
      </c>
      <c r="I1220" t="str">
        <f>IF(Table1_1[[#This Row],[Type]]="Expense", IF(Table1_1[[#This Row],[Amount]]&gt;Table1_1[[#This Row],[Monthly Budget]], "Over Budget", "OK"), "-")</f>
        <v>Over Budget</v>
      </c>
      <c r="J1220">
        <f>IF(Table1_1[[#This Row],[Type]]="Income", Table1_1[[#This Row],[Amount]], -Table1_1[[#This Row],[Amount]])</f>
        <v>-1423.6</v>
      </c>
    </row>
    <row r="1221" spans="1:10" x14ac:dyDescent="0.25">
      <c r="A1221" s="1">
        <v>45311</v>
      </c>
      <c r="B1221" t="s">
        <v>1236</v>
      </c>
      <c r="C1221" t="s">
        <v>27</v>
      </c>
      <c r="D1221" s="2">
        <v>1169.78</v>
      </c>
      <c r="E1221" t="s">
        <v>14</v>
      </c>
      <c r="F1221" t="s">
        <v>1567</v>
      </c>
      <c r="G1221">
        <v>2024</v>
      </c>
      <c r="H1221">
        <f>IF(Table1_1[[#This Row],[Type]]="Expense", _xlfn.XLOOKUP(Table1_1[[#This Row],[Category]], Budget_Ref[Category], Budget_Ref[Monthly Budget], 0), 0)</f>
        <v>0</v>
      </c>
      <c r="I1221" t="str">
        <f>IF(Table1_1[[#This Row],[Type]]="Expense", IF(Table1_1[[#This Row],[Amount]]&gt;Table1_1[[#This Row],[Monthly Budget]], "Over Budget", "OK"), "-")</f>
        <v>-</v>
      </c>
      <c r="J1221">
        <f>IF(Table1_1[[#This Row],[Type]]="Income", Table1_1[[#This Row],[Amount]], -Table1_1[[#This Row],[Amount]])</f>
        <v>1169.78</v>
      </c>
    </row>
    <row r="1222" spans="1:10" x14ac:dyDescent="0.25">
      <c r="A1222" s="1">
        <v>45313</v>
      </c>
      <c r="B1222" t="s">
        <v>1237</v>
      </c>
      <c r="C1222" t="s">
        <v>17</v>
      </c>
      <c r="D1222" s="2">
        <v>1351.74</v>
      </c>
      <c r="E1222" t="s">
        <v>7</v>
      </c>
      <c r="F1222" t="s">
        <v>1567</v>
      </c>
      <c r="G1222">
        <v>2024</v>
      </c>
      <c r="H1222">
        <f>IF(Table1_1[[#This Row],[Type]]="Expense", _xlfn.XLOOKUP(Table1_1[[#This Row],[Category]], Budget_Ref[Category], Budget_Ref[Monthly Budget], 0), 0)</f>
        <v>300</v>
      </c>
      <c r="I1222" t="str">
        <f>IF(Table1_1[[#This Row],[Type]]="Expense", IF(Table1_1[[#This Row],[Amount]]&gt;Table1_1[[#This Row],[Monthly Budget]], "Over Budget", "OK"), "-")</f>
        <v>Over Budget</v>
      </c>
      <c r="J1222">
        <f>IF(Table1_1[[#This Row],[Type]]="Income", Table1_1[[#This Row],[Amount]], -Table1_1[[#This Row],[Amount]])</f>
        <v>-1351.74</v>
      </c>
    </row>
    <row r="1223" spans="1:10" x14ac:dyDescent="0.25">
      <c r="A1223" s="1">
        <v>45314</v>
      </c>
      <c r="B1223" t="s">
        <v>1238</v>
      </c>
      <c r="C1223" t="s">
        <v>35</v>
      </c>
      <c r="D1223" s="2">
        <v>1756.18</v>
      </c>
      <c r="E1223" t="s">
        <v>7</v>
      </c>
      <c r="F1223" t="s">
        <v>1567</v>
      </c>
      <c r="G1223">
        <v>2024</v>
      </c>
      <c r="H1223">
        <f>IF(Table1_1[[#This Row],[Type]]="Expense", _xlfn.XLOOKUP(Table1_1[[#This Row],[Category]], Budget_Ref[Category], Budget_Ref[Monthly Budget], 0), 0)</f>
        <v>200</v>
      </c>
      <c r="I1223" t="str">
        <f>IF(Table1_1[[#This Row],[Type]]="Expense", IF(Table1_1[[#This Row],[Amount]]&gt;Table1_1[[#This Row],[Monthly Budget]], "Over Budget", "OK"), "-")</f>
        <v>Over Budget</v>
      </c>
      <c r="J1223">
        <f>IF(Table1_1[[#This Row],[Type]]="Income", Table1_1[[#This Row],[Amount]], -Table1_1[[#This Row],[Amount]])</f>
        <v>-1756.18</v>
      </c>
    </row>
    <row r="1224" spans="1:10" x14ac:dyDescent="0.25">
      <c r="A1224" s="1">
        <v>45315</v>
      </c>
      <c r="B1224" t="s">
        <v>1239</v>
      </c>
      <c r="C1224" t="s">
        <v>6</v>
      </c>
      <c r="D1224" s="2">
        <v>1050.23</v>
      </c>
      <c r="E1224" t="s">
        <v>7</v>
      </c>
      <c r="F1224" t="s">
        <v>1567</v>
      </c>
      <c r="G1224">
        <v>2024</v>
      </c>
      <c r="H1224">
        <f>IF(Table1_1[[#This Row],[Type]]="Expense", _xlfn.XLOOKUP(Table1_1[[#This Row],[Category]], Budget_Ref[Category], Budget_Ref[Monthly Budget], 0), 0)</f>
        <v>500</v>
      </c>
      <c r="I1224" t="str">
        <f>IF(Table1_1[[#This Row],[Type]]="Expense", IF(Table1_1[[#This Row],[Amount]]&gt;Table1_1[[#This Row],[Monthly Budget]], "Over Budget", "OK"), "-")</f>
        <v>Over Budget</v>
      </c>
      <c r="J1224">
        <f>IF(Table1_1[[#This Row],[Type]]="Income", Table1_1[[#This Row],[Amount]], -Table1_1[[#This Row],[Amount]])</f>
        <v>-1050.23</v>
      </c>
    </row>
    <row r="1225" spans="1:10" x14ac:dyDescent="0.25">
      <c r="A1225" s="1">
        <v>45316</v>
      </c>
      <c r="B1225" t="s">
        <v>1240</v>
      </c>
      <c r="C1225" t="s">
        <v>13</v>
      </c>
      <c r="D1225" s="2">
        <v>934</v>
      </c>
      <c r="E1225" t="s">
        <v>14</v>
      </c>
      <c r="F1225" t="s">
        <v>1567</v>
      </c>
      <c r="G1225">
        <v>2024</v>
      </c>
      <c r="H1225">
        <f>IF(Table1_1[[#This Row],[Type]]="Expense", _xlfn.XLOOKUP(Table1_1[[#This Row],[Category]], Budget_Ref[Category], Budget_Ref[Monthly Budget], 0), 0)</f>
        <v>0</v>
      </c>
      <c r="I1225" t="str">
        <f>IF(Table1_1[[#This Row],[Type]]="Expense", IF(Table1_1[[#This Row],[Amount]]&gt;Table1_1[[#This Row],[Monthly Budget]], "Over Budget", "OK"), "-")</f>
        <v>-</v>
      </c>
      <c r="J1225">
        <f>IF(Table1_1[[#This Row],[Type]]="Income", Table1_1[[#This Row],[Amount]], -Table1_1[[#This Row],[Amount]])</f>
        <v>934</v>
      </c>
    </row>
    <row r="1226" spans="1:10" x14ac:dyDescent="0.25">
      <c r="A1226" s="1">
        <v>45317</v>
      </c>
      <c r="B1226" t="s">
        <v>1241</v>
      </c>
      <c r="C1226" t="s">
        <v>22</v>
      </c>
      <c r="D1226" s="2">
        <v>541.29</v>
      </c>
      <c r="E1226" t="s">
        <v>7</v>
      </c>
      <c r="F1226" t="s">
        <v>1567</v>
      </c>
      <c r="G1226">
        <v>2024</v>
      </c>
      <c r="H1226">
        <f>IF(Table1_1[[#This Row],[Type]]="Expense", _xlfn.XLOOKUP(Table1_1[[#This Row],[Category]], Budget_Ref[Category], Budget_Ref[Monthly Budget], 0), 0)</f>
        <v>200</v>
      </c>
      <c r="I1226" t="str">
        <f>IF(Table1_1[[#This Row],[Type]]="Expense", IF(Table1_1[[#This Row],[Amount]]&gt;Table1_1[[#This Row],[Monthly Budget]], "Over Budget", "OK"), "-")</f>
        <v>Over Budget</v>
      </c>
      <c r="J1226">
        <f>IF(Table1_1[[#This Row],[Type]]="Income", Table1_1[[#This Row],[Amount]], -Table1_1[[#This Row],[Amount]])</f>
        <v>-541.29</v>
      </c>
    </row>
    <row r="1227" spans="1:10" x14ac:dyDescent="0.25">
      <c r="A1227" s="1">
        <v>45317</v>
      </c>
      <c r="B1227" t="s">
        <v>1242</v>
      </c>
      <c r="C1227" t="s">
        <v>35</v>
      </c>
      <c r="D1227" s="2">
        <v>1369.95</v>
      </c>
      <c r="E1227" t="s">
        <v>7</v>
      </c>
      <c r="F1227" t="s">
        <v>1567</v>
      </c>
      <c r="G1227">
        <v>2024</v>
      </c>
      <c r="H1227">
        <f>IF(Table1_1[[#This Row],[Type]]="Expense", _xlfn.XLOOKUP(Table1_1[[#This Row],[Category]], Budget_Ref[Category], Budget_Ref[Monthly Budget], 0), 0)</f>
        <v>200</v>
      </c>
      <c r="I1227" t="str">
        <f>IF(Table1_1[[#This Row],[Type]]="Expense", IF(Table1_1[[#This Row],[Amount]]&gt;Table1_1[[#This Row],[Monthly Budget]], "Over Budget", "OK"), "-")</f>
        <v>Over Budget</v>
      </c>
      <c r="J1227">
        <f>IF(Table1_1[[#This Row],[Type]]="Income", Table1_1[[#This Row],[Amount]], -Table1_1[[#This Row],[Amount]])</f>
        <v>-1369.95</v>
      </c>
    </row>
    <row r="1228" spans="1:10" x14ac:dyDescent="0.25">
      <c r="A1228" s="1">
        <v>45317</v>
      </c>
      <c r="B1228" t="s">
        <v>1243</v>
      </c>
      <c r="C1228" t="s">
        <v>13</v>
      </c>
      <c r="D1228" s="2">
        <v>2917</v>
      </c>
      <c r="E1228" t="s">
        <v>14</v>
      </c>
      <c r="F1228" t="s">
        <v>1567</v>
      </c>
      <c r="G1228">
        <v>2024</v>
      </c>
      <c r="H1228">
        <f>IF(Table1_1[[#This Row],[Type]]="Expense", _xlfn.XLOOKUP(Table1_1[[#This Row],[Category]], Budget_Ref[Category], Budget_Ref[Monthly Budget], 0), 0)</f>
        <v>0</v>
      </c>
      <c r="I1228" t="str">
        <f>IF(Table1_1[[#This Row],[Type]]="Expense", IF(Table1_1[[#This Row],[Amount]]&gt;Table1_1[[#This Row],[Monthly Budget]], "Over Budget", "OK"), "-")</f>
        <v>-</v>
      </c>
      <c r="J1228">
        <f>IF(Table1_1[[#This Row],[Type]]="Income", Table1_1[[#This Row],[Amount]], -Table1_1[[#This Row],[Amount]])</f>
        <v>2917</v>
      </c>
    </row>
    <row r="1229" spans="1:10" x14ac:dyDescent="0.25">
      <c r="A1229" s="1">
        <v>45318</v>
      </c>
      <c r="B1229" t="s">
        <v>1244</v>
      </c>
      <c r="C1229" t="s">
        <v>6</v>
      </c>
      <c r="D1229" s="2">
        <v>723.78</v>
      </c>
      <c r="E1229" t="s">
        <v>7</v>
      </c>
      <c r="F1229" t="s">
        <v>1567</v>
      </c>
      <c r="G1229">
        <v>2024</v>
      </c>
      <c r="H1229">
        <f>IF(Table1_1[[#This Row],[Type]]="Expense", _xlfn.XLOOKUP(Table1_1[[#This Row],[Category]], Budget_Ref[Category], Budget_Ref[Monthly Budget], 0), 0)</f>
        <v>500</v>
      </c>
      <c r="I1229" t="str">
        <f>IF(Table1_1[[#This Row],[Type]]="Expense", IF(Table1_1[[#This Row],[Amount]]&gt;Table1_1[[#This Row],[Monthly Budget]], "Over Budget", "OK"), "-")</f>
        <v>Over Budget</v>
      </c>
      <c r="J1229">
        <f>IF(Table1_1[[#This Row],[Type]]="Income", Table1_1[[#This Row],[Amount]], -Table1_1[[#This Row],[Amount]])</f>
        <v>-723.78</v>
      </c>
    </row>
    <row r="1230" spans="1:10" x14ac:dyDescent="0.25">
      <c r="A1230" s="1">
        <v>45319</v>
      </c>
      <c r="B1230" t="s">
        <v>1245</v>
      </c>
      <c r="C1230" t="s">
        <v>22</v>
      </c>
      <c r="D1230" s="2">
        <v>1487.4</v>
      </c>
      <c r="E1230" t="s">
        <v>7</v>
      </c>
      <c r="F1230" t="s">
        <v>1567</v>
      </c>
      <c r="G1230">
        <v>2024</v>
      </c>
      <c r="H1230">
        <f>IF(Table1_1[[#This Row],[Type]]="Expense", _xlfn.XLOOKUP(Table1_1[[#This Row],[Category]], Budget_Ref[Category], Budget_Ref[Monthly Budget], 0), 0)</f>
        <v>200</v>
      </c>
      <c r="I1230" t="str">
        <f>IF(Table1_1[[#This Row],[Type]]="Expense", IF(Table1_1[[#This Row],[Amount]]&gt;Table1_1[[#This Row],[Monthly Budget]], "Over Budget", "OK"), "-")</f>
        <v>Over Budget</v>
      </c>
      <c r="J1230">
        <f>IF(Table1_1[[#This Row],[Type]]="Income", Table1_1[[#This Row],[Amount]], -Table1_1[[#This Row],[Amount]])</f>
        <v>-1487.4</v>
      </c>
    </row>
    <row r="1231" spans="1:10" x14ac:dyDescent="0.25">
      <c r="A1231" s="1">
        <v>45321</v>
      </c>
      <c r="B1231" t="s">
        <v>1246</v>
      </c>
      <c r="C1231" t="s">
        <v>22</v>
      </c>
      <c r="D1231" s="2">
        <v>1026.74</v>
      </c>
      <c r="E1231" t="s">
        <v>7</v>
      </c>
      <c r="F1231" t="s">
        <v>1567</v>
      </c>
      <c r="G1231">
        <v>2024</v>
      </c>
      <c r="H1231">
        <f>IF(Table1_1[[#This Row],[Type]]="Expense", _xlfn.XLOOKUP(Table1_1[[#This Row],[Category]], Budget_Ref[Category], Budget_Ref[Monthly Budget], 0), 0)</f>
        <v>200</v>
      </c>
      <c r="I1231" t="str">
        <f>IF(Table1_1[[#This Row],[Type]]="Expense", IF(Table1_1[[#This Row],[Amount]]&gt;Table1_1[[#This Row],[Monthly Budget]], "Over Budget", "OK"), "-")</f>
        <v>Over Budget</v>
      </c>
      <c r="J1231">
        <f>IF(Table1_1[[#This Row],[Type]]="Income", Table1_1[[#This Row],[Amount]], -Table1_1[[#This Row],[Amount]])</f>
        <v>-1026.74</v>
      </c>
    </row>
    <row r="1232" spans="1:10" x14ac:dyDescent="0.25">
      <c r="A1232" s="1">
        <v>45323</v>
      </c>
      <c r="B1232" t="s">
        <v>1247</v>
      </c>
      <c r="C1232" t="s">
        <v>35</v>
      </c>
      <c r="D1232" s="2">
        <v>1388.94</v>
      </c>
      <c r="E1232" t="s">
        <v>7</v>
      </c>
      <c r="F1232" t="s">
        <v>1568</v>
      </c>
      <c r="G1232">
        <v>2024</v>
      </c>
      <c r="H1232">
        <f>IF(Table1_1[[#This Row],[Type]]="Expense", _xlfn.XLOOKUP(Table1_1[[#This Row],[Category]], Budget_Ref[Category], Budget_Ref[Monthly Budget], 0), 0)</f>
        <v>200</v>
      </c>
      <c r="I1232" t="str">
        <f>IF(Table1_1[[#This Row],[Type]]="Expense", IF(Table1_1[[#This Row],[Amount]]&gt;Table1_1[[#This Row],[Monthly Budget]], "Over Budget", "OK"), "-")</f>
        <v>Over Budget</v>
      </c>
      <c r="J1232">
        <f>IF(Table1_1[[#This Row],[Type]]="Income", Table1_1[[#This Row],[Amount]], -Table1_1[[#This Row],[Amount]])</f>
        <v>-1388.94</v>
      </c>
    </row>
    <row r="1233" spans="1:10" x14ac:dyDescent="0.25">
      <c r="A1233" s="1">
        <v>45328</v>
      </c>
      <c r="B1233" t="s">
        <v>1248</v>
      </c>
      <c r="C1233" t="s">
        <v>20</v>
      </c>
      <c r="D1233" s="2">
        <v>3674</v>
      </c>
      <c r="E1233" t="s">
        <v>14</v>
      </c>
      <c r="F1233" t="s">
        <v>1568</v>
      </c>
      <c r="G1233">
        <v>2024</v>
      </c>
      <c r="H1233">
        <f>IF(Table1_1[[#This Row],[Type]]="Expense", _xlfn.XLOOKUP(Table1_1[[#This Row],[Category]], Budget_Ref[Category], Budget_Ref[Monthly Budget], 0), 0)</f>
        <v>0</v>
      </c>
      <c r="I1233" t="str">
        <f>IF(Table1_1[[#This Row],[Type]]="Expense", IF(Table1_1[[#This Row],[Amount]]&gt;Table1_1[[#This Row],[Monthly Budget]], "Over Budget", "OK"), "-")</f>
        <v>-</v>
      </c>
      <c r="J1233">
        <f>IF(Table1_1[[#This Row],[Type]]="Income", Table1_1[[#This Row],[Amount]], -Table1_1[[#This Row],[Amount]])</f>
        <v>3674</v>
      </c>
    </row>
    <row r="1234" spans="1:10" x14ac:dyDescent="0.25">
      <c r="A1234" s="1">
        <v>45329</v>
      </c>
      <c r="B1234" t="s">
        <v>1249</v>
      </c>
      <c r="C1234" t="s">
        <v>25</v>
      </c>
      <c r="D1234" s="2">
        <v>1932.01</v>
      </c>
      <c r="E1234" t="s">
        <v>7</v>
      </c>
      <c r="F1234" t="s">
        <v>1568</v>
      </c>
      <c r="G1234">
        <v>2024</v>
      </c>
      <c r="H1234">
        <f>IF(Table1_1[[#This Row],[Type]]="Expense", _xlfn.XLOOKUP(Table1_1[[#This Row],[Category]], Budget_Ref[Category], Budget_Ref[Monthly Budget], 0), 0)</f>
        <v>150</v>
      </c>
      <c r="I1234" t="str">
        <f>IF(Table1_1[[#This Row],[Type]]="Expense", IF(Table1_1[[#This Row],[Amount]]&gt;Table1_1[[#This Row],[Monthly Budget]], "Over Budget", "OK"), "-")</f>
        <v>Over Budget</v>
      </c>
      <c r="J1234">
        <f>IF(Table1_1[[#This Row],[Type]]="Income", Table1_1[[#This Row],[Amount]], -Table1_1[[#This Row],[Amount]])</f>
        <v>-1932.01</v>
      </c>
    </row>
    <row r="1235" spans="1:10" x14ac:dyDescent="0.25">
      <c r="A1235" s="1">
        <v>45329</v>
      </c>
      <c r="B1235" t="s">
        <v>1250</v>
      </c>
      <c r="C1235" t="s">
        <v>20</v>
      </c>
      <c r="D1235" s="2">
        <v>2163</v>
      </c>
      <c r="E1235" t="s">
        <v>14</v>
      </c>
      <c r="F1235" t="s">
        <v>1568</v>
      </c>
      <c r="G1235">
        <v>2024</v>
      </c>
      <c r="H1235">
        <f>IF(Table1_1[[#This Row],[Type]]="Expense", _xlfn.XLOOKUP(Table1_1[[#This Row],[Category]], Budget_Ref[Category], Budget_Ref[Monthly Budget], 0), 0)</f>
        <v>0</v>
      </c>
      <c r="I1235" t="str">
        <f>IF(Table1_1[[#This Row],[Type]]="Expense", IF(Table1_1[[#This Row],[Amount]]&gt;Table1_1[[#This Row],[Monthly Budget]], "Over Budget", "OK"), "-")</f>
        <v>-</v>
      </c>
      <c r="J1235">
        <f>IF(Table1_1[[#This Row],[Type]]="Income", Table1_1[[#This Row],[Amount]], -Table1_1[[#This Row],[Amount]])</f>
        <v>2163</v>
      </c>
    </row>
    <row r="1236" spans="1:10" x14ac:dyDescent="0.25">
      <c r="A1236" s="1">
        <v>45332</v>
      </c>
      <c r="B1236" t="s">
        <v>1251</v>
      </c>
      <c r="C1236" t="s">
        <v>27</v>
      </c>
      <c r="D1236" s="2">
        <v>1661.67</v>
      </c>
      <c r="E1236" t="s">
        <v>14</v>
      </c>
      <c r="F1236" t="s">
        <v>1568</v>
      </c>
      <c r="G1236">
        <v>2024</v>
      </c>
      <c r="H1236">
        <f>IF(Table1_1[[#This Row],[Type]]="Expense", _xlfn.XLOOKUP(Table1_1[[#This Row],[Category]], Budget_Ref[Category], Budget_Ref[Monthly Budget], 0), 0)</f>
        <v>0</v>
      </c>
      <c r="I1236" t="str">
        <f>IF(Table1_1[[#This Row],[Type]]="Expense", IF(Table1_1[[#This Row],[Amount]]&gt;Table1_1[[#This Row],[Monthly Budget]], "Over Budget", "OK"), "-")</f>
        <v>-</v>
      </c>
      <c r="J1236">
        <f>IF(Table1_1[[#This Row],[Type]]="Income", Table1_1[[#This Row],[Amount]], -Table1_1[[#This Row],[Amount]])</f>
        <v>1661.67</v>
      </c>
    </row>
    <row r="1237" spans="1:10" x14ac:dyDescent="0.25">
      <c r="A1237" s="1">
        <v>45332</v>
      </c>
      <c r="B1237" t="s">
        <v>1252</v>
      </c>
      <c r="C1237" t="s">
        <v>25</v>
      </c>
      <c r="D1237" s="2">
        <v>1512.66</v>
      </c>
      <c r="E1237" t="s">
        <v>7</v>
      </c>
      <c r="F1237" t="s">
        <v>1568</v>
      </c>
      <c r="G1237">
        <v>2024</v>
      </c>
      <c r="H1237">
        <f>IF(Table1_1[[#This Row],[Type]]="Expense", _xlfn.XLOOKUP(Table1_1[[#This Row],[Category]], Budget_Ref[Category], Budget_Ref[Monthly Budget], 0), 0)</f>
        <v>150</v>
      </c>
      <c r="I1237" t="str">
        <f>IF(Table1_1[[#This Row],[Type]]="Expense", IF(Table1_1[[#This Row],[Amount]]&gt;Table1_1[[#This Row],[Monthly Budget]], "Over Budget", "OK"), "-")</f>
        <v>Over Budget</v>
      </c>
      <c r="J1237">
        <f>IF(Table1_1[[#This Row],[Type]]="Income", Table1_1[[#This Row],[Amount]], -Table1_1[[#This Row],[Amount]])</f>
        <v>-1512.66</v>
      </c>
    </row>
    <row r="1238" spans="1:10" x14ac:dyDescent="0.25">
      <c r="A1238" s="1">
        <v>45332</v>
      </c>
      <c r="B1238" t="s">
        <v>1253</v>
      </c>
      <c r="C1238" t="s">
        <v>22</v>
      </c>
      <c r="D1238" s="2">
        <v>1554.53</v>
      </c>
      <c r="E1238" t="s">
        <v>7</v>
      </c>
      <c r="F1238" t="s">
        <v>1568</v>
      </c>
      <c r="G1238">
        <v>2024</v>
      </c>
      <c r="H1238">
        <f>IF(Table1_1[[#This Row],[Type]]="Expense", _xlfn.XLOOKUP(Table1_1[[#This Row],[Category]], Budget_Ref[Category], Budget_Ref[Monthly Budget], 0), 0)</f>
        <v>200</v>
      </c>
      <c r="I1238" t="str">
        <f>IF(Table1_1[[#This Row],[Type]]="Expense", IF(Table1_1[[#This Row],[Amount]]&gt;Table1_1[[#This Row],[Monthly Budget]], "Over Budget", "OK"), "-")</f>
        <v>Over Budget</v>
      </c>
      <c r="J1238">
        <f>IF(Table1_1[[#This Row],[Type]]="Income", Table1_1[[#This Row],[Amount]], -Table1_1[[#This Row],[Amount]])</f>
        <v>-1554.53</v>
      </c>
    </row>
    <row r="1239" spans="1:10" x14ac:dyDescent="0.25">
      <c r="A1239" s="1">
        <v>45336</v>
      </c>
      <c r="B1239" t="s">
        <v>1254</v>
      </c>
      <c r="C1239" t="s">
        <v>35</v>
      </c>
      <c r="D1239" s="2">
        <v>903.14</v>
      </c>
      <c r="E1239" t="s">
        <v>7</v>
      </c>
      <c r="F1239" t="s">
        <v>1568</v>
      </c>
      <c r="G1239">
        <v>2024</v>
      </c>
      <c r="H1239">
        <f>IF(Table1_1[[#This Row],[Type]]="Expense", _xlfn.XLOOKUP(Table1_1[[#This Row],[Category]], Budget_Ref[Category], Budget_Ref[Monthly Budget], 0), 0)</f>
        <v>200</v>
      </c>
      <c r="I1239" t="str">
        <f>IF(Table1_1[[#This Row],[Type]]="Expense", IF(Table1_1[[#This Row],[Amount]]&gt;Table1_1[[#This Row],[Monthly Budget]], "Over Budget", "OK"), "-")</f>
        <v>Over Budget</v>
      </c>
      <c r="J1239">
        <f>IF(Table1_1[[#This Row],[Type]]="Income", Table1_1[[#This Row],[Amount]], -Table1_1[[#This Row],[Amount]])</f>
        <v>-903.14</v>
      </c>
    </row>
    <row r="1240" spans="1:10" x14ac:dyDescent="0.25">
      <c r="A1240" s="1">
        <v>45336</v>
      </c>
      <c r="B1240" t="s">
        <v>1255</v>
      </c>
      <c r="C1240" t="s">
        <v>11</v>
      </c>
      <c r="D1240" s="2">
        <v>382.08</v>
      </c>
      <c r="E1240" t="s">
        <v>7</v>
      </c>
      <c r="F1240" t="s">
        <v>1568</v>
      </c>
      <c r="G1240">
        <v>2024</v>
      </c>
      <c r="H1240">
        <f>IF(Table1_1[[#This Row],[Type]]="Expense", _xlfn.XLOOKUP(Table1_1[[#This Row],[Category]], Budget_Ref[Category], Budget_Ref[Monthly Budget], 0), 0)</f>
        <v>1500</v>
      </c>
      <c r="I1240" t="str">
        <f>IF(Table1_1[[#This Row],[Type]]="Expense", IF(Table1_1[[#This Row],[Amount]]&gt;Table1_1[[#This Row],[Monthly Budget]], "Over Budget", "OK"), "-")</f>
        <v>OK</v>
      </c>
      <c r="J1240">
        <f>IF(Table1_1[[#This Row],[Type]]="Income", Table1_1[[#This Row],[Amount]], -Table1_1[[#This Row],[Amount]])</f>
        <v>-382.08</v>
      </c>
    </row>
    <row r="1241" spans="1:10" x14ac:dyDescent="0.25">
      <c r="A1241" s="1">
        <v>45337</v>
      </c>
      <c r="B1241" t="s">
        <v>1256</v>
      </c>
      <c r="C1241" t="s">
        <v>13</v>
      </c>
      <c r="D1241" s="2">
        <v>3590</v>
      </c>
      <c r="E1241" t="s">
        <v>14</v>
      </c>
      <c r="F1241" t="s">
        <v>1568</v>
      </c>
      <c r="G1241">
        <v>2024</v>
      </c>
      <c r="H1241">
        <f>IF(Table1_1[[#This Row],[Type]]="Expense", _xlfn.XLOOKUP(Table1_1[[#This Row],[Category]], Budget_Ref[Category], Budget_Ref[Monthly Budget], 0), 0)</f>
        <v>0</v>
      </c>
      <c r="I1241" t="str">
        <f>IF(Table1_1[[#This Row],[Type]]="Expense", IF(Table1_1[[#This Row],[Amount]]&gt;Table1_1[[#This Row],[Monthly Budget]], "Over Budget", "OK"), "-")</f>
        <v>-</v>
      </c>
      <c r="J1241">
        <f>IF(Table1_1[[#This Row],[Type]]="Income", Table1_1[[#This Row],[Amount]], -Table1_1[[#This Row],[Amount]])</f>
        <v>3590</v>
      </c>
    </row>
    <row r="1242" spans="1:10" x14ac:dyDescent="0.25">
      <c r="A1242" s="1">
        <v>45338</v>
      </c>
      <c r="B1242" t="s">
        <v>1257</v>
      </c>
      <c r="C1242" t="s">
        <v>20</v>
      </c>
      <c r="D1242" s="2">
        <v>2664</v>
      </c>
      <c r="E1242" t="s">
        <v>14</v>
      </c>
      <c r="F1242" t="s">
        <v>1568</v>
      </c>
      <c r="G1242">
        <v>2024</v>
      </c>
      <c r="H1242">
        <f>IF(Table1_1[[#This Row],[Type]]="Expense", _xlfn.XLOOKUP(Table1_1[[#This Row],[Category]], Budget_Ref[Category], Budget_Ref[Monthly Budget], 0), 0)</f>
        <v>0</v>
      </c>
      <c r="I1242" t="str">
        <f>IF(Table1_1[[#This Row],[Type]]="Expense", IF(Table1_1[[#This Row],[Amount]]&gt;Table1_1[[#This Row],[Monthly Budget]], "Over Budget", "OK"), "-")</f>
        <v>-</v>
      </c>
      <c r="J1242">
        <f>IF(Table1_1[[#This Row],[Type]]="Income", Table1_1[[#This Row],[Amount]], -Table1_1[[#This Row],[Amount]])</f>
        <v>2664</v>
      </c>
    </row>
    <row r="1243" spans="1:10" x14ac:dyDescent="0.25">
      <c r="A1243" s="1">
        <v>45339</v>
      </c>
      <c r="B1243" t="s">
        <v>1258</v>
      </c>
      <c r="C1243" t="s">
        <v>20</v>
      </c>
      <c r="D1243" s="2">
        <v>546</v>
      </c>
      <c r="E1243" t="s">
        <v>14</v>
      </c>
      <c r="F1243" t="s">
        <v>1568</v>
      </c>
      <c r="G1243">
        <v>2024</v>
      </c>
      <c r="H1243">
        <f>IF(Table1_1[[#This Row],[Type]]="Expense", _xlfn.XLOOKUP(Table1_1[[#This Row],[Category]], Budget_Ref[Category], Budget_Ref[Monthly Budget], 0), 0)</f>
        <v>0</v>
      </c>
      <c r="I1243" t="str">
        <f>IF(Table1_1[[#This Row],[Type]]="Expense", IF(Table1_1[[#This Row],[Amount]]&gt;Table1_1[[#This Row],[Monthly Budget]], "Over Budget", "OK"), "-")</f>
        <v>-</v>
      </c>
      <c r="J1243">
        <f>IF(Table1_1[[#This Row],[Type]]="Income", Table1_1[[#This Row],[Amount]], -Table1_1[[#This Row],[Amount]])</f>
        <v>546</v>
      </c>
    </row>
    <row r="1244" spans="1:10" x14ac:dyDescent="0.25">
      <c r="A1244" s="1">
        <v>45341</v>
      </c>
      <c r="B1244" t="s">
        <v>1259</v>
      </c>
      <c r="C1244" t="s">
        <v>9</v>
      </c>
      <c r="D1244" s="2">
        <v>89.48</v>
      </c>
      <c r="E1244" t="s">
        <v>7</v>
      </c>
      <c r="F1244" t="s">
        <v>1568</v>
      </c>
      <c r="G1244">
        <v>2024</v>
      </c>
      <c r="H1244">
        <f>IF(Table1_1[[#This Row],[Type]]="Expense", _xlfn.XLOOKUP(Table1_1[[#This Row],[Category]], Budget_Ref[Category], Budget_Ref[Monthly Budget], 0), 0)</f>
        <v>150</v>
      </c>
      <c r="I1244" t="str">
        <f>IF(Table1_1[[#This Row],[Type]]="Expense", IF(Table1_1[[#This Row],[Amount]]&gt;Table1_1[[#This Row],[Monthly Budget]], "Over Budget", "OK"), "-")</f>
        <v>OK</v>
      </c>
      <c r="J1244">
        <f>IF(Table1_1[[#This Row],[Type]]="Income", Table1_1[[#This Row],[Amount]], -Table1_1[[#This Row],[Amount]])</f>
        <v>-89.48</v>
      </c>
    </row>
    <row r="1245" spans="1:10" x14ac:dyDescent="0.25">
      <c r="A1245" s="1">
        <v>45343</v>
      </c>
      <c r="B1245" t="s">
        <v>1260</v>
      </c>
      <c r="C1245" t="s">
        <v>6</v>
      </c>
      <c r="D1245" s="2">
        <v>1549.59</v>
      </c>
      <c r="E1245" t="s">
        <v>7</v>
      </c>
      <c r="F1245" t="s">
        <v>1568</v>
      </c>
      <c r="G1245">
        <v>2024</v>
      </c>
      <c r="H1245">
        <f>IF(Table1_1[[#This Row],[Type]]="Expense", _xlfn.XLOOKUP(Table1_1[[#This Row],[Category]], Budget_Ref[Category], Budget_Ref[Monthly Budget], 0), 0)</f>
        <v>500</v>
      </c>
      <c r="I1245" t="str">
        <f>IF(Table1_1[[#This Row],[Type]]="Expense", IF(Table1_1[[#This Row],[Amount]]&gt;Table1_1[[#This Row],[Monthly Budget]], "Over Budget", "OK"), "-")</f>
        <v>Over Budget</v>
      </c>
      <c r="J1245">
        <f>IF(Table1_1[[#This Row],[Type]]="Income", Table1_1[[#This Row],[Amount]], -Table1_1[[#This Row],[Amount]])</f>
        <v>-1549.59</v>
      </c>
    </row>
    <row r="1246" spans="1:10" x14ac:dyDescent="0.25">
      <c r="A1246" s="1">
        <v>45343</v>
      </c>
      <c r="B1246" t="s">
        <v>1261</v>
      </c>
      <c r="C1246" t="s">
        <v>35</v>
      </c>
      <c r="D1246" s="2">
        <v>986.2</v>
      </c>
      <c r="E1246" t="s">
        <v>7</v>
      </c>
      <c r="F1246" t="s">
        <v>1568</v>
      </c>
      <c r="G1246">
        <v>2024</v>
      </c>
      <c r="H1246">
        <f>IF(Table1_1[[#This Row],[Type]]="Expense", _xlfn.XLOOKUP(Table1_1[[#This Row],[Category]], Budget_Ref[Category], Budget_Ref[Monthly Budget], 0), 0)</f>
        <v>200</v>
      </c>
      <c r="I1246" t="str">
        <f>IF(Table1_1[[#This Row],[Type]]="Expense", IF(Table1_1[[#This Row],[Amount]]&gt;Table1_1[[#This Row],[Monthly Budget]], "Over Budget", "OK"), "-")</f>
        <v>Over Budget</v>
      </c>
      <c r="J1246">
        <f>IF(Table1_1[[#This Row],[Type]]="Income", Table1_1[[#This Row],[Amount]], -Table1_1[[#This Row],[Amount]])</f>
        <v>-986.2</v>
      </c>
    </row>
    <row r="1247" spans="1:10" x14ac:dyDescent="0.25">
      <c r="A1247" s="1">
        <v>45343</v>
      </c>
      <c r="B1247" t="s">
        <v>1262</v>
      </c>
      <c r="C1247" t="s">
        <v>25</v>
      </c>
      <c r="D1247" s="2">
        <v>155.03</v>
      </c>
      <c r="E1247" t="s">
        <v>7</v>
      </c>
      <c r="F1247" t="s">
        <v>1568</v>
      </c>
      <c r="G1247">
        <v>2024</v>
      </c>
      <c r="H1247">
        <f>IF(Table1_1[[#This Row],[Type]]="Expense", _xlfn.XLOOKUP(Table1_1[[#This Row],[Category]], Budget_Ref[Category], Budget_Ref[Monthly Budget], 0), 0)</f>
        <v>150</v>
      </c>
      <c r="I1247" t="str">
        <f>IF(Table1_1[[#This Row],[Type]]="Expense", IF(Table1_1[[#This Row],[Amount]]&gt;Table1_1[[#This Row],[Monthly Budget]], "Over Budget", "OK"), "-")</f>
        <v>Over Budget</v>
      </c>
      <c r="J1247">
        <f>IF(Table1_1[[#This Row],[Type]]="Income", Table1_1[[#This Row],[Amount]], -Table1_1[[#This Row],[Amount]])</f>
        <v>-155.03</v>
      </c>
    </row>
    <row r="1248" spans="1:10" x14ac:dyDescent="0.25">
      <c r="A1248" s="1">
        <v>45344</v>
      </c>
      <c r="B1248" t="s">
        <v>1263</v>
      </c>
      <c r="C1248" t="s">
        <v>22</v>
      </c>
      <c r="D1248" s="2">
        <v>1914.41</v>
      </c>
      <c r="E1248" t="s">
        <v>7</v>
      </c>
      <c r="F1248" t="s">
        <v>1568</v>
      </c>
      <c r="G1248">
        <v>2024</v>
      </c>
      <c r="H1248">
        <f>IF(Table1_1[[#This Row],[Type]]="Expense", _xlfn.XLOOKUP(Table1_1[[#This Row],[Category]], Budget_Ref[Category], Budget_Ref[Monthly Budget], 0), 0)</f>
        <v>200</v>
      </c>
      <c r="I1248" t="str">
        <f>IF(Table1_1[[#This Row],[Type]]="Expense", IF(Table1_1[[#This Row],[Amount]]&gt;Table1_1[[#This Row],[Monthly Budget]], "Over Budget", "OK"), "-")</f>
        <v>Over Budget</v>
      </c>
      <c r="J1248">
        <f>IF(Table1_1[[#This Row],[Type]]="Income", Table1_1[[#This Row],[Amount]], -Table1_1[[#This Row],[Amount]])</f>
        <v>-1914.41</v>
      </c>
    </row>
    <row r="1249" spans="1:10" x14ac:dyDescent="0.25">
      <c r="A1249" s="1">
        <v>45345</v>
      </c>
      <c r="B1249" t="s">
        <v>1264</v>
      </c>
      <c r="C1249" t="s">
        <v>9</v>
      </c>
      <c r="D1249" s="2">
        <v>837.7</v>
      </c>
      <c r="E1249" t="s">
        <v>7</v>
      </c>
      <c r="F1249" t="s">
        <v>1568</v>
      </c>
      <c r="G1249">
        <v>2024</v>
      </c>
      <c r="H1249">
        <f>IF(Table1_1[[#This Row],[Type]]="Expense", _xlfn.XLOOKUP(Table1_1[[#This Row],[Category]], Budget_Ref[Category], Budget_Ref[Monthly Budget], 0), 0)</f>
        <v>150</v>
      </c>
      <c r="I1249" t="str">
        <f>IF(Table1_1[[#This Row],[Type]]="Expense", IF(Table1_1[[#This Row],[Amount]]&gt;Table1_1[[#This Row],[Monthly Budget]], "Over Budget", "OK"), "-")</f>
        <v>Over Budget</v>
      </c>
      <c r="J1249">
        <f>IF(Table1_1[[#This Row],[Type]]="Income", Table1_1[[#This Row],[Amount]], -Table1_1[[#This Row],[Amount]])</f>
        <v>-837.7</v>
      </c>
    </row>
    <row r="1250" spans="1:10" x14ac:dyDescent="0.25">
      <c r="A1250" s="1">
        <v>45345</v>
      </c>
      <c r="B1250" t="s">
        <v>1265</v>
      </c>
      <c r="C1250" t="s">
        <v>11</v>
      </c>
      <c r="D1250" s="2">
        <v>705.31</v>
      </c>
      <c r="E1250" t="s">
        <v>7</v>
      </c>
      <c r="F1250" t="s">
        <v>1568</v>
      </c>
      <c r="G1250">
        <v>2024</v>
      </c>
      <c r="H1250">
        <f>IF(Table1_1[[#This Row],[Type]]="Expense", _xlfn.XLOOKUP(Table1_1[[#This Row],[Category]], Budget_Ref[Category], Budget_Ref[Monthly Budget], 0), 0)</f>
        <v>1500</v>
      </c>
      <c r="I1250" t="str">
        <f>IF(Table1_1[[#This Row],[Type]]="Expense", IF(Table1_1[[#This Row],[Amount]]&gt;Table1_1[[#This Row],[Monthly Budget]], "Over Budget", "OK"), "-")</f>
        <v>OK</v>
      </c>
      <c r="J1250">
        <f>IF(Table1_1[[#This Row],[Type]]="Income", Table1_1[[#This Row],[Amount]], -Table1_1[[#This Row],[Amount]])</f>
        <v>-705.31</v>
      </c>
    </row>
    <row r="1251" spans="1:10" x14ac:dyDescent="0.25">
      <c r="A1251" s="1">
        <v>45346</v>
      </c>
      <c r="B1251" t="s">
        <v>1266</v>
      </c>
      <c r="C1251" t="s">
        <v>25</v>
      </c>
      <c r="D1251" s="2">
        <v>668.82</v>
      </c>
      <c r="E1251" t="s">
        <v>7</v>
      </c>
      <c r="F1251" t="s">
        <v>1568</v>
      </c>
      <c r="G1251">
        <v>2024</v>
      </c>
      <c r="H1251">
        <f>IF(Table1_1[[#This Row],[Type]]="Expense", _xlfn.XLOOKUP(Table1_1[[#This Row],[Category]], Budget_Ref[Category], Budget_Ref[Monthly Budget], 0), 0)</f>
        <v>150</v>
      </c>
      <c r="I1251" t="str">
        <f>IF(Table1_1[[#This Row],[Type]]="Expense", IF(Table1_1[[#This Row],[Amount]]&gt;Table1_1[[#This Row],[Monthly Budget]], "Over Budget", "OK"), "-")</f>
        <v>Over Budget</v>
      </c>
      <c r="J1251">
        <f>IF(Table1_1[[#This Row],[Type]]="Income", Table1_1[[#This Row],[Amount]], -Table1_1[[#This Row],[Amount]])</f>
        <v>-668.82</v>
      </c>
    </row>
    <row r="1252" spans="1:10" x14ac:dyDescent="0.25">
      <c r="A1252" s="1">
        <v>45346</v>
      </c>
      <c r="B1252" t="s">
        <v>1267</v>
      </c>
      <c r="C1252" t="s">
        <v>27</v>
      </c>
      <c r="D1252" s="2">
        <v>1993.3</v>
      </c>
      <c r="E1252" t="s">
        <v>14</v>
      </c>
      <c r="F1252" t="s">
        <v>1568</v>
      </c>
      <c r="G1252">
        <v>2024</v>
      </c>
      <c r="H1252">
        <f>IF(Table1_1[[#This Row],[Type]]="Expense", _xlfn.XLOOKUP(Table1_1[[#This Row],[Category]], Budget_Ref[Category], Budget_Ref[Monthly Budget], 0), 0)</f>
        <v>0</v>
      </c>
      <c r="I1252" t="str">
        <f>IF(Table1_1[[#This Row],[Type]]="Expense", IF(Table1_1[[#This Row],[Amount]]&gt;Table1_1[[#This Row],[Monthly Budget]], "Over Budget", "OK"), "-")</f>
        <v>-</v>
      </c>
      <c r="J1252">
        <f>IF(Table1_1[[#This Row],[Type]]="Income", Table1_1[[#This Row],[Amount]], -Table1_1[[#This Row],[Amount]])</f>
        <v>1993.3</v>
      </c>
    </row>
    <row r="1253" spans="1:10" x14ac:dyDescent="0.25">
      <c r="A1253" s="1">
        <v>45347</v>
      </c>
      <c r="B1253" t="s">
        <v>1268</v>
      </c>
      <c r="C1253" t="s">
        <v>6</v>
      </c>
      <c r="D1253" s="2">
        <v>238.3</v>
      </c>
      <c r="E1253" t="s">
        <v>7</v>
      </c>
      <c r="F1253" t="s">
        <v>1568</v>
      </c>
      <c r="G1253">
        <v>2024</v>
      </c>
      <c r="H1253">
        <f>IF(Table1_1[[#This Row],[Type]]="Expense", _xlfn.XLOOKUP(Table1_1[[#This Row],[Category]], Budget_Ref[Category], Budget_Ref[Monthly Budget], 0), 0)</f>
        <v>500</v>
      </c>
      <c r="I1253" t="str">
        <f>IF(Table1_1[[#This Row],[Type]]="Expense", IF(Table1_1[[#This Row],[Amount]]&gt;Table1_1[[#This Row],[Monthly Budget]], "Over Budget", "OK"), "-")</f>
        <v>OK</v>
      </c>
      <c r="J1253">
        <f>IF(Table1_1[[#This Row],[Type]]="Income", Table1_1[[#This Row],[Amount]], -Table1_1[[#This Row],[Amount]])</f>
        <v>-238.3</v>
      </c>
    </row>
    <row r="1254" spans="1:10" x14ac:dyDescent="0.25">
      <c r="A1254" s="1">
        <v>45349</v>
      </c>
      <c r="B1254" t="s">
        <v>1269</v>
      </c>
      <c r="C1254" t="s">
        <v>22</v>
      </c>
      <c r="D1254" s="2">
        <v>1809.95</v>
      </c>
      <c r="E1254" t="s">
        <v>7</v>
      </c>
      <c r="F1254" t="s">
        <v>1568</v>
      </c>
      <c r="G1254">
        <v>2024</v>
      </c>
      <c r="H1254">
        <f>IF(Table1_1[[#This Row],[Type]]="Expense", _xlfn.XLOOKUP(Table1_1[[#This Row],[Category]], Budget_Ref[Category], Budget_Ref[Monthly Budget], 0), 0)</f>
        <v>200</v>
      </c>
      <c r="I1254" t="str">
        <f>IF(Table1_1[[#This Row],[Type]]="Expense", IF(Table1_1[[#This Row],[Amount]]&gt;Table1_1[[#This Row],[Monthly Budget]], "Over Budget", "OK"), "-")</f>
        <v>Over Budget</v>
      </c>
      <c r="J1254">
        <f>IF(Table1_1[[#This Row],[Type]]="Income", Table1_1[[#This Row],[Amount]], -Table1_1[[#This Row],[Amount]])</f>
        <v>-1809.95</v>
      </c>
    </row>
    <row r="1255" spans="1:10" x14ac:dyDescent="0.25">
      <c r="A1255" s="1">
        <v>45349</v>
      </c>
      <c r="B1255" t="s">
        <v>1270</v>
      </c>
      <c r="C1255" t="s">
        <v>22</v>
      </c>
      <c r="D1255" s="2">
        <v>1918.2</v>
      </c>
      <c r="E1255" t="s">
        <v>7</v>
      </c>
      <c r="F1255" t="s">
        <v>1568</v>
      </c>
      <c r="G1255">
        <v>2024</v>
      </c>
      <c r="H1255">
        <f>IF(Table1_1[[#This Row],[Type]]="Expense", _xlfn.XLOOKUP(Table1_1[[#This Row],[Category]], Budget_Ref[Category], Budget_Ref[Monthly Budget], 0), 0)</f>
        <v>200</v>
      </c>
      <c r="I1255" t="str">
        <f>IF(Table1_1[[#This Row],[Type]]="Expense", IF(Table1_1[[#This Row],[Amount]]&gt;Table1_1[[#This Row],[Monthly Budget]], "Over Budget", "OK"), "-")</f>
        <v>Over Budget</v>
      </c>
      <c r="J1255">
        <f>IF(Table1_1[[#This Row],[Type]]="Income", Table1_1[[#This Row],[Amount]], -Table1_1[[#This Row],[Amount]])</f>
        <v>-1918.2</v>
      </c>
    </row>
    <row r="1256" spans="1:10" x14ac:dyDescent="0.25">
      <c r="A1256" s="1">
        <v>45349</v>
      </c>
      <c r="B1256" t="s">
        <v>1271</v>
      </c>
      <c r="C1256" t="s">
        <v>25</v>
      </c>
      <c r="D1256" s="2">
        <v>768.93</v>
      </c>
      <c r="E1256" t="s">
        <v>7</v>
      </c>
      <c r="F1256" t="s">
        <v>1568</v>
      </c>
      <c r="G1256">
        <v>2024</v>
      </c>
      <c r="H1256">
        <f>IF(Table1_1[[#This Row],[Type]]="Expense", _xlfn.XLOOKUP(Table1_1[[#This Row],[Category]], Budget_Ref[Category], Budget_Ref[Monthly Budget], 0), 0)</f>
        <v>150</v>
      </c>
      <c r="I1256" t="str">
        <f>IF(Table1_1[[#This Row],[Type]]="Expense", IF(Table1_1[[#This Row],[Amount]]&gt;Table1_1[[#This Row],[Monthly Budget]], "Over Budget", "OK"), "-")</f>
        <v>Over Budget</v>
      </c>
      <c r="J1256">
        <f>IF(Table1_1[[#This Row],[Type]]="Income", Table1_1[[#This Row],[Amount]], -Table1_1[[#This Row],[Amount]])</f>
        <v>-768.93</v>
      </c>
    </row>
    <row r="1257" spans="1:10" x14ac:dyDescent="0.25">
      <c r="A1257" s="1">
        <v>45350</v>
      </c>
      <c r="B1257" t="s">
        <v>1272</v>
      </c>
      <c r="C1257" t="s">
        <v>11</v>
      </c>
      <c r="D1257" s="2">
        <v>777.89</v>
      </c>
      <c r="E1257" t="s">
        <v>7</v>
      </c>
      <c r="F1257" t="s">
        <v>1568</v>
      </c>
      <c r="G1257">
        <v>2024</v>
      </c>
      <c r="H1257">
        <f>IF(Table1_1[[#This Row],[Type]]="Expense", _xlfn.XLOOKUP(Table1_1[[#This Row],[Category]], Budget_Ref[Category], Budget_Ref[Monthly Budget], 0), 0)</f>
        <v>1500</v>
      </c>
      <c r="I1257" t="str">
        <f>IF(Table1_1[[#This Row],[Type]]="Expense", IF(Table1_1[[#This Row],[Amount]]&gt;Table1_1[[#This Row],[Monthly Budget]], "Over Budget", "OK"), "-")</f>
        <v>OK</v>
      </c>
      <c r="J1257">
        <f>IF(Table1_1[[#This Row],[Type]]="Income", Table1_1[[#This Row],[Amount]], -Table1_1[[#This Row],[Amount]])</f>
        <v>-777.89</v>
      </c>
    </row>
    <row r="1258" spans="1:10" x14ac:dyDescent="0.25">
      <c r="A1258" s="1">
        <v>45351</v>
      </c>
      <c r="B1258" t="s">
        <v>1273</v>
      </c>
      <c r="C1258" t="s">
        <v>35</v>
      </c>
      <c r="D1258" s="2">
        <v>59.16</v>
      </c>
      <c r="E1258" t="s">
        <v>7</v>
      </c>
      <c r="F1258" t="s">
        <v>1568</v>
      </c>
      <c r="G1258">
        <v>2024</v>
      </c>
      <c r="H1258">
        <f>IF(Table1_1[[#This Row],[Type]]="Expense", _xlfn.XLOOKUP(Table1_1[[#This Row],[Category]], Budget_Ref[Category], Budget_Ref[Monthly Budget], 0), 0)</f>
        <v>200</v>
      </c>
      <c r="I1258" t="str">
        <f>IF(Table1_1[[#This Row],[Type]]="Expense", IF(Table1_1[[#This Row],[Amount]]&gt;Table1_1[[#This Row],[Monthly Budget]], "Over Budget", "OK"), "-")</f>
        <v>OK</v>
      </c>
      <c r="J1258">
        <f>IF(Table1_1[[#This Row],[Type]]="Income", Table1_1[[#This Row],[Amount]], -Table1_1[[#This Row],[Amount]])</f>
        <v>-59.16</v>
      </c>
    </row>
    <row r="1259" spans="1:10" x14ac:dyDescent="0.25">
      <c r="A1259" s="1">
        <v>45353</v>
      </c>
      <c r="B1259" t="s">
        <v>1274</v>
      </c>
      <c r="C1259" t="s">
        <v>25</v>
      </c>
      <c r="D1259" s="2">
        <v>1033.48</v>
      </c>
      <c r="E1259" t="s">
        <v>7</v>
      </c>
      <c r="F1259" t="s">
        <v>1569</v>
      </c>
      <c r="G1259">
        <v>2024</v>
      </c>
      <c r="H1259">
        <f>IF(Table1_1[[#This Row],[Type]]="Expense", _xlfn.XLOOKUP(Table1_1[[#This Row],[Category]], Budget_Ref[Category], Budget_Ref[Monthly Budget], 0), 0)</f>
        <v>150</v>
      </c>
      <c r="I1259" t="str">
        <f>IF(Table1_1[[#This Row],[Type]]="Expense", IF(Table1_1[[#This Row],[Amount]]&gt;Table1_1[[#This Row],[Monthly Budget]], "Over Budget", "OK"), "-")</f>
        <v>Over Budget</v>
      </c>
      <c r="J1259">
        <f>IF(Table1_1[[#This Row],[Type]]="Income", Table1_1[[#This Row],[Amount]], -Table1_1[[#This Row],[Amount]])</f>
        <v>-1033.48</v>
      </c>
    </row>
    <row r="1260" spans="1:10" x14ac:dyDescent="0.25">
      <c r="A1260" s="1">
        <v>45354</v>
      </c>
      <c r="B1260" t="s">
        <v>1275</v>
      </c>
      <c r="C1260" t="s">
        <v>27</v>
      </c>
      <c r="D1260" s="2">
        <v>97.26</v>
      </c>
      <c r="E1260" t="s">
        <v>14</v>
      </c>
      <c r="F1260" t="s">
        <v>1569</v>
      </c>
      <c r="G1260">
        <v>2024</v>
      </c>
      <c r="H1260">
        <f>IF(Table1_1[[#This Row],[Type]]="Expense", _xlfn.XLOOKUP(Table1_1[[#This Row],[Category]], Budget_Ref[Category], Budget_Ref[Monthly Budget], 0), 0)</f>
        <v>0</v>
      </c>
      <c r="I1260" t="str">
        <f>IF(Table1_1[[#This Row],[Type]]="Expense", IF(Table1_1[[#This Row],[Amount]]&gt;Table1_1[[#This Row],[Monthly Budget]], "Over Budget", "OK"), "-")</f>
        <v>-</v>
      </c>
      <c r="J1260">
        <f>IF(Table1_1[[#This Row],[Type]]="Income", Table1_1[[#This Row],[Amount]], -Table1_1[[#This Row],[Amount]])</f>
        <v>97.26</v>
      </c>
    </row>
    <row r="1261" spans="1:10" x14ac:dyDescent="0.25">
      <c r="A1261" s="1">
        <v>45356</v>
      </c>
      <c r="B1261" t="s">
        <v>1276</v>
      </c>
      <c r="C1261" t="s">
        <v>22</v>
      </c>
      <c r="D1261" s="2">
        <v>647.41999999999996</v>
      </c>
      <c r="E1261" t="s">
        <v>7</v>
      </c>
      <c r="F1261" t="s">
        <v>1569</v>
      </c>
      <c r="G1261">
        <v>2024</v>
      </c>
      <c r="H1261">
        <f>IF(Table1_1[[#This Row],[Type]]="Expense", _xlfn.XLOOKUP(Table1_1[[#This Row],[Category]], Budget_Ref[Category], Budget_Ref[Monthly Budget], 0), 0)</f>
        <v>200</v>
      </c>
      <c r="I1261" t="str">
        <f>IF(Table1_1[[#This Row],[Type]]="Expense", IF(Table1_1[[#This Row],[Amount]]&gt;Table1_1[[#This Row],[Monthly Budget]], "Over Budget", "OK"), "-")</f>
        <v>Over Budget</v>
      </c>
      <c r="J1261">
        <f>IF(Table1_1[[#This Row],[Type]]="Income", Table1_1[[#This Row],[Amount]], -Table1_1[[#This Row],[Amount]])</f>
        <v>-647.41999999999996</v>
      </c>
    </row>
    <row r="1262" spans="1:10" x14ac:dyDescent="0.25">
      <c r="A1262" s="1">
        <v>45356</v>
      </c>
      <c r="B1262" t="s">
        <v>1277</v>
      </c>
      <c r="C1262" t="s">
        <v>13</v>
      </c>
      <c r="D1262" s="2">
        <v>1871</v>
      </c>
      <c r="E1262" t="s">
        <v>14</v>
      </c>
      <c r="F1262" t="s">
        <v>1569</v>
      </c>
      <c r="G1262">
        <v>2024</v>
      </c>
      <c r="H1262">
        <f>IF(Table1_1[[#This Row],[Type]]="Expense", _xlfn.XLOOKUP(Table1_1[[#This Row],[Category]], Budget_Ref[Category], Budget_Ref[Monthly Budget], 0), 0)</f>
        <v>0</v>
      </c>
      <c r="I1262" t="str">
        <f>IF(Table1_1[[#This Row],[Type]]="Expense", IF(Table1_1[[#This Row],[Amount]]&gt;Table1_1[[#This Row],[Monthly Budget]], "Over Budget", "OK"), "-")</f>
        <v>-</v>
      </c>
      <c r="J1262">
        <f>IF(Table1_1[[#This Row],[Type]]="Income", Table1_1[[#This Row],[Amount]], -Table1_1[[#This Row],[Amount]])</f>
        <v>1871</v>
      </c>
    </row>
    <row r="1263" spans="1:10" x14ac:dyDescent="0.25">
      <c r="A1263" s="1">
        <v>45357</v>
      </c>
      <c r="B1263" t="s">
        <v>1278</v>
      </c>
      <c r="C1263" t="s">
        <v>6</v>
      </c>
      <c r="D1263" s="2">
        <v>1257.5999999999999</v>
      </c>
      <c r="E1263" t="s">
        <v>7</v>
      </c>
      <c r="F1263" t="s">
        <v>1569</v>
      </c>
      <c r="G1263">
        <v>2024</v>
      </c>
      <c r="H1263">
        <f>IF(Table1_1[[#This Row],[Type]]="Expense", _xlfn.XLOOKUP(Table1_1[[#This Row],[Category]], Budget_Ref[Category], Budget_Ref[Monthly Budget], 0), 0)</f>
        <v>500</v>
      </c>
      <c r="I1263" t="str">
        <f>IF(Table1_1[[#This Row],[Type]]="Expense", IF(Table1_1[[#This Row],[Amount]]&gt;Table1_1[[#This Row],[Monthly Budget]], "Over Budget", "OK"), "-")</f>
        <v>Over Budget</v>
      </c>
      <c r="J1263">
        <f>IF(Table1_1[[#This Row],[Type]]="Income", Table1_1[[#This Row],[Amount]], -Table1_1[[#This Row],[Amount]])</f>
        <v>-1257.5999999999999</v>
      </c>
    </row>
    <row r="1264" spans="1:10" x14ac:dyDescent="0.25">
      <c r="A1264" s="1">
        <v>45357</v>
      </c>
      <c r="B1264" t="s">
        <v>1279</v>
      </c>
      <c r="C1264" t="s">
        <v>22</v>
      </c>
      <c r="D1264" s="2">
        <v>1731.25</v>
      </c>
      <c r="E1264" t="s">
        <v>7</v>
      </c>
      <c r="F1264" t="s">
        <v>1569</v>
      </c>
      <c r="G1264">
        <v>2024</v>
      </c>
      <c r="H1264">
        <f>IF(Table1_1[[#This Row],[Type]]="Expense", _xlfn.XLOOKUP(Table1_1[[#This Row],[Category]], Budget_Ref[Category], Budget_Ref[Monthly Budget], 0), 0)</f>
        <v>200</v>
      </c>
      <c r="I1264" t="str">
        <f>IF(Table1_1[[#This Row],[Type]]="Expense", IF(Table1_1[[#This Row],[Amount]]&gt;Table1_1[[#This Row],[Monthly Budget]], "Over Budget", "OK"), "-")</f>
        <v>Over Budget</v>
      </c>
      <c r="J1264">
        <f>IF(Table1_1[[#This Row],[Type]]="Income", Table1_1[[#This Row],[Amount]], -Table1_1[[#This Row],[Amount]])</f>
        <v>-1731.25</v>
      </c>
    </row>
    <row r="1265" spans="1:10" x14ac:dyDescent="0.25">
      <c r="A1265" s="1">
        <v>45357</v>
      </c>
      <c r="B1265" t="s">
        <v>1280</v>
      </c>
      <c r="C1265" t="s">
        <v>11</v>
      </c>
      <c r="D1265" s="2">
        <v>419.1</v>
      </c>
      <c r="E1265" t="s">
        <v>7</v>
      </c>
      <c r="F1265" t="s">
        <v>1569</v>
      </c>
      <c r="G1265">
        <v>2024</v>
      </c>
      <c r="H1265">
        <f>IF(Table1_1[[#This Row],[Type]]="Expense", _xlfn.XLOOKUP(Table1_1[[#This Row],[Category]], Budget_Ref[Category], Budget_Ref[Monthly Budget], 0), 0)</f>
        <v>1500</v>
      </c>
      <c r="I1265" t="str">
        <f>IF(Table1_1[[#This Row],[Type]]="Expense", IF(Table1_1[[#This Row],[Amount]]&gt;Table1_1[[#This Row],[Monthly Budget]], "Over Budget", "OK"), "-")</f>
        <v>OK</v>
      </c>
      <c r="J1265">
        <f>IF(Table1_1[[#This Row],[Type]]="Income", Table1_1[[#This Row],[Amount]], -Table1_1[[#This Row],[Amount]])</f>
        <v>-419.1</v>
      </c>
    </row>
    <row r="1266" spans="1:10" x14ac:dyDescent="0.25">
      <c r="A1266" s="1">
        <v>45358</v>
      </c>
      <c r="B1266" t="s">
        <v>1281</v>
      </c>
      <c r="C1266" t="s">
        <v>17</v>
      </c>
      <c r="D1266" s="2">
        <v>1296.6600000000001</v>
      </c>
      <c r="E1266" t="s">
        <v>7</v>
      </c>
      <c r="F1266" t="s">
        <v>1569</v>
      </c>
      <c r="G1266">
        <v>2024</v>
      </c>
      <c r="H1266">
        <f>IF(Table1_1[[#This Row],[Type]]="Expense", _xlfn.XLOOKUP(Table1_1[[#This Row],[Category]], Budget_Ref[Category], Budget_Ref[Monthly Budget], 0), 0)</f>
        <v>300</v>
      </c>
      <c r="I1266" t="str">
        <f>IF(Table1_1[[#This Row],[Type]]="Expense", IF(Table1_1[[#This Row],[Amount]]&gt;Table1_1[[#This Row],[Monthly Budget]], "Over Budget", "OK"), "-")</f>
        <v>Over Budget</v>
      </c>
      <c r="J1266">
        <f>IF(Table1_1[[#This Row],[Type]]="Income", Table1_1[[#This Row],[Amount]], -Table1_1[[#This Row],[Amount]])</f>
        <v>-1296.6600000000001</v>
      </c>
    </row>
    <row r="1267" spans="1:10" x14ac:dyDescent="0.25">
      <c r="A1267" s="1">
        <v>45358</v>
      </c>
      <c r="B1267" t="s">
        <v>1282</v>
      </c>
      <c r="C1267" t="s">
        <v>9</v>
      </c>
      <c r="D1267" s="2">
        <v>57.27</v>
      </c>
      <c r="E1267" t="s">
        <v>7</v>
      </c>
      <c r="F1267" t="s">
        <v>1569</v>
      </c>
      <c r="G1267">
        <v>2024</v>
      </c>
      <c r="H1267">
        <f>IF(Table1_1[[#This Row],[Type]]="Expense", _xlfn.XLOOKUP(Table1_1[[#This Row],[Category]], Budget_Ref[Category], Budget_Ref[Monthly Budget], 0), 0)</f>
        <v>150</v>
      </c>
      <c r="I1267" t="str">
        <f>IF(Table1_1[[#This Row],[Type]]="Expense", IF(Table1_1[[#This Row],[Amount]]&gt;Table1_1[[#This Row],[Monthly Budget]], "Over Budget", "OK"), "-")</f>
        <v>OK</v>
      </c>
      <c r="J1267">
        <f>IF(Table1_1[[#This Row],[Type]]="Income", Table1_1[[#This Row],[Amount]], -Table1_1[[#This Row],[Amount]])</f>
        <v>-57.27</v>
      </c>
    </row>
    <row r="1268" spans="1:10" x14ac:dyDescent="0.25">
      <c r="A1268" s="1">
        <v>45359</v>
      </c>
      <c r="B1268" t="s">
        <v>1283</v>
      </c>
      <c r="C1268" t="s">
        <v>6</v>
      </c>
      <c r="D1268" s="2">
        <v>184.17</v>
      </c>
      <c r="E1268" t="s">
        <v>7</v>
      </c>
      <c r="F1268" t="s">
        <v>1569</v>
      </c>
      <c r="G1268">
        <v>2024</v>
      </c>
      <c r="H1268">
        <f>IF(Table1_1[[#This Row],[Type]]="Expense", _xlfn.XLOOKUP(Table1_1[[#This Row],[Category]], Budget_Ref[Category], Budget_Ref[Monthly Budget], 0), 0)</f>
        <v>500</v>
      </c>
      <c r="I1268" t="str">
        <f>IF(Table1_1[[#This Row],[Type]]="Expense", IF(Table1_1[[#This Row],[Amount]]&gt;Table1_1[[#This Row],[Monthly Budget]], "Over Budget", "OK"), "-")</f>
        <v>OK</v>
      </c>
      <c r="J1268">
        <f>IF(Table1_1[[#This Row],[Type]]="Income", Table1_1[[#This Row],[Amount]], -Table1_1[[#This Row],[Amount]])</f>
        <v>-184.17</v>
      </c>
    </row>
    <row r="1269" spans="1:10" x14ac:dyDescent="0.25">
      <c r="A1269" s="1">
        <v>45362</v>
      </c>
      <c r="B1269" t="s">
        <v>1284</v>
      </c>
      <c r="C1269" t="s">
        <v>20</v>
      </c>
      <c r="D1269" s="2">
        <v>1077</v>
      </c>
      <c r="E1269" t="s">
        <v>14</v>
      </c>
      <c r="F1269" t="s">
        <v>1569</v>
      </c>
      <c r="G1269">
        <v>2024</v>
      </c>
      <c r="H1269">
        <f>IF(Table1_1[[#This Row],[Type]]="Expense", _xlfn.XLOOKUP(Table1_1[[#This Row],[Category]], Budget_Ref[Category], Budget_Ref[Monthly Budget], 0), 0)</f>
        <v>0</v>
      </c>
      <c r="I1269" t="str">
        <f>IF(Table1_1[[#This Row],[Type]]="Expense", IF(Table1_1[[#This Row],[Amount]]&gt;Table1_1[[#This Row],[Monthly Budget]], "Over Budget", "OK"), "-")</f>
        <v>-</v>
      </c>
      <c r="J1269">
        <f>IF(Table1_1[[#This Row],[Type]]="Income", Table1_1[[#This Row],[Amount]], -Table1_1[[#This Row],[Amount]])</f>
        <v>1077</v>
      </c>
    </row>
    <row r="1270" spans="1:10" x14ac:dyDescent="0.25">
      <c r="A1270" s="1">
        <v>45364</v>
      </c>
      <c r="B1270" t="s">
        <v>1285</v>
      </c>
      <c r="C1270" t="s">
        <v>22</v>
      </c>
      <c r="D1270" s="2">
        <v>1822.86</v>
      </c>
      <c r="E1270" t="s">
        <v>7</v>
      </c>
      <c r="F1270" t="s">
        <v>1569</v>
      </c>
      <c r="G1270">
        <v>2024</v>
      </c>
      <c r="H1270">
        <f>IF(Table1_1[[#This Row],[Type]]="Expense", _xlfn.XLOOKUP(Table1_1[[#This Row],[Category]], Budget_Ref[Category], Budget_Ref[Monthly Budget], 0), 0)</f>
        <v>200</v>
      </c>
      <c r="I1270" t="str">
        <f>IF(Table1_1[[#This Row],[Type]]="Expense", IF(Table1_1[[#This Row],[Amount]]&gt;Table1_1[[#This Row],[Monthly Budget]], "Over Budget", "OK"), "-")</f>
        <v>Over Budget</v>
      </c>
      <c r="J1270">
        <f>IF(Table1_1[[#This Row],[Type]]="Income", Table1_1[[#This Row],[Amount]], -Table1_1[[#This Row],[Amount]])</f>
        <v>-1822.86</v>
      </c>
    </row>
    <row r="1271" spans="1:10" x14ac:dyDescent="0.25">
      <c r="A1271" s="1">
        <v>45366</v>
      </c>
      <c r="B1271" t="s">
        <v>1286</v>
      </c>
      <c r="C1271" t="s">
        <v>27</v>
      </c>
      <c r="D1271" s="2">
        <v>1264.1300000000001</v>
      </c>
      <c r="E1271" t="s">
        <v>14</v>
      </c>
      <c r="F1271" t="s">
        <v>1569</v>
      </c>
      <c r="G1271">
        <v>2024</v>
      </c>
      <c r="H1271">
        <f>IF(Table1_1[[#This Row],[Type]]="Expense", _xlfn.XLOOKUP(Table1_1[[#This Row],[Category]], Budget_Ref[Category], Budget_Ref[Monthly Budget], 0), 0)</f>
        <v>0</v>
      </c>
      <c r="I1271" t="str">
        <f>IF(Table1_1[[#This Row],[Type]]="Expense", IF(Table1_1[[#This Row],[Amount]]&gt;Table1_1[[#This Row],[Monthly Budget]], "Over Budget", "OK"), "-")</f>
        <v>-</v>
      </c>
      <c r="J1271">
        <f>IF(Table1_1[[#This Row],[Type]]="Income", Table1_1[[#This Row],[Amount]], -Table1_1[[#This Row],[Amount]])</f>
        <v>1264.1300000000001</v>
      </c>
    </row>
    <row r="1272" spans="1:10" x14ac:dyDescent="0.25">
      <c r="A1272" s="1">
        <v>45367</v>
      </c>
      <c r="B1272" t="s">
        <v>1287</v>
      </c>
      <c r="C1272" t="s">
        <v>6</v>
      </c>
      <c r="D1272" s="2">
        <v>785.11</v>
      </c>
      <c r="E1272" t="s">
        <v>7</v>
      </c>
      <c r="F1272" t="s">
        <v>1569</v>
      </c>
      <c r="G1272">
        <v>2024</v>
      </c>
      <c r="H1272">
        <f>IF(Table1_1[[#This Row],[Type]]="Expense", _xlfn.XLOOKUP(Table1_1[[#This Row],[Category]], Budget_Ref[Category], Budget_Ref[Monthly Budget], 0), 0)</f>
        <v>500</v>
      </c>
      <c r="I1272" t="str">
        <f>IF(Table1_1[[#This Row],[Type]]="Expense", IF(Table1_1[[#This Row],[Amount]]&gt;Table1_1[[#This Row],[Monthly Budget]], "Over Budget", "OK"), "-")</f>
        <v>Over Budget</v>
      </c>
      <c r="J1272">
        <f>IF(Table1_1[[#This Row],[Type]]="Income", Table1_1[[#This Row],[Amount]], -Table1_1[[#This Row],[Amount]])</f>
        <v>-785.11</v>
      </c>
    </row>
    <row r="1273" spans="1:10" x14ac:dyDescent="0.25">
      <c r="A1273" s="1">
        <v>45369</v>
      </c>
      <c r="B1273" t="s">
        <v>1288</v>
      </c>
      <c r="C1273" t="s">
        <v>13</v>
      </c>
      <c r="D1273" s="2">
        <v>1018</v>
      </c>
      <c r="E1273" t="s">
        <v>14</v>
      </c>
      <c r="F1273" t="s">
        <v>1569</v>
      </c>
      <c r="G1273">
        <v>2024</v>
      </c>
      <c r="H1273">
        <f>IF(Table1_1[[#This Row],[Type]]="Expense", _xlfn.XLOOKUP(Table1_1[[#This Row],[Category]], Budget_Ref[Category], Budget_Ref[Monthly Budget], 0), 0)</f>
        <v>0</v>
      </c>
      <c r="I1273" t="str">
        <f>IF(Table1_1[[#This Row],[Type]]="Expense", IF(Table1_1[[#This Row],[Amount]]&gt;Table1_1[[#This Row],[Monthly Budget]], "Over Budget", "OK"), "-")</f>
        <v>-</v>
      </c>
      <c r="J1273">
        <f>IF(Table1_1[[#This Row],[Type]]="Income", Table1_1[[#This Row],[Amount]], -Table1_1[[#This Row],[Amount]])</f>
        <v>1018</v>
      </c>
    </row>
    <row r="1274" spans="1:10" x14ac:dyDescent="0.25">
      <c r="A1274" s="1">
        <v>45377</v>
      </c>
      <c r="B1274" t="s">
        <v>1289</v>
      </c>
      <c r="C1274" t="s">
        <v>6</v>
      </c>
      <c r="D1274" s="2">
        <v>1404.76</v>
      </c>
      <c r="E1274" t="s">
        <v>7</v>
      </c>
      <c r="F1274" t="s">
        <v>1569</v>
      </c>
      <c r="G1274">
        <v>2024</v>
      </c>
      <c r="H1274">
        <f>IF(Table1_1[[#This Row],[Type]]="Expense", _xlfn.XLOOKUP(Table1_1[[#This Row],[Category]], Budget_Ref[Category], Budget_Ref[Monthly Budget], 0), 0)</f>
        <v>500</v>
      </c>
      <c r="I1274" t="str">
        <f>IF(Table1_1[[#This Row],[Type]]="Expense", IF(Table1_1[[#This Row],[Amount]]&gt;Table1_1[[#This Row],[Monthly Budget]], "Over Budget", "OK"), "-")</f>
        <v>Over Budget</v>
      </c>
      <c r="J1274">
        <f>IF(Table1_1[[#This Row],[Type]]="Income", Table1_1[[#This Row],[Amount]], -Table1_1[[#This Row],[Amount]])</f>
        <v>-1404.76</v>
      </c>
    </row>
    <row r="1275" spans="1:10" x14ac:dyDescent="0.25">
      <c r="A1275" s="1">
        <v>45378</v>
      </c>
      <c r="B1275" t="s">
        <v>1290</v>
      </c>
      <c r="C1275" t="s">
        <v>13</v>
      </c>
      <c r="D1275" s="2">
        <v>2874</v>
      </c>
      <c r="E1275" t="s">
        <v>14</v>
      </c>
      <c r="F1275" t="s">
        <v>1569</v>
      </c>
      <c r="G1275">
        <v>2024</v>
      </c>
      <c r="H1275">
        <f>IF(Table1_1[[#This Row],[Type]]="Expense", _xlfn.XLOOKUP(Table1_1[[#This Row],[Category]], Budget_Ref[Category], Budget_Ref[Monthly Budget], 0), 0)</f>
        <v>0</v>
      </c>
      <c r="I1275" t="str">
        <f>IF(Table1_1[[#This Row],[Type]]="Expense", IF(Table1_1[[#This Row],[Amount]]&gt;Table1_1[[#This Row],[Monthly Budget]], "Over Budget", "OK"), "-")</f>
        <v>-</v>
      </c>
      <c r="J1275">
        <f>IF(Table1_1[[#This Row],[Type]]="Income", Table1_1[[#This Row],[Amount]], -Table1_1[[#This Row],[Amount]])</f>
        <v>2874</v>
      </c>
    </row>
    <row r="1276" spans="1:10" x14ac:dyDescent="0.25">
      <c r="A1276" s="1">
        <v>45379</v>
      </c>
      <c r="B1276" t="s">
        <v>1291</v>
      </c>
      <c r="C1276" t="s">
        <v>35</v>
      </c>
      <c r="D1276" s="2">
        <v>1217.07</v>
      </c>
      <c r="E1276" t="s">
        <v>7</v>
      </c>
      <c r="F1276" t="s">
        <v>1569</v>
      </c>
      <c r="G1276">
        <v>2024</v>
      </c>
      <c r="H1276">
        <f>IF(Table1_1[[#This Row],[Type]]="Expense", _xlfn.XLOOKUP(Table1_1[[#This Row],[Category]], Budget_Ref[Category], Budget_Ref[Monthly Budget], 0), 0)</f>
        <v>200</v>
      </c>
      <c r="I1276" t="str">
        <f>IF(Table1_1[[#This Row],[Type]]="Expense", IF(Table1_1[[#This Row],[Amount]]&gt;Table1_1[[#This Row],[Monthly Budget]], "Over Budget", "OK"), "-")</f>
        <v>Over Budget</v>
      </c>
      <c r="J1276">
        <f>IF(Table1_1[[#This Row],[Type]]="Income", Table1_1[[#This Row],[Amount]], -Table1_1[[#This Row],[Amount]])</f>
        <v>-1217.07</v>
      </c>
    </row>
    <row r="1277" spans="1:10" x14ac:dyDescent="0.25">
      <c r="A1277" s="1">
        <v>45380</v>
      </c>
      <c r="B1277" t="s">
        <v>1292</v>
      </c>
      <c r="C1277" t="s">
        <v>27</v>
      </c>
      <c r="D1277" s="2">
        <v>769.01</v>
      </c>
      <c r="E1277" t="s">
        <v>14</v>
      </c>
      <c r="F1277" t="s">
        <v>1569</v>
      </c>
      <c r="G1277">
        <v>2024</v>
      </c>
      <c r="H1277">
        <f>IF(Table1_1[[#This Row],[Type]]="Expense", _xlfn.XLOOKUP(Table1_1[[#This Row],[Category]], Budget_Ref[Category], Budget_Ref[Monthly Budget], 0), 0)</f>
        <v>0</v>
      </c>
      <c r="I1277" t="str">
        <f>IF(Table1_1[[#This Row],[Type]]="Expense", IF(Table1_1[[#This Row],[Amount]]&gt;Table1_1[[#This Row],[Monthly Budget]], "Over Budget", "OK"), "-")</f>
        <v>-</v>
      </c>
      <c r="J1277">
        <f>IF(Table1_1[[#This Row],[Type]]="Income", Table1_1[[#This Row],[Amount]], -Table1_1[[#This Row],[Amount]])</f>
        <v>769.01</v>
      </c>
    </row>
    <row r="1278" spans="1:10" x14ac:dyDescent="0.25">
      <c r="A1278" s="1">
        <v>45381</v>
      </c>
      <c r="B1278" t="s">
        <v>1293</v>
      </c>
      <c r="C1278" t="s">
        <v>6</v>
      </c>
      <c r="D1278" s="2">
        <v>953.24</v>
      </c>
      <c r="E1278" t="s">
        <v>7</v>
      </c>
      <c r="F1278" t="s">
        <v>1569</v>
      </c>
      <c r="G1278">
        <v>2024</v>
      </c>
      <c r="H1278">
        <f>IF(Table1_1[[#This Row],[Type]]="Expense", _xlfn.XLOOKUP(Table1_1[[#This Row],[Category]], Budget_Ref[Category], Budget_Ref[Monthly Budget], 0), 0)</f>
        <v>500</v>
      </c>
      <c r="I1278" t="str">
        <f>IF(Table1_1[[#This Row],[Type]]="Expense", IF(Table1_1[[#This Row],[Amount]]&gt;Table1_1[[#This Row],[Monthly Budget]], "Over Budget", "OK"), "-")</f>
        <v>Over Budget</v>
      </c>
      <c r="J1278">
        <f>IF(Table1_1[[#This Row],[Type]]="Income", Table1_1[[#This Row],[Amount]], -Table1_1[[#This Row],[Amount]])</f>
        <v>-953.24</v>
      </c>
    </row>
    <row r="1279" spans="1:10" x14ac:dyDescent="0.25">
      <c r="A1279" s="1">
        <v>45381</v>
      </c>
      <c r="B1279" t="s">
        <v>1294</v>
      </c>
      <c r="C1279" t="s">
        <v>9</v>
      </c>
      <c r="D1279" s="2">
        <v>1496.04</v>
      </c>
      <c r="E1279" t="s">
        <v>7</v>
      </c>
      <c r="F1279" t="s">
        <v>1569</v>
      </c>
      <c r="G1279">
        <v>2024</v>
      </c>
      <c r="H1279">
        <f>IF(Table1_1[[#This Row],[Type]]="Expense", _xlfn.XLOOKUP(Table1_1[[#This Row],[Category]], Budget_Ref[Category], Budget_Ref[Monthly Budget], 0), 0)</f>
        <v>150</v>
      </c>
      <c r="I1279" t="str">
        <f>IF(Table1_1[[#This Row],[Type]]="Expense", IF(Table1_1[[#This Row],[Amount]]&gt;Table1_1[[#This Row],[Monthly Budget]], "Over Budget", "OK"), "-")</f>
        <v>Over Budget</v>
      </c>
      <c r="J1279">
        <f>IF(Table1_1[[#This Row],[Type]]="Income", Table1_1[[#This Row],[Amount]], -Table1_1[[#This Row],[Amount]])</f>
        <v>-1496.04</v>
      </c>
    </row>
    <row r="1280" spans="1:10" x14ac:dyDescent="0.25">
      <c r="A1280" s="1">
        <v>45385</v>
      </c>
      <c r="B1280" t="s">
        <v>1295</v>
      </c>
      <c r="C1280" t="s">
        <v>35</v>
      </c>
      <c r="D1280" s="2">
        <v>1920.67</v>
      </c>
      <c r="E1280" t="s">
        <v>7</v>
      </c>
      <c r="F1280" t="s">
        <v>1570</v>
      </c>
      <c r="G1280">
        <v>2024</v>
      </c>
      <c r="H1280">
        <f>IF(Table1_1[[#This Row],[Type]]="Expense", _xlfn.XLOOKUP(Table1_1[[#This Row],[Category]], Budget_Ref[Category], Budget_Ref[Monthly Budget], 0), 0)</f>
        <v>200</v>
      </c>
      <c r="I1280" t="str">
        <f>IF(Table1_1[[#This Row],[Type]]="Expense", IF(Table1_1[[#This Row],[Amount]]&gt;Table1_1[[#This Row],[Monthly Budget]], "Over Budget", "OK"), "-")</f>
        <v>Over Budget</v>
      </c>
      <c r="J1280">
        <f>IF(Table1_1[[#This Row],[Type]]="Income", Table1_1[[#This Row],[Amount]], -Table1_1[[#This Row],[Amount]])</f>
        <v>-1920.67</v>
      </c>
    </row>
    <row r="1281" spans="1:10" x14ac:dyDescent="0.25">
      <c r="A1281" s="1">
        <v>45386</v>
      </c>
      <c r="B1281" t="s">
        <v>1296</v>
      </c>
      <c r="C1281" t="s">
        <v>20</v>
      </c>
      <c r="D1281" s="2">
        <v>591</v>
      </c>
      <c r="E1281" t="s">
        <v>14</v>
      </c>
      <c r="F1281" t="s">
        <v>1570</v>
      </c>
      <c r="G1281">
        <v>2024</v>
      </c>
      <c r="H1281">
        <f>IF(Table1_1[[#This Row],[Type]]="Expense", _xlfn.XLOOKUP(Table1_1[[#This Row],[Category]], Budget_Ref[Category], Budget_Ref[Monthly Budget], 0), 0)</f>
        <v>0</v>
      </c>
      <c r="I1281" t="str">
        <f>IF(Table1_1[[#This Row],[Type]]="Expense", IF(Table1_1[[#This Row],[Amount]]&gt;Table1_1[[#This Row],[Monthly Budget]], "Over Budget", "OK"), "-")</f>
        <v>-</v>
      </c>
      <c r="J1281">
        <f>IF(Table1_1[[#This Row],[Type]]="Income", Table1_1[[#This Row],[Amount]], -Table1_1[[#This Row],[Amount]])</f>
        <v>591</v>
      </c>
    </row>
    <row r="1282" spans="1:10" x14ac:dyDescent="0.25">
      <c r="A1282" s="1">
        <v>45388</v>
      </c>
      <c r="B1282" t="s">
        <v>1297</v>
      </c>
      <c r="C1282" t="s">
        <v>9</v>
      </c>
      <c r="D1282" s="2">
        <v>255.24</v>
      </c>
      <c r="E1282" t="s">
        <v>7</v>
      </c>
      <c r="F1282" t="s">
        <v>1570</v>
      </c>
      <c r="G1282">
        <v>2024</v>
      </c>
      <c r="H1282">
        <f>IF(Table1_1[[#This Row],[Type]]="Expense", _xlfn.XLOOKUP(Table1_1[[#This Row],[Category]], Budget_Ref[Category], Budget_Ref[Monthly Budget], 0), 0)</f>
        <v>150</v>
      </c>
      <c r="I1282" t="str">
        <f>IF(Table1_1[[#This Row],[Type]]="Expense", IF(Table1_1[[#This Row],[Amount]]&gt;Table1_1[[#This Row],[Monthly Budget]], "Over Budget", "OK"), "-")</f>
        <v>Over Budget</v>
      </c>
      <c r="J1282">
        <f>IF(Table1_1[[#This Row],[Type]]="Income", Table1_1[[#This Row],[Amount]], -Table1_1[[#This Row],[Amount]])</f>
        <v>-255.24</v>
      </c>
    </row>
    <row r="1283" spans="1:10" x14ac:dyDescent="0.25">
      <c r="A1283" s="1">
        <v>45389</v>
      </c>
      <c r="B1283" t="s">
        <v>1298</v>
      </c>
      <c r="C1283" t="s">
        <v>20</v>
      </c>
      <c r="D1283" s="2">
        <v>4900</v>
      </c>
      <c r="E1283" t="s">
        <v>14</v>
      </c>
      <c r="F1283" t="s">
        <v>1570</v>
      </c>
      <c r="G1283">
        <v>2024</v>
      </c>
      <c r="H1283">
        <f>IF(Table1_1[[#This Row],[Type]]="Expense", _xlfn.XLOOKUP(Table1_1[[#This Row],[Category]], Budget_Ref[Category], Budget_Ref[Monthly Budget], 0), 0)</f>
        <v>0</v>
      </c>
      <c r="I1283" t="str">
        <f>IF(Table1_1[[#This Row],[Type]]="Expense", IF(Table1_1[[#This Row],[Amount]]&gt;Table1_1[[#This Row],[Monthly Budget]], "Over Budget", "OK"), "-")</f>
        <v>-</v>
      </c>
      <c r="J1283">
        <f>IF(Table1_1[[#This Row],[Type]]="Income", Table1_1[[#This Row],[Amount]], -Table1_1[[#This Row],[Amount]])</f>
        <v>4900</v>
      </c>
    </row>
    <row r="1284" spans="1:10" x14ac:dyDescent="0.25">
      <c r="A1284" s="1">
        <v>45390</v>
      </c>
      <c r="B1284" t="s">
        <v>1299</v>
      </c>
      <c r="C1284" t="s">
        <v>11</v>
      </c>
      <c r="D1284" s="2">
        <v>616.34</v>
      </c>
      <c r="E1284" t="s">
        <v>7</v>
      </c>
      <c r="F1284" t="s">
        <v>1570</v>
      </c>
      <c r="G1284">
        <v>2024</v>
      </c>
      <c r="H1284">
        <f>IF(Table1_1[[#This Row],[Type]]="Expense", _xlfn.XLOOKUP(Table1_1[[#This Row],[Category]], Budget_Ref[Category], Budget_Ref[Monthly Budget], 0), 0)</f>
        <v>1500</v>
      </c>
      <c r="I1284" t="str">
        <f>IF(Table1_1[[#This Row],[Type]]="Expense", IF(Table1_1[[#This Row],[Amount]]&gt;Table1_1[[#This Row],[Monthly Budget]], "Over Budget", "OK"), "-")</f>
        <v>OK</v>
      </c>
      <c r="J1284">
        <f>IF(Table1_1[[#This Row],[Type]]="Income", Table1_1[[#This Row],[Amount]], -Table1_1[[#This Row],[Amount]])</f>
        <v>-616.34</v>
      </c>
    </row>
    <row r="1285" spans="1:10" x14ac:dyDescent="0.25">
      <c r="A1285" s="1">
        <v>45391</v>
      </c>
      <c r="B1285" t="s">
        <v>1300</v>
      </c>
      <c r="C1285" t="s">
        <v>25</v>
      </c>
      <c r="D1285" s="2">
        <v>431.36</v>
      </c>
      <c r="E1285" t="s">
        <v>7</v>
      </c>
      <c r="F1285" t="s">
        <v>1570</v>
      </c>
      <c r="G1285">
        <v>2024</v>
      </c>
      <c r="H1285">
        <f>IF(Table1_1[[#This Row],[Type]]="Expense", _xlfn.XLOOKUP(Table1_1[[#This Row],[Category]], Budget_Ref[Category], Budget_Ref[Monthly Budget], 0), 0)</f>
        <v>150</v>
      </c>
      <c r="I1285" t="str">
        <f>IF(Table1_1[[#This Row],[Type]]="Expense", IF(Table1_1[[#This Row],[Amount]]&gt;Table1_1[[#This Row],[Monthly Budget]], "Over Budget", "OK"), "-")</f>
        <v>Over Budget</v>
      </c>
      <c r="J1285">
        <f>IF(Table1_1[[#This Row],[Type]]="Income", Table1_1[[#This Row],[Amount]], -Table1_1[[#This Row],[Amount]])</f>
        <v>-431.36</v>
      </c>
    </row>
    <row r="1286" spans="1:10" x14ac:dyDescent="0.25">
      <c r="A1286" s="1">
        <v>45391</v>
      </c>
      <c r="B1286" t="s">
        <v>1301</v>
      </c>
      <c r="C1286" t="s">
        <v>9</v>
      </c>
      <c r="D1286" s="2">
        <v>330.3</v>
      </c>
      <c r="E1286" t="s">
        <v>7</v>
      </c>
      <c r="F1286" t="s">
        <v>1570</v>
      </c>
      <c r="G1286">
        <v>2024</v>
      </c>
      <c r="H1286">
        <f>IF(Table1_1[[#This Row],[Type]]="Expense", _xlfn.XLOOKUP(Table1_1[[#This Row],[Category]], Budget_Ref[Category], Budget_Ref[Monthly Budget], 0), 0)</f>
        <v>150</v>
      </c>
      <c r="I1286" t="str">
        <f>IF(Table1_1[[#This Row],[Type]]="Expense", IF(Table1_1[[#This Row],[Amount]]&gt;Table1_1[[#This Row],[Monthly Budget]], "Over Budget", "OK"), "-")</f>
        <v>Over Budget</v>
      </c>
      <c r="J1286">
        <f>IF(Table1_1[[#This Row],[Type]]="Income", Table1_1[[#This Row],[Amount]], -Table1_1[[#This Row],[Amount]])</f>
        <v>-330.3</v>
      </c>
    </row>
    <row r="1287" spans="1:10" x14ac:dyDescent="0.25">
      <c r="A1287" s="1">
        <v>45392</v>
      </c>
      <c r="B1287" t="s">
        <v>1302</v>
      </c>
      <c r="C1287" t="s">
        <v>35</v>
      </c>
      <c r="D1287" s="2">
        <v>396.71</v>
      </c>
      <c r="E1287" t="s">
        <v>7</v>
      </c>
      <c r="F1287" t="s">
        <v>1570</v>
      </c>
      <c r="G1287">
        <v>2024</v>
      </c>
      <c r="H1287">
        <f>IF(Table1_1[[#This Row],[Type]]="Expense", _xlfn.XLOOKUP(Table1_1[[#This Row],[Category]], Budget_Ref[Category], Budget_Ref[Monthly Budget], 0), 0)</f>
        <v>200</v>
      </c>
      <c r="I1287" t="str">
        <f>IF(Table1_1[[#This Row],[Type]]="Expense", IF(Table1_1[[#This Row],[Amount]]&gt;Table1_1[[#This Row],[Monthly Budget]], "Over Budget", "OK"), "-")</f>
        <v>Over Budget</v>
      </c>
      <c r="J1287">
        <f>IF(Table1_1[[#This Row],[Type]]="Income", Table1_1[[#This Row],[Amount]], -Table1_1[[#This Row],[Amount]])</f>
        <v>-396.71</v>
      </c>
    </row>
    <row r="1288" spans="1:10" x14ac:dyDescent="0.25">
      <c r="A1288" s="1">
        <v>45392</v>
      </c>
      <c r="B1288" t="s">
        <v>1303</v>
      </c>
      <c r="C1288" t="s">
        <v>13</v>
      </c>
      <c r="D1288" s="2">
        <v>4996</v>
      </c>
      <c r="E1288" t="s">
        <v>14</v>
      </c>
      <c r="F1288" t="s">
        <v>1570</v>
      </c>
      <c r="G1288">
        <v>2024</v>
      </c>
      <c r="H1288">
        <f>IF(Table1_1[[#This Row],[Type]]="Expense", _xlfn.XLOOKUP(Table1_1[[#This Row],[Category]], Budget_Ref[Category], Budget_Ref[Monthly Budget], 0), 0)</f>
        <v>0</v>
      </c>
      <c r="I1288" t="str">
        <f>IF(Table1_1[[#This Row],[Type]]="Expense", IF(Table1_1[[#This Row],[Amount]]&gt;Table1_1[[#This Row],[Monthly Budget]], "Over Budget", "OK"), "-")</f>
        <v>-</v>
      </c>
      <c r="J1288">
        <f>IF(Table1_1[[#This Row],[Type]]="Income", Table1_1[[#This Row],[Amount]], -Table1_1[[#This Row],[Amount]])</f>
        <v>4996</v>
      </c>
    </row>
    <row r="1289" spans="1:10" x14ac:dyDescent="0.25">
      <c r="A1289" s="1">
        <v>45393</v>
      </c>
      <c r="B1289" t="s">
        <v>1304</v>
      </c>
      <c r="C1289" t="s">
        <v>11</v>
      </c>
      <c r="D1289" s="2">
        <v>588.4</v>
      </c>
      <c r="E1289" t="s">
        <v>7</v>
      </c>
      <c r="F1289" t="s">
        <v>1570</v>
      </c>
      <c r="G1289">
        <v>2024</v>
      </c>
      <c r="H1289">
        <f>IF(Table1_1[[#This Row],[Type]]="Expense", _xlfn.XLOOKUP(Table1_1[[#This Row],[Category]], Budget_Ref[Category], Budget_Ref[Monthly Budget], 0), 0)</f>
        <v>1500</v>
      </c>
      <c r="I1289" t="str">
        <f>IF(Table1_1[[#This Row],[Type]]="Expense", IF(Table1_1[[#This Row],[Amount]]&gt;Table1_1[[#This Row],[Monthly Budget]], "Over Budget", "OK"), "-")</f>
        <v>OK</v>
      </c>
      <c r="J1289">
        <f>IF(Table1_1[[#This Row],[Type]]="Income", Table1_1[[#This Row],[Amount]], -Table1_1[[#This Row],[Amount]])</f>
        <v>-588.4</v>
      </c>
    </row>
    <row r="1290" spans="1:10" x14ac:dyDescent="0.25">
      <c r="A1290" s="1">
        <v>45395</v>
      </c>
      <c r="B1290" t="s">
        <v>1305</v>
      </c>
      <c r="C1290" t="s">
        <v>13</v>
      </c>
      <c r="D1290" s="2">
        <v>2117</v>
      </c>
      <c r="E1290" t="s">
        <v>14</v>
      </c>
      <c r="F1290" t="s">
        <v>1570</v>
      </c>
      <c r="G1290">
        <v>2024</v>
      </c>
      <c r="H1290">
        <f>IF(Table1_1[[#This Row],[Type]]="Expense", _xlfn.XLOOKUP(Table1_1[[#This Row],[Category]], Budget_Ref[Category], Budget_Ref[Monthly Budget], 0), 0)</f>
        <v>0</v>
      </c>
      <c r="I1290" t="str">
        <f>IF(Table1_1[[#This Row],[Type]]="Expense", IF(Table1_1[[#This Row],[Amount]]&gt;Table1_1[[#This Row],[Monthly Budget]], "Over Budget", "OK"), "-")</f>
        <v>-</v>
      </c>
      <c r="J1290">
        <f>IF(Table1_1[[#This Row],[Type]]="Income", Table1_1[[#This Row],[Amount]], -Table1_1[[#This Row],[Amount]])</f>
        <v>2117</v>
      </c>
    </row>
    <row r="1291" spans="1:10" x14ac:dyDescent="0.25">
      <c r="A1291" s="1">
        <v>45398</v>
      </c>
      <c r="B1291" t="s">
        <v>1306</v>
      </c>
      <c r="C1291" t="s">
        <v>27</v>
      </c>
      <c r="D1291" s="2">
        <v>1903.56</v>
      </c>
      <c r="E1291" t="s">
        <v>14</v>
      </c>
      <c r="F1291" t="s">
        <v>1570</v>
      </c>
      <c r="G1291">
        <v>2024</v>
      </c>
      <c r="H1291">
        <f>IF(Table1_1[[#This Row],[Type]]="Expense", _xlfn.XLOOKUP(Table1_1[[#This Row],[Category]], Budget_Ref[Category], Budget_Ref[Monthly Budget], 0), 0)</f>
        <v>0</v>
      </c>
      <c r="I1291" t="str">
        <f>IF(Table1_1[[#This Row],[Type]]="Expense", IF(Table1_1[[#This Row],[Amount]]&gt;Table1_1[[#This Row],[Monthly Budget]], "Over Budget", "OK"), "-")</f>
        <v>-</v>
      </c>
      <c r="J1291">
        <f>IF(Table1_1[[#This Row],[Type]]="Income", Table1_1[[#This Row],[Amount]], -Table1_1[[#This Row],[Amount]])</f>
        <v>1903.56</v>
      </c>
    </row>
    <row r="1292" spans="1:10" x14ac:dyDescent="0.25">
      <c r="A1292" s="1">
        <v>45399</v>
      </c>
      <c r="B1292" t="s">
        <v>1307</v>
      </c>
      <c r="C1292" t="s">
        <v>22</v>
      </c>
      <c r="D1292" s="2">
        <v>209.09</v>
      </c>
      <c r="E1292" t="s">
        <v>7</v>
      </c>
      <c r="F1292" t="s">
        <v>1570</v>
      </c>
      <c r="G1292">
        <v>2024</v>
      </c>
      <c r="H1292">
        <f>IF(Table1_1[[#This Row],[Type]]="Expense", _xlfn.XLOOKUP(Table1_1[[#This Row],[Category]], Budget_Ref[Category], Budget_Ref[Monthly Budget], 0), 0)</f>
        <v>200</v>
      </c>
      <c r="I1292" t="str">
        <f>IF(Table1_1[[#This Row],[Type]]="Expense", IF(Table1_1[[#This Row],[Amount]]&gt;Table1_1[[#This Row],[Monthly Budget]], "Over Budget", "OK"), "-")</f>
        <v>Over Budget</v>
      </c>
      <c r="J1292">
        <f>IF(Table1_1[[#This Row],[Type]]="Income", Table1_1[[#This Row],[Amount]], -Table1_1[[#This Row],[Amount]])</f>
        <v>-209.09</v>
      </c>
    </row>
    <row r="1293" spans="1:10" x14ac:dyDescent="0.25">
      <c r="A1293" s="1">
        <v>45399</v>
      </c>
      <c r="B1293" t="s">
        <v>1308</v>
      </c>
      <c r="C1293" t="s">
        <v>22</v>
      </c>
      <c r="D1293" s="2">
        <v>642.39</v>
      </c>
      <c r="E1293" t="s">
        <v>7</v>
      </c>
      <c r="F1293" t="s">
        <v>1570</v>
      </c>
      <c r="G1293">
        <v>2024</v>
      </c>
      <c r="H1293">
        <f>IF(Table1_1[[#This Row],[Type]]="Expense", _xlfn.XLOOKUP(Table1_1[[#This Row],[Category]], Budget_Ref[Category], Budget_Ref[Monthly Budget], 0), 0)</f>
        <v>200</v>
      </c>
      <c r="I1293" t="str">
        <f>IF(Table1_1[[#This Row],[Type]]="Expense", IF(Table1_1[[#This Row],[Amount]]&gt;Table1_1[[#This Row],[Monthly Budget]], "Over Budget", "OK"), "-")</f>
        <v>Over Budget</v>
      </c>
      <c r="J1293">
        <f>IF(Table1_1[[#This Row],[Type]]="Income", Table1_1[[#This Row],[Amount]], -Table1_1[[#This Row],[Amount]])</f>
        <v>-642.39</v>
      </c>
    </row>
    <row r="1294" spans="1:10" x14ac:dyDescent="0.25">
      <c r="A1294" s="1">
        <v>45399</v>
      </c>
      <c r="B1294" t="s">
        <v>1309</v>
      </c>
      <c r="C1294" t="s">
        <v>35</v>
      </c>
      <c r="D1294" s="2">
        <v>1389.98</v>
      </c>
      <c r="E1294" t="s">
        <v>7</v>
      </c>
      <c r="F1294" t="s">
        <v>1570</v>
      </c>
      <c r="G1294">
        <v>2024</v>
      </c>
      <c r="H1294">
        <f>IF(Table1_1[[#This Row],[Type]]="Expense", _xlfn.XLOOKUP(Table1_1[[#This Row],[Category]], Budget_Ref[Category], Budget_Ref[Monthly Budget], 0), 0)</f>
        <v>200</v>
      </c>
      <c r="I1294" t="str">
        <f>IF(Table1_1[[#This Row],[Type]]="Expense", IF(Table1_1[[#This Row],[Amount]]&gt;Table1_1[[#This Row],[Monthly Budget]], "Over Budget", "OK"), "-")</f>
        <v>Over Budget</v>
      </c>
      <c r="J1294">
        <f>IF(Table1_1[[#This Row],[Type]]="Income", Table1_1[[#This Row],[Amount]], -Table1_1[[#This Row],[Amount]])</f>
        <v>-1389.98</v>
      </c>
    </row>
    <row r="1295" spans="1:10" x14ac:dyDescent="0.25">
      <c r="A1295" s="1">
        <v>45400</v>
      </c>
      <c r="B1295" t="s">
        <v>1310</v>
      </c>
      <c r="C1295" t="s">
        <v>20</v>
      </c>
      <c r="D1295" s="2">
        <v>3091</v>
      </c>
      <c r="E1295" t="s">
        <v>14</v>
      </c>
      <c r="F1295" t="s">
        <v>1570</v>
      </c>
      <c r="G1295">
        <v>2024</v>
      </c>
      <c r="H1295">
        <f>IF(Table1_1[[#This Row],[Type]]="Expense", _xlfn.XLOOKUP(Table1_1[[#This Row],[Category]], Budget_Ref[Category], Budget_Ref[Monthly Budget], 0), 0)</f>
        <v>0</v>
      </c>
      <c r="I1295" t="str">
        <f>IF(Table1_1[[#This Row],[Type]]="Expense", IF(Table1_1[[#This Row],[Amount]]&gt;Table1_1[[#This Row],[Monthly Budget]], "Over Budget", "OK"), "-")</f>
        <v>-</v>
      </c>
      <c r="J1295">
        <f>IF(Table1_1[[#This Row],[Type]]="Income", Table1_1[[#This Row],[Amount]], -Table1_1[[#This Row],[Amount]])</f>
        <v>3091</v>
      </c>
    </row>
    <row r="1296" spans="1:10" x14ac:dyDescent="0.25">
      <c r="A1296" s="1">
        <v>45402</v>
      </c>
      <c r="B1296" t="s">
        <v>1311</v>
      </c>
      <c r="C1296" t="s">
        <v>9</v>
      </c>
      <c r="D1296" s="2">
        <v>19.62</v>
      </c>
      <c r="E1296" t="s">
        <v>7</v>
      </c>
      <c r="F1296" t="s">
        <v>1570</v>
      </c>
      <c r="G1296">
        <v>2024</v>
      </c>
      <c r="H1296">
        <f>IF(Table1_1[[#This Row],[Type]]="Expense", _xlfn.XLOOKUP(Table1_1[[#This Row],[Category]], Budget_Ref[Category], Budget_Ref[Monthly Budget], 0), 0)</f>
        <v>150</v>
      </c>
      <c r="I1296" t="str">
        <f>IF(Table1_1[[#This Row],[Type]]="Expense", IF(Table1_1[[#This Row],[Amount]]&gt;Table1_1[[#This Row],[Monthly Budget]], "Over Budget", "OK"), "-")</f>
        <v>OK</v>
      </c>
      <c r="J1296">
        <f>IF(Table1_1[[#This Row],[Type]]="Income", Table1_1[[#This Row],[Amount]], -Table1_1[[#This Row],[Amount]])</f>
        <v>-19.62</v>
      </c>
    </row>
    <row r="1297" spans="1:10" x14ac:dyDescent="0.25">
      <c r="A1297" s="1">
        <v>45403</v>
      </c>
      <c r="B1297" t="s">
        <v>1312</v>
      </c>
      <c r="C1297" t="s">
        <v>22</v>
      </c>
      <c r="D1297" s="2">
        <v>1427.28</v>
      </c>
      <c r="E1297" t="s">
        <v>7</v>
      </c>
      <c r="F1297" t="s">
        <v>1570</v>
      </c>
      <c r="G1297">
        <v>2024</v>
      </c>
      <c r="H1297">
        <f>IF(Table1_1[[#This Row],[Type]]="Expense", _xlfn.XLOOKUP(Table1_1[[#This Row],[Category]], Budget_Ref[Category], Budget_Ref[Monthly Budget], 0), 0)</f>
        <v>200</v>
      </c>
      <c r="I1297" t="str">
        <f>IF(Table1_1[[#This Row],[Type]]="Expense", IF(Table1_1[[#This Row],[Amount]]&gt;Table1_1[[#This Row],[Monthly Budget]], "Over Budget", "OK"), "-")</f>
        <v>Over Budget</v>
      </c>
      <c r="J1297">
        <f>IF(Table1_1[[#This Row],[Type]]="Income", Table1_1[[#This Row],[Amount]], -Table1_1[[#This Row],[Amount]])</f>
        <v>-1427.28</v>
      </c>
    </row>
    <row r="1298" spans="1:10" x14ac:dyDescent="0.25">
      <c r="A1298" s="1">
        <v>45404</v>
      </c>
      <c r="B1298" t="s">
        <v>1313</v>
      </c>
      <c r="C1298" t="s">
        <v>35</v>
      </c>
      <c r="D1298" s="2">
        <v>1681.82</v>
      </c>
      <c r="E1298" t="s">
        <v>7</v>
      </c>
      <c r="F1298" t="s">
        <v>1570</v>
      </c>
      <c r="G1298">
        <v>2024</v>
      </c>
      <c r="H1298">
        <f>IF(Table1_1[[#This Row],[Type]]="Expense", _xlfn.XLOOKUP(Table1_1[[#This Row],[Category]], Budget_Ref[Category], Budget_Ref[Monthly Budget], 0), 0)</f>
        <v>200</v>
      </c>
      <c r="I1298" t="str">
        <f>IF(Table1_1[[#This Row],[Type]]="Expense", IF(Table1_1[[#This Row],[Amount]]&gt;Table1_1[[#This Row],[Monthly Budget]], "Over Budget", "OK"), "-")</f>
        <v>Over Budget</v>
      </c>
      <c r="J1298">
        <f>IF(Table1_1[[#This Row],[Type]]="Income", Table1_1[[#This Row],[Amount]], -Table1_1[[#This Row],[Amount]])</f>
        <v>-1681.82</v>
      </c>
    </row>
    <row r="1299" spans="1:10" x14ac:dyDescent="0.25">
      <c r="A1299" s="1">
        <v>45405</v>
      </c>
      <c r="B1299" t="s">
        <v>1314</v>
      </c>
      <c r="C1299" t="s">
        <v>20</v>
      </c>
      <c r="D1299" s="2">
        <v>4431</v>
      </c>
      <c r="E1299" t="s">
        <v>14</v>
      </c>
      <c r="F1299" t="s">
        <v>1570</v>
      </c>
      <c r="G1299">
        <v>2024</v>
      </c>
      <c r="H1299">
        <f>IF(Table1_1[[#This Row],[Type]]="Expense", _xlfn.XLOOKUP(Table1_1[[#This Row],[Category]], Budget_Ref[Category], Budget_Ref[Monthly Budget], 0), 0)</f>
        <v>0</v>
      </c>
      <c r="I1299" t="str">
        <f>IF(Table1_1[[#This Row],[Type]]="Expense", IF(Table1_1[[#This Row],[Amount]]&gt;Table1_1[[#This Row],[Monthly Budget]], "Over Budget", "OK"), "-")</f>
        <v>-</v>
      </c>
      <c r="J1299">
        <f>IF(Table1_1[[#This Row],[Type]]="Income", Table1_1[[#This Row],[Amount]], -Table1_1[[#This Row],[Amount]])</f>
        <v>4431</v>
      </c>
    </row>
    <row r="1300" spans="1:10" x14ac:dyDescent="0.25">
      <c r="A1300" s="1">
        <v>45407</v>
      </c>
      <c r="B1300" t="s">
        <v>1315</v>
      </c>
      <c r="C1300" t="s">
        <v>25</v>
      </c>
      <c r="D1300" s="2">
        <v>1551.79</v>
      </c>
      <c r="E1300" t="s">
        <v>7</v>
      </c>
      <c r="F1300" t="s">
        <v>1570</v>
      </c>
      <c r="G1300">
        <v>2024</v>
      </c>
      <c r="H1300">
        <f>IF(Table1_1[[#This Row],[Type]]="Expense", _xlfn.XLOOKUP(Table1_1[[#This Row],[Category]], Budget_Ref[Category], Budget_Ref[Monthly Budget], 0), 0)</f>
        <v>150</v>
      </c>
      <c r="I1300" t="str">
        <f>IF(Table1_1[[#This Row],[Type]]="Expense", IF(Table1_1[[#This Row],[Amount]]&gt;Table1_1[[#This Row],[Monthly Budget]], "Over Budget", "OK"), "-")</f>
        <v>Over Budget</v>
      </c>
      <c r="J1300">
        <f>IF(Table1_1[[#This Row],[Type]]="Income", Table1_1[[#This Row],[Amount]], -Table1_1[[#This Row],[Amount]])</f>
        <v>-1551.79</v>
      </c>
    </row>
    <row r="1301" spans="1:10" x14ac:dyDescent="0.25">
      <c r="A1301" s="1">
        <v>45408</v>
      </c>
      <c r="B1301" t="s">
        <v>1316</v>
      </c>
      <c r="C1301" t="s">
        <v>11</v>
      </c>
      <c r="D1301" s="2">
        <v>359.78</v>
      </c>
      <c r="E1301" t="s">
        <v>7</v>
      </c>
      <c r="F1301" t="s">
        <v>1570</v>
      </c>
      <c r="G1301">
        <v>2024</v>
      </c>
      <c r="H1301">
        <f>IF(Table1_1[[#This Row],[Type]]="Expense", _xlfn.XLOOKUP(Table1_1[[#This Row],[Category]], Budget_Ref[Category], Budget_Ref[Monthly Budget], 0), 0)</f>
        <v>1500</v>
      </c>
      <c r="I1301" t="str">
        <f>IF(Table1_1[[#This Row],[Type]]="Expense", IF(Table1_1[[#This Row],[Amount]]&gt;Table1_1[[#This Row],[Monthly Budget]], "Over Budget", "OK"), "-")</f>
        <v>OK</v>
      </c>
      <c r="J1301">
        <f>IF(Table1_1[[#This Row],[Type]]="Income", Table1_1[[#This Row],[Amount]], -Table1_1[[#This Row],[Amount]])</f>
        <v>-359.78</v>
      </c>
    </row>
    <row r="1302" spans="1:10" x14ac:dyDescent="0.25">
      <c r="A1302" s="1">
        <v>45408</v>
      </c>
      <c r="B1302" t="s">
        <v>1317</v>
      </c>
      <c r="C1302" t="s">
        <v>35</v>
      </c>
      <c r="D1302" s="2">
        <v>1718.84</v>
      </c>
      <c r="E1302" t="s">
        <v>7</v>
      </c>
      <c r="F1302" t="s">
        <v>1570</v>
      </c>
      <c r="G1302">
        <v>2024</v>
      </c>
      <c r="H1302">
        <f>IF(Table1_1[[#This Row],[Type]]="Expense", _xlfn.XLOOKUP(Table1_1[[#This Row],[Category]], Budget_Ref[Category], Budget_Ref[Monthly Budget], 0), 0)</f>
        <v>200</v>
      </c>
      <c r="I1302" t="str">
        <f>IF(Table1_1[[#This Row],[Type]]="Expense", IF(Table1_1[[#This Row],[Amount]]&gt;Table1_1[[#This Row],[Monthly Budget]], "Over Budget", "OK"), "-")</f>
        <v>Over Budget</v>
      </c>
      <c r="J1302">
        <f>IF(Table1_1[[#This Row],[Type]]="Income", Table1_1[[#This Row],[Amount]], -Table1_1[[#This Row],[Amount]])</f>
        <v>-1718.84</v>
      </c>
    </row>
    <row r="1303" spans="1:10" x14ac:dyDescent="0.25">
      <c r="A1303" s="1">
        <v>45412</v>
      </c>
      <c r="B1303" t="s">
        <v>1318</v>
      </c>
      <c r="C1303" t="s">
        <v>13</v>
      </c>
      <c r="D1303" s="2">
        <v>2656</v>
      </c>
      <c r="E1303" t="s">
        <v>14</v>
      </c>
      <c r="F1303" t="s">
        <v>1570</v>
      </c>
      <c r="G1303">
        <v>2024</v>
      </c>
      <c r="H1303">
        <f>IF(Table1_1[[#This Row],[Type]]="Expense", _xlfn.XLOOKUP(Table1_1[[#This Row],[Category]], Budget_Ref[Category], Budget_Ref[Monthly Budget], 0), 0)</f>
        <v>0</v>
      </c>
      <c r="I1303" t="str">
        <f>IF(Table1_1[[#This Row],[Type]]="Expense", IF(Table1_1[[#This Row],[Amount]]&gt;Table1_1[[#This Row],[Monthly Budget]], "Over Budget", "OK"), "-")</f>
        <v>-</v>
      </c>
      <c r="J1303">
        <f>IF(Table1_1[[#This Row],[Type]]="Income", Table1_1[[#This Row],[Amount]], -Table1_1[[#This Row],[Amount]])</f>
        <v>2656</v>
      </c>
    </row>
    <row r="1304" spans="1:10" x14ac:dyDescent="0.25">
      <c r="A1304" s="1">
        <v>45414</v>
      </c>
      <c r="B1304" t="s">
        <v>1319</v>
      </c>
      <c r="C1304" t="s">
        <v>11</v>
      </c>
      <c r="D1304" s="2">
        <v>1457.58</v>
      </c>
      <c r="E1304" t="s">
        <v>7</v>
      </c>
      <c r="F1304" t="s">
        <v>1571</v>
      </c>
      <c r="G1304">
        <v>2024</v>
      </c>
      <c r="H1304">
        <f>IF(Table1_1[[#This Row],[Type]]="Expense", _xlfn.XLOOKUP(Table1_1[[#This Row],[Category]], Budget_Ref[Category], Budget_Ref[Monthly Budget], 0), 0)</f>
        <v>1500</v>
      </c>
      <c r="I1304" t="str">
        <f>IF(Table1_1[[#This Row],[Type]]="Expense", IF(Table1_1[[#This Row],[Amount]]&gt;Table1_1[[#This Row],[Monthly Budget]], "Over Budget", "OK"), "-")</f>
        <v>OK</v>
      </c>
      <c r="J1304">
        <f>IF(Table1_1[[#This Row],[Type]]="Income", Table1_1[[#This Row],[Amount]], -Table1_1[[#This Row],[Amount]])</f>
        <v>-1457.58</v>
      </c>
    </row>
    <row r="1305" spans="1:10" x14ac:dyDescent="0.25">
      <c r="A1305" s="1">
        <v>45415</v>
      </c>
      <c r="B1305" t="s">
        <v>1320</v>
      </c>
      <c r="C1305" t="s">
        <v>6</v>
      </c>
      <c r="D1305" s="2">
        <v>1627.16</v>
      </c>
      <c r="E1305" t="s">
        <v>7</v>
      </c>
      <c r="F1305" t="s">
        <v>1571</v>
      </c>
      <c r="G1305">
        <v>2024</v>
      </c>
      <c r="H1305">
        <f>IF(Table1_1[[#This Row],[Type]]="Expense", _xlfn.XLOOKUP(Table1_1[[#This Row],[Category]], Budget_Ref[Category], Budget_Ref[Monthly Budget], 0), 0)</f>
        <v>500</v>
      </c>
      <c r="I1305" t="str">
        <f>IF(Table1_1[[#This Row],[Type]]="Expense", IF(Table1_1[[#This Row],[Amount]]&gt;Table1_1[[#This Row],[Monthly Budget]], "Over Budget", "OK"), "-")</f>
        <v>Over Budget</v>
      </c>
      <c r="J1305">
        <f>IF(Table1_1[[#This Row],[Type]]="Income", Table1_1[[#This Row],[Amount]], -Table1_1[[#This Row],[Amount]])</f>
        <v>-1627.16</v>
      </c>
    </row>
    <row r="1306" spans="1:10" x14ac:dyDescent="0.25">
      <c r="A1306" s="1">
        <v>45416</v>
      </c>
      <c r="B1306" t="s">
        <v>1321</v>
      </c>
      <c r="C1306" t="s">
        <v>22</v>
      </c>
      <c r="D1306" s="2">
        <v>1813.54</v>
      </c>
      <c r="E1306" t="s">
        <v>7</v>
      </c>
      <c r="F1306" t="s">
        <v>1571</v>
      </c>
      <c r="G1306">
        <v>2024</v>
      </c>
      <c r="H1306">
        <f>IF(Table1_1[[#This Row],[Type]]="Expense", _xlfn.XLOOKUP(Table1_1[[#This Row],[Category]], Budget_Ref[Category], Budget_Ref[Monthly Budget], 0), 0)</f>
        <v>200</v>
      </c>
      <c r="I1306" t="str">
        <f>IF(Table1_1[[#This Row],[Type]]="Expense", IF(Table1_1[[#This Row],[Amount]]&gt;Table1_1[[#This Row],[Monthly Budget]], "Over Budget", "OK"), "-")</f>
        <v>Over Budget</v>
      </c>
      <c r="J1306">
        <f>IF(Table1_1[[#This Row],[Type]]="Income", Table1_1[[#This Row],[Amount]], -Table1_1[[#This Row],[Amount]])</f>
        <v>-1813.54</v>
      </c>
    </row>
    <row r="1307" spans="1:10" x14ac:dyDescent="0.25">
      <c r="A1307" s="1">
        <v>45416</v>
      </c>
      <c r="B1307" t="s">
        <v>1322</v>
      </c>
      <c r="C1307" t="s">
        <v>27</v>
      </c>
      <c r="D1307" s="2">
        <v>1311.28</v>
      </c>
      <c r="E1307" t="s">
        <v>14</v>
      </c>
      <c r="F1307" t="s">
        <v>1571</v>
      </c>
      <c r="G1307">
        <v>2024</v>
      </c>
      <c r="H1307">
        <f>IF(Table1_1[[#This Row],[Type]]="Expense", _xlfn.XLOOKUP(Table1_1[[#This Row],[Category]], Budget_Ref[Category], Budget_Ref[Monthly Budget], 0), 0)</f>
        <v>0</v>
      </c>
      <c r="I1307" t="str">
        <f>IF(Table1_1[[#This Row],[Type]]="Expense", IF(Table1_1[[#This Row],[Amount]]&gt;Table1_1[[#This Row],[Monthly Budget]], "Over Budget", "OK"), "-")</f>
        <v>-</v>
      </c>
      <c r="J1307">
        <f>IF(Table1_1[[#This Row],[Type]]="Income", Table1_1[[#This Row],[Amount]], -Table1_1[[#This Row],[Amount]])</f>
        <v>1311.28</v>
      </c>
    </row>
    <row r="1308" spans="1:10" x14ac:dyDescent="0.25">
      <c r="A1308" s="1">
        <v>45417</v>
      </c>
      <c r="B1308" t="s">
        <v>1323</v>
      </c>
      <c r="C1308" t="s">
        <v>20</v>
      </c>
      <c r="D1308" s="2">
        <v>2329</v>
      </c>
      <c r="E1308" t="s">
        <v>14</v>
      </c>
      <c r="F1308" t="s">
        <v>1571</v>
      </c>
      <c r="G1308">
        <v>2024</v>
      </c>
      <c r="H1308">
        <f>IF(Table1_1[[#This Row],[Type]]="Expense", _xlfn.XLOOKUP(Table1_1[[#This Row],[Category]], Budget_Ref[Category], Budget_Ref[Monthly Budget], 0), 0)</f>
        <v>0</v>
      </c>
      <c r="I1308" t="str">
        <f>IF(Table1_1[[#This Row],[Type]]="Expense", IF(Table1_1[[#This Row],[Amount]]&gt;Table1_1[[#This Row],[Monthly Budget]], "Over Budget", "OK"), "-")</f>
        <v>-</v>
      </c>
      <c r="J1308">
        <f>IF(Table1_1[[#This Row],[Type]]="Income", Table1_1[[#This Row],[Amount]], -Table1_1[[#This Row],[Amount]])</f>
        <v>2329</v>
      </c>
    </row>
    <row r="1309" spans="1:10" x14ac:dyDescent="0.25">
      <c r="A1309" s="1">
        <v>45417</v>
      </c>
      <c r="B1309" t="s">
        <v>1324</v>
      </c>
      <c r="C1309" t="s">
        <v>35</v>
      </c>
      <c r="D1309" s="2">
        <v>276.42</v>
      </c>
      <c r="E1309" t="s">
        <v>7</v>
      </c>
      <c r="F1309" t="s">
        <v>1571</v>
      </c>
      <c r="G1309">
        <v>2024</v>
      </c>
      <c r="H1309">
        <f>IF(Table1_1[[#This Row],[Type]]="Expense", _xlfn.XLOOKUP(Table1_1[[#This Row],[Category]], Budget_Ref[Category], Budget_Ref[Monthly Budget], 0), 0)</f>
        <v>200</v>
      </c>
      <c r="I1309" t="str">
        <f>IF(Table1_1[[#This Row],[Type]]="Expense", IF(Table1_1[[#This Row],[Amount]]&gt;Table1_1[[#This Row],[Monthly Budget]], "Over Budget", "OK"), "-")</f>
        <v>Over Budget</v>
      </c>
      <c r="J1309">
        <f>IF(Table1_1[[#This Row],[Type]]="Income", Table1_1[[#This Row],[Amount]], -Table1_1[[#This Row],[Amount]])</f>
        <v>-276.42</v>
      </c>
    </row>
    <row r="1310" spans="1:10" x14ac:dyDescent="0.25">
      <c r="A1310" s="1">
        <v>45426</v>
      </c>
      <c r="B1310" t="s">
        <v>1325</v>
      </c>
      <c r="C1310" t="s">
        <v>11</v>
      </c>
      <c r="D1310" s="2">
        <v>799.6</v>
      </c>
      <c r="E1310" t="s">
        <v>7</v>
      </c>
      <c r="F1310" t="s">
        <v>1571</v>
      </c>
      <c r="G1310">
        <v>2024</v>
      </c>
      <c r="H1310">
        <f>IF(Table1_1[[#This Row],[Type]]="Expense", _xlfn.XLOOKUP(Table1_1[[#This Row],[Category]], Budget_Ref[Category], Budget_Ref[Monthly Budget], 0), 0)</f>
        <v>1500</v>
      </c>
      <c r="I1310" t="str">
        <f>IF(Table1_1[[#This Row],[Type]]="Expense", IF(Table1_1[[#This Row],[Amount]]&gt;Table1_1[[#This Row],[Monthly Budget]], "Over Budget", "OK"), "-")</f>
        <v>OK</v>
      </c>
      <c r="J1310">
        <f>IF(Table1_1[[#This Row],[Type]]="Income", Table1_1[[#This Row],[Amount]], -Table1_1[[#This Row],[Amount]])</f>
        <v>-799.6</v>
      </c>
    </row>
    <row r="1311" spans="1:10" x14ac:dyDescent="0.25">
      <c r="A1311" s="1">
        <v>45427</v>
      </c>
      <c r="B1311" t="s">
        <v>1326</v>
      </c>
      <c r="C1311" t="s">
        <v>22</v>
      </c>
      <c r="D1311" s="2">
        <v>1697.48</v>
      </c>
      <c r="E1311" t="s">
        <v>7</v>
      </c>
      <c r="F1311" t="s">
        <v>1571</v>
      </c>
      <c r="G1311">
        <v>2024</v>
      </c>
      <c r="H1311">
        <f>IF(Table1_1[[#This Row],[Type]]="Expense", _xlfn.XLOOKUP(Table1_1[[#This Row],[Category]], Budget_Ref[Category], Budget_Ref[Monthly Budget], 0), 0)</f>
        <v>200</v>
      </c>
      <c r="I1311" t="str">
        <f>IF(Table1_1[[#This Row],[Type]]="Expense", IF(Table1_1[[#This Row],[Amount]]&gt;Table1_1[[#This Row],[Monthly Budget]], "Over Budget", "OK"), "-")</f>
        <v>Over Budget</v>
      </c>
      <c r="J1311">
        <f>IF(Table1_1[[#This Row],[Type]]="Income", Table1_1[[#This Row],[Amount]], -Table1_1[[#This Row],[Amount]])</f>
        <v>-1697.48</v>
      </c>
    </row>
    <row r="1312" spans="1:10" x14ac:dyDescent="0.25">
      <c r="A1312" s="1">
        <v>45429</v>
      </c>
      <c r="B1312" t="s">
        <v>1327</v>
      </c>
      <c r="C1312" t="s">
        <v>9</v>
      </c>
      <c r="D1312" s="2">
        <v>1516.84</v>
      </c>
      <c r="E1312" t="s">
        <v>7</v>
      </c>
      <c r="F1312" t="s">
        <v>1571</v>
      </c>
      <c r="G1312">
        <v>2024</v>
      </c>
      <c r="H1312">
        <f>IF(Table1_1[[#This Row],[Type]]="Expense", _xlfn.XLOOKUP(Table1_1[[#This Row],[Category]], Budget_Ref[Category], Budget_Ref[Monthly Budget], 0), 0)</f>
        <v>150</v>
      </c>
      <c r="I1312" t="str">
        <f>IF(Table1_1[[#This Row],[Type]]="Expense", IF(Table1_1[[#This Row],[Amount]]&gt;Table1_1[[#This Row],[Monthly Budget]], "Over Budget", "OK"), "-")</f>
        <v>Over Budget</v>
      </c>
      <c r="J1312">
        <f>IF(Table1_1[[#This Row],[Type]]="Income", Table1_1[[#This Row],[Amount]], -Table1_1[[#This Row],[Amount]])</f>
        <v>-1516.84</v>
      </c>
    </row>
    <row r="1313" spans="1:10" x14ac:dyDescent="0.25">
      <c r="A1313" s="1">
        <v>45432</v>
      </c>
      <c r="B1313" t="s">
        <v>1328</v>
      </c>
      <c r="C1313" t="s">
        <v>13</v>
      </c>
      <c r="D1313" s="2">
        <v>1967</v>
      </c>
      <c r="E1313" t="s">
        <v>14</v>
      </c>
      <c r="F1313" t="s">
        <v>1571</v>
      </c>
      <c r="G1313">
        <v>2024</v>
      </c>
      <c r="H1313">
        <f>IF(Table1_1[[#This Row],[Type]]="Expense", _xlfn.XLOOKUP(Table1_1[[#This Row],[Category]], Budget_Ref[Category], Budget_Ref[Monthly Budget], 0), 0)</f>
        <v>0</v>
      </c>
      <c r="I1313" t="str">
        <f>IF(Table1_1[[#This Row],[Type]]="Expense", IF(Table1_1[[#This Row],[Amount]]&gt;Table1_1[[#This Row],[Monthly Budget]], "Over Budget", "OK"), "-")</f>
        <v>-</v>
      </c>
      <c r="J1313">
        <f>IF(Table1_1[[#This Row],[Type]]="Income", Table1_1[[#This Row],[Amount]], -Table1_1[[#This Row],[Amount]])</f>
        <v>1967</v>
      </c>
    </row>
    <row r="1314" spans="1:10" x14ac:dyDescent="0.25">
      <c r="A1314" s="1">
        <v>45434</v>
      </c>
      <c r="B1314" t="s">
        <v>1329</v>
      </c>
      <c r="C1314" t="s">
        <v>9</v>
      </c>
      <c r="D1314" s="2">
        <v>1474.48</v>
      </c>
      <c r="E1314" t="s">
        <v>7</v>
      </c>
      <c r="F1314" t="s">
        <v>1571</v>
      </c>
      <c r="G1314">
        <v>2024</v>
      </c>
      <c r="H1314">
        <f>IF(Table1_1[[#This Row],[Type]]="Expense", _xlfn.XLOOKUP(Table1_1[[#This Row],[Category]], Budget_Ref[Category], Budget_Ref[Monthly Budget], 0), 0)</f>
        <v>150</v>
      </c>
      <c r="I1314" t="str">
        <f>IF(Table1_1[[#This Row],[Type]]="Expense", IF(Table1_1[[#This Row],[Amount]]&gt;Table1_1[[#This Row],[Monthly Budget]], "Over Budget", "OK"), "-")</f>
        <v>Over Budget</v>
      </c>
      <c r="J1314">
        <f>IF(Table1_1[[#This Row],[Type]]="Income", Table1_1[[#This Row],[Amount]], -Table1_1[[#This Row],[Amount]])</f>
        <v>-1474.48</v>
      </c>
    </row>
    <row r="1315" spans="1:10" x14ac:dyDescent="0.25">
      <c r="A1315" s="1">
        <v>45435</v>
      </c>
      <c r="B1315" t="s">
        <v>1330</v>
      </c>
      <c r="C1315" t="s">
        <v>25</v>
      </c>
      <c r="D1315" s="2">
        <v>90.44</v>
      </c>
      <c r="E1315" t="s">
        <v>7</v>
      </c>
      <c r="F1315" t="s">
        <v>1571</v>
      </c>
      <c r="G1315">
        <v>2024</v>
      </c>
      <c r="H1315">
        <f>IF(Table1_1[[#This Row],[Type]]="Expense", _xlfn.XLOOKUP(Table1_1[[#This Row],[Category]], Budget_Ref[Category], Budget_Ref[Monthly Budget], 0), 0)</f>
        <v>150</v>
      </c>
      <c r="I1315" t="str">
        <f>IF(Table1_1[[#This Row],[Type]]="Expense", IF(Table1_1[[#This Row],[Amount]]&gt;Table1_1[[#This Row],[Monthly Budget]], "Over Budget", "OK"), "-")</f>
        <v>OK</v>
      </c>
      <c r="J1315">
        <f>IF(Table1_1[[#This Row],[Type]]="Income", Table1_1[[#This Row],[Amount]], -Table1_1[[#This Row],[Amount]])</f>
        <v>-90.44</v>
      </c>
    </row>
    <row r="1316" spans="1:10" x14ac:dyDescent="0.25">
      <c r="A1316" s="1">
        <v>45437</v>
      </c>
      <c r="B1316" t="s">
        <v>1331</v>
      </c>
      <c r="C1316" t="s">
        <v>22</v>
      </c>
      <c r="D1316" s="2">
        <v>135.09</v>
      </c>
      <c r="E1316" t="s">
        <v>7</v>
      </c>
      <c r="F1316" t="s">
        <v>1571</v>
      </c>
      <c r="G1316">
        <v>2024</v>
      </c>
      <c r="H1316">
        <f>IF(Table1_1[[#This Row],[Type]]="Expense", _xlfn.XLOOKUP(Table1_1[[#This Row],[Category]], Budget_Ref[Category], Budget_Ref[Monthly Budget], 0), 0)</f>
        <v>200</v>
      </c>
      <c r="I1316" t="str">
        <f>IF(Table1_1[[#This Row],[Type]]="Expense", IF(Table1_1[[#This Row],[Amount]]&gt;Table1_1[[#This Row],[Monthly Budget]], "Over Budget", "OK"), "-")</f>
        <v>OK</v>
      </c>
      <c r="J1316">
        <f>IF(Table1_1[[#This Row],[Type]]="Income", Table1_1[[#This Row],[Amount]], -Table1_1[[#This Row],[Amount]])</f>
        <v>-135.09</v>
      </c>
    </row>
    <row r="1317" spans="1:10" x14ac:dyDescent="0.25">
      <c r="A1317" s="1">
        <v>45438</v>
      </c>
      <c r="B1317" t="s">
        <v>1332</v>
      </c>
      <c r="C1317" t="s">
        <v>6</v>
      </c>
      <c r="D1317" s="2">
        <v>1340.49</v>
      </c>
      <c r="E1317" t="s">
        <v>7</v>
      </c>
      <c r="F1317" t="s">
        <v>1571</v>
      </c>
      <c r="G1317">
        <v>2024</v>
      </c>
      <c r="H1317">
        <f>IF(Table1_1[[#This Row],[Type]]="Expense", _xlfn.XLOOKUP(Table1_1[[#This Row],[Category]], Budget_Ref[Category], Budget_Ref[Monthly Budget], 0), 0)</f>
        <v>500</v>
      </c>
      <c r="I1317" t="str">
        <f>IF(Table1_1[[#This Row],[Type]]="Expense", IF(Table1_1[[#This Row],[Amount]]&gt;Table1_1[[#This Row],[Monthly Budget]], "Over Budget", "OK"), "-")</f>
        <v>Over Budget</v>
      </c>
      <c r="J1317">
        <f>IF(Table1_1[[#This Row],[Type]]="Income", Table1_1[[#This Row],[Amount]], -Table1_1[[#This Row],[Amount]])</f>
        <v>-1340.49</v>
      </c>
    </row>
    <row r="1318" spans="1:10" x14ac:dyDescent="0.25">
      <c r="A1318" s="1">
        <v>45439</v>
      </c>
      <c r="B1318" t="s">
        <v>1333</v>
      </c>
      <c r="C1318" t="s">
        <v>25</v>
      </c>
      <c r="D1318" s="2">
        <v>782.31</v>
      </c>
      <c r="E1318" t="s">
        <v>7</v>
      </c>
      <c r="F1318" t="s">
        <v>1571</v>
      </c>
      <c r="G1318">
        <v>2024</v>
      </c>
      <c r="H1318">
        <f>IF(Table1_1[[#This Row],[Type]]="Expense", _xlfn.XLOOKUP(Table1_1[[#This Row],[Category]], Budget_Ref[Category], Budget_Ref[Monthly Budget], 0), 0)</f>
        <v>150</v>
      </c>
      <c r="I1318" t="str">
        <f>IF(Table1_1[[#This Row],[Type]]="Expense", IF(Table1_1[[#This Row],[Amount]]&gt;Table1_1[[#This Row],[Monthly Budget]], "Over Budget", "OK"), "-")</f>
        <v>Over Budget</v>
      </c>
      <c r="J1318">
        <f>IF(Table1_1[[#This Row],[Type]]="Income", Table1_1[[#This Row],[Amount]], -Table1_1[[#This Row],[Amount]])</f>
        <v>-782.31</v>
      </c>
    </row>
    <row r="1319" spans="1:10" x14ac:dyDescent="0.25">
      <c r="A1319" s="1">
        <v>45439</v>
      </c>
      <c r="B1319" t="s">
        <v>1334</v>
      </c>
      <c r="C1319" t="s">
        <v>6</v>
      </c>
      <c r="D1319" s="2">
        <v>89.41</v>
      </c>
      <c r="E1319" t="s">
        <v>7</v>
      </c>
      <c r="F1319" t="s">
        <v>1571</v>
      </c>
      <c r="G1319">
        <v>2024</v>
      </c>
      <c r="H1319">
        <f>IF(Table1_1[[#This Row],[Type]]="Expense", _xlfn.XLOOKUP(Table1_1[[#This Row],[Category]], Budget_Ref[Category], Budget_Ref[Monthly Budget], 0), 0)</f>
        <v>500</v>
      </c>
      <c r="I1319" t="str">
        <f>IF(Table1_1[[#This Row],[Type]]="Expense", IF(Table1_1[[#This Row],[Amount]]&gt;Table1_1[[#This Row],[Monthly Budget]], "Over Budget", "OK"), "-")</f>
        <v>OK</v>
      </c>
      <c r="J1319">
        <f>IF(Table1_1[[#This Row],[Type]]="Income", Table1_1[[#This Row],[Amount]], -Table1_1[[#This Row],[Amount]])</f>
        <v>-89.41</v>
      </c>
    </row>
    <row r="1320" spans="1:10" x14ac:dyDescent="0.25">
      <c r="A1320" s="1">
        <v>45443</v>
      </c>
      <c r="B1320" t="s">
        <v>1335</v>
      </c>
      <c r="C1320" t="s">
        <v>11</v>
      </c>
      <c r="D1320" s="2">
        <v>1410.44</v>
      </c>
      <c r="E1320" t="s">
        <v>7</v>
      </c>
      <c r="F1320" t="s">
        <v>1571</v>
      </c>
      <c r="G1320">
        <v>2024</v>
      </c>
      <c r="H1320">
        <f>IF(Table1_1[[#This Row],[Type]]="Expense", _xlfn.XLOOKUP(Table1_1[[#This Row],[Category]], Budget_Ref[Category], Budget_Ref[Monthly Budget], 0), 0)</f>
        <v>1500</v>
      </c>
      <c r="I1320" t="str">
        <f>IF(Table1_1[[#This Row],[Type]]="Expense", IF(Table1_1[[#This Row],[Amount]]&gt;Table1_1[[#This Row],[Monthly Budget]], "Over Budget", "OK"), "-")</f>
        <v>OK</v>
      </c>
      <c r="J1320">
        <f>IF(Table1_1[[#This Row],[Type]]="Income", Table1_1[[#This Row],[Amount]], -Table1_1[[#This Row],[Amount]])</f>
        <v>-1410.44</v>
      </c>
    </row>
    <row r="1321" spans="1:10" x14ac:dyDescent="0.25">
      <c r="A1321" s="1">
        <v>45444</v>
      </c>
      <c r="B1321" t="s">
        <v>1336</v>
      </c>
      <c r="C1321" t="s">
        <v>35</v>
      </c>
      <c r="D1321" s="2">
        <v>1671.4</v>
      </c>
      <c r="E1321" t="s">
        <v>7</v>
      </c>
      <c r="F1321" t="s">
        <v>1572</v>
      </c>
      <c r="G1321">
        <v>2024</v>
      </c>
      <c r="H1321">
        <f>IF(Table1_1[[#This Row],[Type]]="Expense", _xlfn.XLOOKUP(Table1_1[[#This Row],[Category]], Budget_Ref[Category], Budget_Ref[Monthly Budget], 0), 0)</f>
        <v>200</v>
      </c>
      <c r="I1321" t="str">
        <f>IF(Table1_1[[#This Row],[Type]]="Expense", IF(Table1_1[[#This Row],[Amount]]&gt;Table1_1[[#This Row],[Monthly Budget]], "Over Budget", "OK"), "-")</f>
        <v>Over Budget</v>
      </c>
      <c r="J1321">
        <f>IF(Table1_1[[#This Row],[Type]]="Income", Table1_1[[#This Row],[Amount]], -Table1_1[[#This Row],[Amount]])</f>
        <v>-1671.4</v>
      </c>
    </row>
    <row r="1322" spans="1:10" x14ac:dyDescent="0.25">
      <c r="A1322" s="1">
        <v>45445</v>
      </c>
      <c r="B1322" t="s">
        <v>1337</v>
      </c>
      <c r="C1322" t="s">
        <v>9</v>
      </c>
      <c r="D1322" s="2">
        <v>759.55</v>
      </c>
      <c r="E1322" t="s">
        <v>7</v>
      </c>
      <c r="F1322" t="s">
        <v>1572</v>
      </c>
      <c r="G1322">
        <v>2024</v>
      </c>
      <c r="H1322">
        <f>IF(Table1_1[[#This Row],[Type]]="Expense", _xlfn.XLOOKUP(Table1_1[[#This Row],[Category]], Budget_Ref[Category], Budget_Ref[Monthly Budget], 0), 0)</f>
        <v>150</v>
      </c>
      <c r="I1322" t="str">
        <f>IF(Table1_1[[#This Row],[Type]]="Expense", IF(Table1_1[[#This Row],[Amount]]&gt;Table1_1[[#This Row],[Monthly Budget]], "Over Budget", "OK"), "-")</f>
        <v>Over Budget</v>
      </c>
      <c r="J1322">
        <f>IF(Table1_1[[#This Row],[Type]]="Income", Table1_1[[#This Row],[Amount]], -Table1_1[[#This Row],[Amount]])</f>
        <v>-759.55</v>
      </c>
    </row>
    <row r="1323" spans="1:10" x14ac:dyDescent="0.25">
      <c r="A1323" s="1">
        <v>45445</v>
      </c>
      <c r="B1323" t="s">
        <v>1338</v>
      </c>
      <c r="C1323" t="s">
        <v>11</v>
      </c>
      <c r="D1323" s="2">
        <v>1038.1600000000001</v>
      </c>
      <c r="E1323" t="s">
        <v>7</v>
      </c>
      <c r="F1323" t="s">
        <v>1572</v>
      </c>
      <c r="G1323">
        <v>2024</v>
      </c>
      <c r="H1323">
        <f>IF(Table1_1[[#This Row],[Type]]="Expense", _xlfn.XLOOKUP(Table1_1[[#This Row],[Category]], Budget_Ref[Category], Budget_Ref[Monthly Budget], 0), 0)</f>
        <v>1500</v>
      </c>
      <c r="I1323" t="str">
        <f>IF(Table1_1[[#This Row],[Type]]="Expense", IF(Table1_1[[#This Row],[Amount]]&gt;Table1_1[[#This Row],[Monthly Budget]], "Over Budget", "OK"), "-")</f>
        <v>OK</v>
      </c>
      <c r="J1323">
        <f>IF(Table1_1[[#This Row],[Type]]="Income", Table1_1[[#This Row],[Amount]], -Table1_1[[#This Row],[Amount]])</f>
        <v>-1038.1600000000001</v>
      </c>
    </row>
    <row r="1324" spans="1:10" x14ac:dyDescent="0.25">
      <c r="A1324" s="1">
        <v>45446</v>
      </c>
      <c r="B1324" t="s">
        <v>1339</v>
      </c>
      <c r="C1324" t="s">
        <v>22</v>
      </c>
      <c r="D1324" s="2">
        <v>1037.58</v>
      </c>
      <c r="E1324" t="s">
        <v>7</v>
      </c>
      <c r="F1324" t="s">
        <v>1572</v>
      </c>
      <c r="G1324">
        <v>2024</v>
      </c>
      <c r="H1324">
        <f>IF(Table1_1[[#This Row],[Type]]="Expense", _xlfn.XLOOKUP(Table1_1[[#This Row],[Category]], Budget_Ref[Category], Budget_Ref[Monthly Budget], 0), 0)</f>
        <v>200</v>
      </c>
      <c r="I1324" t="str">
        <f>IF(Table1_1[[#This Row],[Type]]="Expense", IF(Table1_1[[#This Row],[Amount]]&gt;Table1_1[[#This Row],[Monthly Budget]], "Over Budget", "OK"), "-")</f>
        <v>Over Budget</v>
      </c>
      <c r="J1324">
        <f>IF(Table1_1[[#This Row],[Type]]="Income", Table1_1[[#This Row],[Amount]], -Table1_1[[#This Row],[Amount]])</f>
        <v>-1037.58</v>
      </c>
    </row>
    <row r="1325" spans="1:10" x14ac:dyDescent="0.25">
      <c r="A1325" s="1">
        <v>45447</v>
      </c>
      <c r="B1325" t="s">
        <v>1340</v>
      </c>
      <c r="C1325" t="s">
        <v>25</v>
      </c>
      <c r="D1325" s="2">
        <v>978.85</v>
      </c>
      <c r="E1325" t="s">
        <v>7</v>
      </c>
      <c r="F1325" t="s">
        <v>1572</v>
      </c>
      <c r="G1325">
        <v>2024</v>
      </c>
      <c r="H1325">
        <f>IF(Table1_1[[#This Row],[Type]]="Expense", _xlfn.XLOOKUP(Table1_1[[#This Row],[Category]], Budget_Ref[Category], Budget_Ref[Monthly Budget], 0), 0)</f>
        <v>150</v>
      </c>
      <c r="I1325" t="str">
        <f>IF(Table1_1[[#This Row],[Type]]="Expense", IF(Table1_1[[#This Row],[Amount]]&gt;Table1_1[[#This Row],[Monthly Budget]], "Over Budget", "OK"), "-")</f>
        <v>Over Budget</v>
      </c>
      <c r="J1325">
        <f>IF(Table1_1[[#This Row],[Type]]="Income", Table1_1[[#This Row],[Amount]], -Table1_1[[#This Row],[Amount]])</f>
        <v>-978.85</v>
      </c>
    </row>
    <row r="1326" spans="1:10" x14ac:dyDescent="0.25">
      <c r="A1326" s="1">
        <v>45449</v>
      </c>
      <c r="B1326" t="s">
        <v>1341</v>
      </c>
      <c r="C1326" t="s">
        <v>6</v>
      </c>
      <c r="D1326" s="2">
        <v>1008.66</v>
      </c>
      <c r="E1326" t="s">
        <v>7</v>
      </c>
      <c r="F1326" t="s">
        <v>1572</v>
      </c>
      <c r="G1326">
        <v>2024</v>
      </c>
      <c r="H1326">
        <f>IF(Table1_1[[#This Row],[Type]]="Expense", _xlfn.XLOOKUP(Table1_1[[#This Row],[Category]], Budget_Ref[Category], Budget_Ref[Monthly Budget], 0), 0)</f>
        <v>500</v>
      </c>
      <c r="I1326" t="str">
        <f>IF(Table1_1[[#This Row],[Type]]="Expense", IF(Table1_1[[#This Row],[Amount]]&gt;Table1_1[[#This Row],[Monthly Budget]], "Over Budget", "OK"), "-")</f>
        <v>Over Budget</v>
      </c>
      <c r="J1326">
        <f>IF(Table1_1[[#This Row],[Type]]="Income", Table1_1[[#This Row],[Amount]], -Table1_1[[#This Row],[Amount]])</f>
        <v>-1008.66</v>
      </c>
    </row>
    <row r="1327" spans="1:10" x14ac:dyDescent="0.25">
      <c r="A1327" s="1">
        <v>45450</v>
      </c>
      <c r="B1327" t="s">
        <v>1342</v>
      </c>
      <c r="C1327" t="s">
        <v>13</v>
      </c>
      <c r="D1327" s="2">
        <v>2384</v>
      </c>
      <c r="E1327" t="s">
        <v>14</v>
      </c>
      <c r="F1327" t="s">
        <v>1572</v>
      </c>
      <c r="G1327">
        <v>2024</v>
      </c>
      <c r="H1327">
        <f>IF(Table1_1[[#This Row],[Type]]="Expense", _xlfn.XLOOKUP(Table1_1[[#This Row],[Category]], Budget_Ref[Category], Budget_Ref[Monthly Budget], 0), 0)</f>
        <v>0</v>
      </c>
      <c r="I1327" t="str">
        <f>IF(Table1_1[[#This Row],[Type]]="Expense", IF(Table1_1[[#This Row],[Amount]]&gt;Table1_1[[#This Row],[Monthly Budget]], "Over Budget", "OK"), "-")</f>
        <v>-</v>
      </c>
      <c r="J1327">
        <f>IF(Table1_1[[#This Row],[Type]]="Income", Table1_1[[#This Row],[Amount]], -Table1_1[[#This Row],[Amount]])</f>
        <v>2384</v>
      </c>
    </row>
    <row r="1328" spans="1:10" x14ac:dyDescent="0.25">
      <c r="A1328" s="1">
        <v>45452</v>
      </c>
      <c r="B1328" t="s">
        <v>1343</v>
      </c>
      <c r="C1328" t="s">
        <v>20</v>
      </c>
      <c r="D1328" s="2">
        <v>2232</v>
      </c>
      <c r="E1328" t="s">
        <v>14</v>
      </c>
      <c r="F1328" t="s">
        <v>1572</v>
      </c>
      <c r="G1328">
        <v>2024</v>
      </c>
      <c r="H1328">
        <f>IF(Table1_1[[#This Row],[Type]]="Expense", _xlfn.XLOOKUP(Table1_1[[#This Row],[Category]], Budget_Ref[Category], Budget_Ref[Monthly Budget], 0), 0)</f>
        <v>0</v>
      </c>
      <c r="I1328" t="str">
        <f>IF(Table1_1[[#This Row],[Type]]="Expense", IF(Table1_1[[#This Row],[Amount]]&gt;Table1_1[[#This Row],[Monthly Budget]], "Over Budget", "OK"), "-")</f>
        <v>-</v>
      </c>
      <c r="J1328">
        <f>IF(Table1_1[[#This Row],[Type]]="Income", Table1_1[[#This Row],[Amount]], -Table1_1[[#This Row],[Amount]])</f>
        <v>2232</v>
      </c>
    </row>
    <row r="1329" spans="1:10" x14ac:dyDescent="0.25">
      <c r="A1329" s="1">
        <v>45453</v>
      </c>
      <c r="B1329" t="s">
        <v>1344</v>
      </c>
      <c r="C1329" t="s">
        <v>13</v>
      </c>
      <c r="D1329" s="2">
        <v>3467</v>
      </c>
      <c r="E1329" t="s">
        <v>14</v>
      </c>
      <c r="F1329" t="s">
        <v>1572</v>
      </c>
      <c r="G1329">
        <v>2024</v>
      </c>
      <c r="H1329">
        <f>IF(Table1_1[[#This Row],[Type]]="Expense", _xlfn.XLOOKUP(Table1_1[[#This Row],[Category]], Budget_Ref[Category], Budget_Ref[Monthly Budget], 0), 0)</f>
        <v>0</v>
      </c>
      <c r="I1329" t="str">
        <f>IF(Table1_1[[#This Row],[Type]]="Expense", IF(Table1_1[[#This Row],[Amount]]&gt;Table1_1[[#This Row],[Monthly Budget]], "Over Budget", "OK"), "-")</f>
        <v>-</v>
      </c>
      <c r="J1329">
        <f>IF(Table1_1[[#This Row],[Type]]="Income", Table1_1[[#This Row],[Amount]], -Table1_1[[#This Row],[Amount]])</f>
        <v>3467</v>
      </c>
    </row>
    <row r="1330" spans="1:10" x14ac:dyDescent="0.25">
      <c r="A1330" s="1">
        <v>45455</v>
      </c>
      <c r="B1330" t="s">
        <v>1345</v>
      </c>
      <c r="C1330" t="s">
        <v>11</v>
      </c>
      <c r="D1330" s="2">
        <v>1325.61</v>
      </c>
      <c r="E1330" t="s">
        <v>7</v>
      </c>
      <c r="F1330" t="s">
        <v>1572</v>
      </c>
      <c r="G1330">
        <v>2024</v>
      </c>
      <c r="H1330">
        <f>IF(Table1_1[[#This Row],[Type]]="Expense", _xlfn.XLOOKUP(Table1_1[[#This Row],[Category]], Budget_Ref[Category], Budget_Ref[Monthly Budget], 0), 0)</f>
        <v>1500</v>
      </c>
      <c r="I1330" t="str">
        <f>IF(Table1_1[[#This Row],[Type]]="Expense", IF(Table1_1[[#This Row],[Amount]]&gt;Table1_1[[#This Row],[Monthly Budget]], "Over Budget", "OK"), "-")</f>
        <v>OK</v>
      </c>
      <c r="J1330">
        <f>IF(Table1_1[[#This Row],[Type]]="Income", Table1_1[[#This Row],[Amount]], -Table1_1[[#This Row],[Amount]])</f>
        <v>-1325.61</v>
      </c>
    </row>
    <row r="1331" spans="1:10" x14ac:dyDescent="0.25">
      <c r="A1331" s="1">
        <v>45456</v>
      </c>
      <c r="B1331" t="s">
        <v>1346</v>
      </c>
      <c r="C1331" t="s">
        <v>25</v>
      </c>
      <c r="D1331" s="2">
        <v>1443.31</v>
      </c>
      <c r="E1331" t="s">
        <v>7</v>
      </c>
      <c r="F1331" t="s">
        <v>1572</v>
      </c>
      <c r="G1331">
        <v>2024</v>
      </c>
      <c r="H1331">
        <f>IF(Table1_1[[#This Row],[Type]]="Expense", _xlfn.XLOOKUP(Table1_1[[#This Row],[Category]], Budget_Ref[Category], Budget_Ref[Monthly Budget], 0), 0)</f>
        <v>150</v>
      </c>
      <c r="I1331" t="str">
        <f>IF(Table1_1[[#This Row],[Type]]="Expense", IF(Table1_1[[#This Row],[Amount]]&gt;Table1_1[[#This Row],[Monthly Budget]], "Over Budget", "OK"), "-")</f>
        <v>Over Budget</v>
      </c>
      <c r="J1331">
        <f>IF(Table1_1[[#This Row],[Type]]="Income", Table1_1[[#This Row],[Amount]], -Table1_1[[#This Row],[Amount]])</f>
        <v>-1443.31</v>
      </c>
    </row>
    <row r="1332" spans="1:10" x14ac:dyDescent="0.25">
      <c r="A1332" s="1">
        <v>45456</v>
      </c>
      <c r="B1332" t="s">
        <v>1347</v>
      </c>
      <c r="C1332" t="s">
        <v>27</v>
      </c>
      <c r="D1332" s="2">
        <v>963.25</v>
      </c>
      <c r="E1332" t="s">
        <v>14</v>
      </c>
      <c r="F1332" t="s">
        <v>1572</v>
      </c>
      <c r="G1332">
        <v>2024</v>
      </c>
      <c r="H1332">
        <f>IF(Table1_1[[#This Row],[Type]]="Expense", _xlfn.XLOOKUP(Table1_1[[#This Row],[Category]], Budget_Ref[Category], Budget_Ref[Monthly Budget], 0), 0)</f>
        <v>0</v>
      </c>
      <c r="I1332" t="str">
        <f>IF(Table1_1[[#This Row],[Type]]="Expense", IF(Table1_1[[#This Row],[Amount]]&gt;Table1_1[[#This Row],[Monthly Budget]], "Over Budget", "OK"), "-")</f>
        <v>-</v>
      </c>
      <c r="J1332">
        <f>IF(Table1_1[[#This Row],[Type]]="Income", Table1_1[[#This Row],[Amount]], -Table1_1[[#This Row],[Amount]])</f>
        <v>963.25</v>
      </c>
    </row>
    <row r="1333" spans="1:10" x14ac:dyDescent="0.25">
      <c r="A1333" s="1">
        <v>45457</v>
      </c>
      <c r="B1333" t="s">
        <v>1348</v>
      </c>
      <c r="C1333" t="s">
        <v>17</v>
      </c>
      <c r="D1333" s="2">
        <v>54.67</v>
      </c>
      <c r="E1333" t="s">
        <v>7</v>
      </c>
      <c r="F1333" t="s">
        <v>1572</v>
      </c>
      <c r="G1333">
        <v>2024</v>
      </c>
      <c r="H1333">
        <f>IF(Table1_1[[#This Row],[Type]]="Expense", _xlfn.XLOOKUP(Table1_1[[#This Row],[Category]], Budget_Ref[Category], Budget_Ref[Monthly Budget], 0), 0)</f>
        <v>300</v>
      </c>
      <c r="I1333" t="str">
        <f>IF(Table1_1[[#This Row],[Type]]="Expense", IF(Table1_1[[#This Row],[Amount]]&gt;Table1_1[[#This Row],[Monthly Budget]], "Over Budget", "OK"), "-")</f>
        <v>OK</v>
      </c>
      <c r="J1333">
        <f>IF(Table1_1[[#This Row],[Type]]="Income", Table1_1[[#This Row],[Amount]], -Table1_1[[#This Row],[Amount]])</f>
        <v>-54.67</v>
      </c>
    </row>
    <row r="1334" spans="1:10" x14ac:dyDescent="0.25">
      <c r="A1334" s="1">
        <v>45458</v>
      </c>
      <c r="B1334" t="s">
        <v>1349</v>
      </c>
      <c r="C1334" t="s">
        <v>13</v>
      </c>
      <c r="D1334" s="2">
        <v>1603</v>
      </c>
      <c r="E1334" t="s">
        <v>14</v>
      </c>
      <c r="F1334" t="s">
        <v>1572</v>
      </c>
      <c r="G1334">
        <v>2024</v>
      </c>
      <c r="H1334">
        <f>IF(Table1_1[[#This Row],[Type]]="Expense", _xlfn.XLOOKUP(Table1_1[[#This Row],[Category]], Budget_Ref[Category], Budget_Ref[Monthly Budget], 0), 0)</f>
        <v>0</v>
      </c>
      <c r="I1334" t="str">
        <f>IF(Table1_1[[#This Row],[Type]]="Expense", IF(Table1_1[[#This Row],[Amount]]&gt;Table1_1[[#This Row],[Monthly Budget]], "Over Budget", "OK"), "-")</f>
        <v>-</v>
      </c>
      <c r="J1334">
        <f>IF(Table1_1[[#This Row],[Type]]="Income", Table1_1[[#This Row],[Amount]], -Table1_1[[#This Row],[Amount]])</f>
        <v>1603</v>
      </c>
    </row>
    <row r="1335" spans="1:10" x14ac:dyDescent="0.25">
      <c r="A1335" s="1">
        <v>45459</v>
      </c>
      <c r="B1335" t="s">
        <v>1350</v>
      </c>
      <c r="C1335" t="s">
        <v>6</v>
      </c>
      <c r="D1335" s="2">
        <v>1782.69</v>
      </c>
      <c r="E1335" t="s">
        <v>7</v>
      </c>
      <c r="F1335" t="s">
        <v>1572</v>
      </c>
      <c r="G1335">
        <v>2024</v>
      </c>
      <c r="H1335">
        <f>IF(Table1_1[[#This Row],[Type]]="Expense", _xlfn.XLOOKUP(Table1_1[[#This Row],[Category]], Budget_Ref[Category], Budget_Ref[Monthly Budget], 0), 0)</f>
        <v>500</v>
      </c>
      <c r="I1335" t="str">
        <f>IF(Table1_1[[#This Row],[Type]]="Expense", IF(Table1_1[[#This Row],[Amount]]&gt;Table1_1[[#This Row],[Monthly Budget]], "Over Budget", "OK"), "-")</f>
        <v>Over Budget</v>
      </c>
      <c r="J1335">
        <f>IF(Table1_1[[#This Row],[Type]]="Income", Table1_1[[#This Row],[Amount]], -Table1_1[[#This Row],[Amount]])</f>
        <v>-1782.69</v>
      </c>
    </row>
    <row r="1336" spans="1:10" x14ac:dyDescent="0.25">
      <c r="A1336" s="1">
        <v>45460</v>
      </c>
      <c r="B1336" t="s">
        <v>1351</v>
      </c>
      <c r="C1336" t="s">
        <v>13</v>
      </c>
      <c r="D1336" s="2">
        <v>2615</v>
      </c>
      <c r="E1336" t="s">
        <v>14</v>
      </c>
      <c r="F1336" t="s">
        <v>1572</v>
      </c>
      <c r="G1336">
        <v>2024</v>
      </c>
      <c r="H1336">
        <f>IF(Table1_1[[#This Row],[Type]]="Expense", _xlfn.XLOOKUP(Table1_1[[#This Row],[Category]], Budget_Ref[Category], Budget_Ref[Monthly Budget], 0), 0)</f>
        <v>0</v>
      </c>
      <c r="I1336" t="str">
        <f>IF(Table1_1[[#This Row],[Type]]="Expense", IF(Table1_1[[#This Row],[Amount]]&gt;Table1_1[[#This Row],[Monthly Budget]], "Over Budget", "OK"), "-")</f>
        <v>-</v>
      </c>
      <c r="J1336">
        <f>IF(Table1_1[[#This Row],[Type]]="Income", Table1_1[[#This Row],[Amount]], -Table1_1[[#This Row],[Amount]])</f>
        <v>2615</v>
      </c>
    </row>
    <row r="1337" spans="1:10" x14ac:dyDescent="0.25">
      <c r="A1337" s="1">
        <v>45464</v>
      </c>
      <c r="B1337" t="s">
        <v>1352</v>
      </c>
      <c r="C1337" t="s">
        <v>17</v>
      </c>
      <c r="D1337" s="2">
        <v>1202.72</v>
      </c>
      <c r="E1337" t="s">
        <v>7</v>
      </c>
      <c r="F1337" t="s">
        <v>1572</v>
      </c>
      <c r="G1337">
        <v>2024</v>
      </c>
      <c r="H1337">
        <f>IF(Table1_1[[#This Row],[Type]]="Expense", _xlfn.XLOOKUP(Table1_1[[#This Row],[Category]], Budget_Ref[Category], Budget_Ref[Monthly Budget], 0), 0)</f>
        <v>300</v>
      </c>
      <c r="I1337" t="str">
        <f>IF(Table1_1[[#This Row],[Type]]="Expense", IF(Table1_1[[#This Row],[Amount]]&gt;Table1_1[[#This Row],[Monthly Budget]], "Over Budget", "OK"), "-")</f>
        <v>Over Budget</v>
      </c>
      <c r="J1337">
        <f>IF(Table1_1[[#This Row],[Type]]="Income", Table1_1[[#This Row],[Amount]], -Table1_1[[#This Row],[Amount]])</f>
        <v>-1202.72</v>
      </c>
    </row>
    <row r="1338" spans="1:10" x14ac:dyDescent="0.25">
      <c r="A1338" s="1">
        <v>45464</v>
      </c>
      <c r="B1338" t="s">
        <v>1353</v>
      </c>
      <c r="C1338" t="s">
        <v>6</v>
      </c>
      <c r="D1338" s="2">
        <v>1758.23</v>
      </c>
      <c r="E1338" t="s">
        <v>7</v>
      </c>
      <c r="F1338" t="s">
        <v>1572</v>
      </c>
      <c r="G1338">
        <v>2024</v>
      </c>
      <c r="H1338">
        <f>IF(Table1_1[[#This Row],[Type]]="Expense", _xlfn.XLOOKUP(Table1_1[[#This Row],[Category]], Budget_Ref[Category], Budget_Ref[Monthly Budget], 0), 0)</f>
        <v>500</v>
      </c>
      <c r="I1338" t="str">
        <f>IF(Table1_1[[#This Row],[Type]]="Expense", IF(Table1_1[[#This Row],[Amount]]&gt;Table1_1[[#This Row],[Monthly Budget]], "Over Budget", "OK"), "-")</f>
        <v>Over Budget</v>
      </c>
      <c r="J1338">
        <f>IF(Table1_1[[#This Row],[Type]]="Income", Table1_1[[#This Row],[Amount]], -Table1_1[[#This Row],[Amount]])</f>
        <v>-1758.23</v>
      </c>
    </row>
    <row r="1339" spans="1:10" x14ac:dyDescent="0.25">
      <c r="A1339" s="1">
        <v>45465</v>
      </c>
      <c r="B1339" t="s">
        <v>1354</v>
      </c>
      <c r="C1339" t="s">
        <v>35</v>
      </c>
      <c r="D1339" s="2">
        <v>1895.04</v>
      </c>
      <c r="E1339" t="s">
        <v>7</v>
      </c>
      <c r="F1339" t="s">
        <v>1572</v>
      </c>
      <c r="G1339">
        <v>2024</v>
      </c>
      <c r="H1339">
        <f>IF(Table1_1[[#This Row],[Type]]="Expense", _xlfn.XLOOKUP(Table1_1[[#This Row],[Category]], Budget_Ref[Category], Budget_Ref[Monthly Budget], 0), 0)</f>
        <v>200</v>
      </c>
      <c r="I1339" t="str">
        <f>IF(Table1_1[[#This Row],[Type]]="Expense", IF(Table1_1[[#This Row],[Amount]]&gt;Table1_1[[#This Row],[Monthly Budget]], "Over Budget", "OK"), "-")</f>
        <v>Over Budget</v>
      </c>
      <c r="J1339">
        <f>IF(Table1_1[[#This Row],[Type]]="Income", Table1_1[[#This Row],[Amount]], -Table1_1[[#This Row],[Amount]])</f>
        <v>-1895.04</v>
      </c>
    </row>
    <row r="1340" spans="1:10" x14ac:dyDescent="0.25">
      <c r="A1340" s="1">
        <v>45466</v>
      </c>
      <c r="B1340" t="s">
        <v>1355</v>
      </c>
      <c r="C1340" t="s">
        <v>27</v>
      </c>
      <c r="D1340" s="2">
        <v>1735.93</v>
      </c>
      <c r="E1340" t="s">
        <v>14</v>
      </c>
      <c r="F1340" t="s">
        <v>1572</v>
      </c>
      <c r="G1340">
        <v>2024</v>
      </c>
      <c r="H1340">
        <f>IF(Table1_1[[#This Row],[Type]]="Expense", _xlfn.XLOOKUP(Table1_1[[#This Row],[Category]], Budget_Ref[Category], Budget_Ref[Monthly Budget], 0), 0)</f>
        <v>0</v>
      </c>
      <c r="I1340" t="str">
        <f>IF(Table1_1[[#This Row],[Type]]="Expense", IF(Table1_1[[#This Row],[Amount]]&gt;Table1_1[[#This Row],[Monthly Budget]], "Over Budget", "OK"), "-")</f>
        <v>-</v>
      </c>
      <c r="J1340">
        <f>IF(Table1_1[[#This Row],[Type]]="Income", Table1_1[[#This Row],[Amount]], -Table1_1[[#This Row],[Amount]])</f>
        <v>1735.93</v>
      </c>
    </row>
    <row r="1341" spans="1:10" x14ac:dyDescent="0.25">
      <c r="A1341" s="1">
        <v>45466</v>
      </c>
      <c r="B1341" t="s">
        <v>1356</v>
      </c>
      <c r="C1341" t="s">
        <v>20</v>
      </c>
      <c r="D1341" s="2">
        <v>1669</v>
      </c>
      <c r="E1341" t="s">
        <v>14</v>
      </c>
      <c r="F1341" t="s">
        <v>1572</v>
      </c>
      <c r="G1341">
        <v>2024</v>
      </c>
      <c r="H1341">
        <f>IF(Table1_1[[#This Row],[Type]]="Expense", _xlfn.XLOOKUP(Table1_1[[#This Row],[Category]], Budget_Ref[Category], Budget_Ref[Monthly Budget], 0), 0)</f>
        <v>0</v>
      </c>
      <c r="I1341" t="str">
        <f>IF(Table1_1[[#This Row],[Type]]="Expense", IF(Table1_1[[#This Row],[Amount]]&gt;Table1_1[[#This Row],[Monthly Budget]], "Over Budget", "OK"), "-")</f>
        <v>-</v>
      </c>
      <c r="J1341">
        <f>IF(Table1_1[[#This Row],[Type]]="Income", Table1_1[[#This Row],[Amount]], -Table1_1[[#This Row],[Amount]])</f>
        <v>1669</v>
      </c>
    </row>
    <row r="1342" spans="1:10" x14ac:dyDescent="0.25">
      <c r="A1342" s="1">
        <v>45466</v>
      </c>
      <c r="B1342" t="s">
        <v>1357</v>
      </c>
      <c r="C1342" t="s">
        <v>9</v>
      </c>
      <c r="D1342" s="2">
        <v>1250.19</v>
      </c>
      <c r="E1342" t="s">
        <v>7</v>
      </c>
      <c r="F1342" t="s">
        <v>1572</v>
      </c>
      <c r="G1342">
        <v>2024</v>
      </c>
      <c r="H1342">
        <f>IF(Table1_1[[#This Row],[Type]]="Expense", _xlfn.XLOOKUP(Table1_1[[#This Row],[Category]], Budget_Ref[Category], Budget_Ref[Monthly Budget], 0), 0)</f>
        <v>150</v>
      </c>
      <c r="I1342" t="str">
        <f>IF(Table1_1[[#This Row],[Type]]="Expense", IF(Table1_1[[#This Row],[Amount]]&gt;Table1_1[[#This Row],[Monthly Budget]], "Over Budget", "OK"), "-")</f>
        <v>Over Budget</v>
      </c>
      <c r="J1342">
        <f>IF(Table1_1[[#This Row],[Type]]="Income", Table1_1[[#This Row],[Amount]], -Table1_1[[#This Row],[Amount]])</f>
        <v>-1250.19</v>
      </c>
    </row>
    <row r="1343" spans="1:10" x14ac:dyDescent="0.25">
      <c r="A1343" s="1">
        <v>45466</v>
      </c>
      <c r="B1343" t="s">
        <v>1358</v>
      </c>
      <c r="C1343" t="s">
        <v>9</v>
      </c>
      <c r="D1343" s="2">
        <v>1451.13</v>
      </c>
      <c r="E1343" t="s">
        <v>7</v>
      </c>
      <c r="F1343" t="s">
        <v>1572</v>
      </c>
      <c r="G1343">
        <v>2024</v>
      </c>
      <c r="H1343">
        <f>IF(Table1_1[[#This Row],[Type]]="Expense", _xlfn.XLOOKUP(Table1_1[[#This Row],[Category]], Budget_Ref[Category], Budget_Ref[Monthly Budget], 0), 0)</f>
        <v>150</v>
      </c>
      <c r="I1343" t="str">
        <f>IF(Table1_1[[#This Row],[Type]]="Expense", IF(Table1_1[[#This Row],[Amount]]&gt;Table1_1[[#This Row],[Monthly Budget]], "Over Budget", "OK"), "-")</f>
        <v>Over Budget</v>
      </c>
      <c r="J1343">
        <f>IF(Table1_1[[#This Row],[Type]]="Income", Table1_1[[#This Row],[Amount]], -Table1_1[[#This Row],[Amount]])</f>
        <v>-1451.13</v>
      </c>
    </row>
    <row r="1344" spans="1:10" x14ac:dyDescent="0.25">
      <c r="A1344" s="1">
        <v>45466</v>
      </c>
      <c r="B1344" t="s">
        <v>1359</v>
      </c>
      <c r="C1344" t="s">
        <v>27</v>
      </c>
      <c r="D1344" s="2">
        <v>1197.0999999999999</v>
      </c>
      <c r="E1344" t="s">
        <v>14</v>
      </c>
      <c r="F1344" t="s">
        <v>1572</v>
      </c>
      <c r="G1344">
        <v>2024</v>
      </c>
      <c r="H1344">
        <f>IF(Table1_1[[#This Row],[Type]]="Expense", _xlfn.XLOOKUP(Table1_1[[#This Row],[Category]], Budget_Ref[Category], Budget_Ref[Monthly Budget], 0), 0)</f>
        <v>0</v>
      </c>
      <c r="I1344" t="str">
        <f>IF(Table1_1[[#This Row],[Type]]="Expense", IF(Table1_1[[#This Row],[Amount]]&gt;Table1_1[[#This Row],[Monthly Budget]], "Over Budget", "OK"), "-")</f>
        <v>-</v>
      </c>
      <c r="J1344">
        <f>IF(Table1_1[[#This Row],[Type]]="Income", Table1_1[[#This Row],[Amount]], -Table1_1[[#This Row],[Amount]])</f>
        <v>1197.0999999999999</v>
      </c>
    </row>
    <row r="1345" spans="1:10" x14ac:dyDescent="0.25">
      <c r="A1345" s="1">
        <v>45474</v>
      </c>
      <c r="B1345" t="s">
        <v>1360</v>
      </c>
      <c r="C1345" t="s">
        <v>20</v>
      </c>
      <c r="D1345" s="2">
        <v>3657</v>
      </c>
      <c r="E1345" t="s">
        <v>14</v>
      </c>
      <c r="F1345" t="s">
        <v>1573</v>
      </c>
      <c r="G1345">
        <v>2024</v>
      </c>
      <c r="H1345">
        <f>IF(Table1_1[[#This Row],[Type]]="Expense", _xlfn.XLOOKUP(Table1_1[[#This Row],[Category]], Budget_Ref[Category], Budget_Ref[Monthly Budget], 0), 0)</f>
        <v>0</v>
      </c>
      <c r="I1345" t="str">
        <f>IF(Table1_1[[#This Row],[Type]]="Expense", IF(Table1_1[[#This Row],[Amount]]&gt;Table1_1[[#This Row],[Monthly Budget]], "Over Budget", "OK"), "-")</f>
        <v>-</v>
      </c>
      <c r="J1345">
        <f>IF(Table1_1[[#This Row],[Type]]="Income", Table1_1[[#This Row],[Amount]], -Table1_1[[#This Row],[Amount]])</f>
        <v>3657</v>
      </c>
    </row>
    <row r="1346" spans="1:10" x14ac:dyDescent="0.25">
      <c r="A1346" s="1">
        <v>45478</v>
      </c>
      <c r="B1346" t="s">
        <v>1361</v>
      </c>
      <c r="C1346" t="s">
        <v>13</v>
      </c>
      <c r="D1346" s="2">
        <v>2157</v>
      </c>
      <c r="E1346" t="s">
        <v>14</v>
      </c>
      <c r="F1346" t="s">
        <v>1573</v>
      </c>
      <c r="G1346">
        <v>2024</v>
      </c>
      <c r="H1346">
        <f>IF(Table1_1[[#This Row],[Type]]="Expense", _xlfn.XLOOKUP(Table1_1[[#This Row],[Category]], Budget_Ref[Category], Budget_Ref[Monthly Budget], 0), 0)</f>
        <v>0</v>
      </c>
      <c r="I1346" t="str">
        <f>IF(Table1_1[[#This Row],[Type]]="Expense", IF(Table1_1[[#This Row],[Amount]]&gt;Table1_1[[#This Row],[Monthly Budget]], "Over Budget", "OK"), "-")</f>
        <v>-</v>
      </c>
      <c r="J1346">
        <f>IF(Table1_1[[#This Row],[Type]]="Income", Table1_1[[#This Row],[Amount]], -Table1_1[[#This Row],[Amount]])</f>
        <v>2157</v>
      </c>
    </row>
    <row r="1347" spans="1:10" x14ac:dyDescent="0.25">
      <c r="A1347" s="1">
        <v>45479</v>
      </c>
      <c r="B1347" t="s">
        <v>1362</v>
      </c>
      <c r="C1347" t="s">
        <v>17</v>
      </c>
      <c r="D1347" s="2">
        <v>1654.76</v>
      </c>
      <c r="E1347" t="s">
        <v>7</v>
      </c>
      <c r="F1347" t="s">
        <v>1573</v>
      </c>
      <c r="G1347">
        <v>2024</v>
      </c>
      <c r="H1347">
        <f>IF(Table1_1[[#This Row],[Type]]="Expense", _xlfn.XLOOKUP(Table1_1[[#This Row],[Category]], Budget_Ref[Category], Budget_Ref[Monthly Budget], 0), 0)</f>
        <v>300</v>
      </c>
      <c r="I1347" t="str">
        <f>IF(Table1_1[[#This Row],[Type]]="Expense", IF(Table1_1[[#This Row],[Amount]]&gt;Table1_1[[#This Row],[Monthly Budget]], "Over Budget", "OK"), "-")</f>
        <v>Over Budget</v>
      </c>
      <c r="J1347">
        <f>IF(Table1_1[[#This Row],[Type]]="Income", Table1_1[[#This Row],[Amount]], -Table1_1[[#This Row],[Amount]])</f>
        <v>-1654.76</v>
      </c>
    </row>
    <row r="1348" spans="1:10" x14ac:dyDescent="0.25">
      <c r="A1348" s="1">
        <v>45480</v>
      </c>
      <c r="B1348" t="s">
        <v>1363</v>
      </c>
      <c r="C1348" t="s">
        <v>9</v>
      </c>
      <c r="D1348" s="2">
        <v>956.98</v>
      </c>
      <c r="E1348" t="s">
        <v>7</v>
      </c>
      <c r="F1348" t="s">
        <v>1573</v>
      </c>
      <c r="G1348">
        <v>2024</v>
      </c>
      <c r="H1348">
        <f>IF(Table1_1[[#This Row],[Type]]="Expense", _xlfn.XLOOKUP(Table1_1[[#This Row],[Category]], Budget_Ref[Category], Budget_Ref[Monthly Budget], 0), 0)</f>
        <v>150</v>
      </c>
      <c r="I1348" t="str">
        <f>IF(Table1_1[[#This Row],[Type]]="Expense", IF(Table1_1[[#This Row],[Amount]]&gt;Table1_1[[#This Row],[Monthly Budget]], "Over Budget", "OK"), "-")</f>
        <v>Over Budget</v>
      </c>
      <c r="J1348">
        <f>IF(Table1_1[[#This Row],[Type]]="Income", Table1_1[[#This Row],[Amount]], -Table1_1[[#This Row],[Amount]])</f>
        <v>-956.98</v>
      </c>
    </row>
    <row r="1349" spans="1:10" x14ac:dyDescent="0.25">
      <c r="A1349" s="1">
        <v>45480</v>
      </c>
      <c r="B1349" t="s">
        <v>1364</v>
      </c>
      <c r="C1349" t="s">
        <v>6</v>
      </c>
      <c r="D1349" s="2">
        <v>1756.73</v>
      </c>
      <c r="E1349" t="s">
        <v>7</v>
      </c>
      <c r="F1349" t="s">
        <v>1573</v>
      </c>
      <c r="G1349">
        <v>2024</v>
      </c>
      <c r="H1349">
        <f>IF(Table1_1[[#This Row],[Type]]="Expense", _xlfn.XLOOKUP(Table1_1[[#This Row],[Category]], Budget_Ref[Category], Budget_Ref[Monthly Budget], 0), 0)</f>
        <v>500</v>
      </c>
      <c r="I1349" t="str">
        <f>IF(Table1_1[[#This Row],[Type]]="Expense", IF(Table1_1[[#This Row],[Amount]]&gt;Table1_1[[#This Row],[Monthly Budget]], "Over Budget", "OK"), "-")</f>
        <v>Over Budget</v>
      </c>
      <c r="J1349">
        <f>IF(Table1_1[[#This Row],[Type]]="Income", Table1_1[[#This Row],[Amount]], -Table1_1[[#This Row],[Amount]])</f>
        <v>-1756.73</v>
      </c>
    </row>
    <row r="1350" spans="1:10" x14ac:dyDescent="0.25">
      <c r="A1350" s="1">
        <v>45480</v>
      </c>
      <c r="B1350" t="s">
        <v>1365</v>
      </c>
      <c r="C1350" t="s">
        <v>11</v>
      </c>
      <c r="D1350" s="2">
        <v>195.45</v>
      </c>
      <c r="E1350" t="s">
        <v>7</v>
      </c>
      <c r="F1350" t="s">
        <v>1573</v>
      </c>
      <c r="G1350">
        <v>2024</v>
      </c>
      <c r="H1350">
        <f>IF(Table1_1[[#This Row],[Type]]="Expense", _xlfn.XLOOKUP(Table1_1[[#This Row],[Category]], Budget_Ref[Category], Budget_Ref[Monthly Budget], 0), 0)</f>
        <v>1500</v>
      </c>
      <c r="I1350" t="str">
        <f>IF(Table1_1[[#This Row],[Type]]="Expense", IF(Table1_1[[#This Row],[Amount]]&gt;Table1_1[[#This Row],[Monthly Budget]], "Over Budget", "OK"), "-")</f>
        <v>OK</v>
      </c>
      <c r="J1350">
        <f>IF(Table1_1[[#This Row],[Type]]="Income", Table1_1[[#This Row],[Amount]], -Table1_1[[#This Row],[Amount]])</f>
        <v>-195.45</v>
      </c>
    </row>
    <row r="1351" spans="1:10" x14ac:dyDescent="0.25">
      <c r="A1351" s="1">
        <v>45480</v>
      </c>
      <c r="B1351" t="s">
        <v>1366</v>
      </c>
      <c r="C1351" t="s">
        <v>6</v>
      </c>
      <c r="D1351" s="2">
        <v>1794.97</v>
      </c>
      <c r="E1351" t="s">
        <v>7</v>
      </c>
      <c r="F1351" t="s">
        <v>1573</v>
      </c>
      <c r="G1351">
        <v>2024</v>
      </c>
      <c r="H1351">
        <f>IF(Table1_1[[#This Row],[Type]]="Expense", _xlfn.XLOOKUP(Table1_1[[#This Row],[Category]], Budget_Ref[Category], Budget_Ref[Monthly Budget], 0), 0)</f>
        <v>500</v>
      </c>
      <c r="I1351" t="str">
        <f>IF(Table1_1[[#This Row],[Type]]="Expense", IF(Table1_1[[#This Row],[Amount]]&gt;Table1_1[[#This Row],[Monthly Budget]], "Over Budget", "OK"), "-")</f>
        <v>Over Budget</v>
      </c>
      <c r="J1351">
        <f>IF(Table1_1[[#This Row],[Type]]="Income", Table1_1[[#This Row],[Amount]], -Table1_1[[#This Row],[Amount]])</f>
        <v>-1794.97</v>
      </c>
    </row>
    <row r="1352" spans="1:10" x14ac:dyDescent="0.25">
      <c r="A1352" s="1">
        <v>45486</v>
      </c>
      <c r="B1352" t="s">
        <v>1367</v>
      </c>
      <c r="C1352" t="s">
        <v>17</v>
      </c>
      <c r="D1352" s="2">
        <v>1048.8699999999999</v>
      </c>
      <c r="E1352" t="s">
        <v>7</v>
      </c>
      <c r="F1352" t="s">
        <v>1573</v>
      </c>
      <c r="G1352">
        <v>2024</v>
      </c>
      <c r="H1352">
        <f>IF(Table1_1[[#This Row],[Type]]="Expense", _xlfn.XLOOKUP(Table1_1[[#This Row],[Category]], Budget_Ref[Category], Budget_Ref[Monthly Budget], 0), 0)</f>
        <v>300</v>
      </c>
      <c r="I1352" t="str">
        <f>IF(Table1_1[[#This Row],[Type]]="Expense", IF(Table1_1[[#This Row],[Amount]]&gt;Table1_1[[#This Row],[Monthly Budget]], "Over Budget", "OK"), "-")</f>
        <v>Over Budget</v>
      </c>
      <c r="J1352">
        <f>IF(Table1_1[[#This Row],[Type]]="Income", Table1_1[[#This Row],[Amount]], -Table1_1[[#This Row],[Amount]])</f>
        <v>-1048.8699999999999</v>
      </c>
    </row>
    <row r="1353" spans="1:10" x14ac:dyDescent="0.25">
      <c r="A1353" s="1">
        <v>45486</v>
      </c>
      <c r="B1353" t="s">
        <v>1368</v>
      </c>
      <c r="C1353" t="s">
        <v>6</v>
      </c>
      <c r="D1353" s="2">
        <v>1398.31</v>
      </c>
      <c r="E1353" t="s">
        <v>7</v>
      </c>
      <c r="F1353" t="s">
        <v>1573</v>
      </c>
      <c r="G1353">
        <v>2024</v>
      </c>
      <c r="H1353">
        <f>IF(Table1_1[[#This Row],[Type]]="Expense", _xlfn.XLOOKUP(Table1_1[[#This Row],[Category]], Budget_Ref[Category], Budget_Ref[Monthly Budget], 0), 0)</f>
        <v>500</v>
      </c>
      <c r="I1353" t="str">
        <f>IF(Table1_1[[#This Row],[Type]]="Expense", IF(Table1_1[[#This Row],[Amount]]&gt;Table1_1[[#This Row],[Monthly Budget]], "Over Budget", "OK"), "-")</f>
        <v>Over Budget</v>
      </c>
      <c r="J1353">
        <f>IF(Table1_1[[#This Row],[Type]]="Income", Table1_1[[#This Row],[Amount]], -Table1_1[[#This Row],[Amount]])</f>
        <v>-1398.31</v>
      </c>
    </row>
    <row r="1354" spans="1:10" x14ac:dyDescent="0.25">
      <c r="A1354" s="1">
        <v>45489</v>
      </c>
      <c r="B1354" t="s">
        <v>1369</v>
      </c>
      <c r="C1354" t="s">
        <v>27</v>
      </c>
      <c r="D1354" s="2">
        <v>1581.22</v>
      </c>
      <c r="E1354" t="s">
        <v>14</v>
      </c>
      <c r="F1354" t="s">
        <v>1573</v>
      </c>
      <c r="G1354">
        <v>2024</v>
      </c>
      <c r="H1354">
        <f>IF(Table1_1[[#This Row],[Type]]="Expense", _xlfn.XLOOKUP(Table1_1[[#This Row],[Category]], Budget_Ref[Category], Budget_Ref[Monthly Budget], 0), 0)</f>
        <v>0</v>
      </c>
      <c r="I1354" t="str">
        <f>IF(Table1_1[[#This Row],[Type]]="Expense", IF(Table1_1[[#This Row],[Amount]]&gt;Table1_1[[#This Row],[Monthly Budget]], "Over Budget", "OK"), "-")</f>
        <v>-</v>
      </c>
      <c r="J1354">
        <f>IF(Table1_1[[#This Row],[Type]]="Income", Table1_1[[#This Row],[Amount]], -Table1_1[[#This Row],[Amount]])</f>
        <v>1581.22</v>
      </c>
    </row>
    <row r="1355" spans="1:10" x14ac:dyDescent="0.25">
      <c r="A1355" s="1">
        <v>45493</v>
      </c>
      <c r="B1355" t="s">
        <v>1370</v>
      </c>
      <c r="C1355" t="s">
        <v>11</v>
      </c>
      <c r="D1355" s="2">
        <v>856.72</v>
      </c>
      <c r="E1355" t="s">
        <v>7</v>
      </c>
      <c r="F1355" t="s">
        <v>1573</v>
      </c>
      <c r="G1355">
        <v>2024</v>
      </c>
      <c r="H1355">
        <f>IF(Table1_1[[#This Row],[Type]]="Expense", _xlfn.XLOOKUP(Table1_1[[#This Row],[Category]], Budget_Ref[Category], Budget_Ref[Monthly Budget], 0), 0)</f>
        <v>1500</v>
      </c>
      <c r="I1355" t="str">
        <f>IF(Table1_1[[#This Row],[Type]]="Expense", IF(Table1_1[[#This Row],[Amount]]&gt;Table1_1[[#This Row],[Monthly Budget]], "Over Budget", "OK"), "-")</f>
        <v>OK</v>
      </c>
      <c r="J1355">
        <f>IF(Table1_1[[#This Row],[Type]]="Income", Table1_1[[#This Row],[Amount]], -Table1_1[[#This Row],[Amount]])</f>
        <v>-856.72</v>
      </c>
    </row>
    <row r="1356" spans="1:10" x14ac:dyDescent="0.25">
      <c r="A1356" s="1">
        <v>45494</v>
      </c>
      <c r="B1356" t="s">
        <v>1371</v>
      </c>
      <c r="C1356" t="s">
        <v>22</v>
      </c>
      <c r="D1356" s="2">
        <v>1821.07</v>
      </c>
      <c r="E1356" t="s">
        <v>7</v>
      </c>
      <c r="F1356" t="s">
        <v>1573</v>
      </c>
      <c r="G1356">
        <v>2024</v>
      </c>
      <c r="H1356">
        <f>IF(Table1_1[[#This Row],[Type]]="Expense", _xlfn.XLOOKUP(Table1_1[[#This Row],[Category]], Budget_Ref[Category], Budget_Ref[Monthly Budget], 0), 0)</f>
        <v>200</v>
      </c>
      <c r="I1356" t="str">
        <f>IF(Table1_1[[#This Row],[Type]]="Expense", IF(Table1_1[[#This Row],[Amount]]&gt;Table1_1[[#This Row],[Monthly Budget]], "Over Budget", "OK"), "-")</f>
        <v>Over Budget</v>
      </c>
      <c r="J1356">
        <f>IF(Table1_1[[#This Row],[Type]]="Income", Table1_1[[#This Row],[Amount]], -Table1_1[[#This Row],[Amount]])</f>
        <v>-1821.07</v>
      </c>
    </row>
    <row r="1357" spans="1:10" x14ac:dyDescent="0.25">
      <c r="A1357" s="1">
        <v>45495</v>
      </c>
      <c r="B1357" t="s">
        <v>1372</v>
      </c>
      <c r="C1357" t="s">
        <v>20</v>
      </c>
      <c r="D1357" s="2">
        <v>2611</v>
      </c>
      <c r="E1357" t="s">
        <v>14</v>
      </c>
      <c r="F1357" t="s">
        <v>1573</v>
      </c>
      <c r="G1357">
        <v>2024</v>
      </c>
      <c r="H1357">
        <f>IF(Table1_1[[#This Row],[Type]]="Expense", _xlfn.XLOOKUP(Table1_1[[#This Row],[Category]], Budget_Ref[Category], Budget_Ref[Monthly Budget], 0), 0)</f>
        <v>0</v>
      </c>
      <c r="I1357" t="str">
        <f>IF(Table1_1[[#This Row],[Type]]="Expense", IF(Table1_1[[#This Row],[Amount]]&gt;Table1_1[[#This Row],[Monthly Budget]], "Over Budget", "OK"), "-")</f>
        <v>-</v>
      </c>
      <c r="J1357">
        <f>IF(Table1_1[[#This Row],[Type]]="Income", Table1_1[[#This Row],[Amount]], -Table1_1[[#This Row],[Amount]])</f>
        <v>2611</v>
      </c>
    </row>
    <row r="1358" spans="1:10" x14ac:dyDescent="0.25">
      <c r="A1358" s="1">
        <v>45496</v>
      </c>
      <c r="B1358" t="s">
        <v>1373</v>
      </c>
      <c r="C1358" t="s">
        <v>13</v>
      </c>
      <c r="D1358" s="2">
        <v>4780</v>
      </c>
      <c r="E1358" t="s">
        <v>14</v>
      </c>
      <c r="F1358" t="s">
        <v>1573</v>
      </c>
      <c r="G1358">
        <v>2024</v>
      </c>
      <c r="H1358">
        <f>IF(Table1_1[[#This Row],[Type]]="Expense", _xlfn.XLOOKUP(Table1_1[[#This Row],[Category]], Budget_Ref[Category], Budget_Ref[Monthly Budget], 0), 0)</f>
        <v>0</v>
      </c>
      <c r="I1358" t="str">
        <f>IF(Table1_1[[#This Row],[Type]]="Expense", IF(Table1_1[[#This Row],[Amount]]&gt;Table1_1[[#This Row],[Monthly Budget]], "Over Budget", "OK"), "-")</f>
        <v>-</v>
      </c>
      <c r="J1358">
        <f>IF(Table1_1[[#This Row],[Type]]="Income", Table1_1[[#This Row],[Amount]], -Table1_1[[#This Row],[Amount]])</f>
        <v>4780</v>
      </c>
    </row>
    <row r="1359" spans="1:10" x14ac:dyDescent="0.25">
      <c r="A1359" s="1">
        <v>45496</v>
      </c>
      <c r="B1359" t="s">
        <v>1374</v>
      </c>
      <c r="C1359" t="s">
        <v>13</v>
      </c>
      <c r="D1359" s="2">
        <v>3572</v>
      </c>
      <c r="E1359" t="s">
        <v>14</v>
      </c>
      <c r="F1359" t="s">
        <v>1573</v>
      </c>
      <c r="G1359">
        <v>2024</v>
      </c>
      <c r="H1359">
        <f>IF(Table1_1[[#This Row],[Type]]="Expense", _xlfn.XLOOKUP(Table1_1[[#This Row],[Category]], Budget_Ref[Category], Budget_Ref[Monthly Budget], 0), 0)</f>
        <v>0</v>
      </c>
      <c r="I1359" t="str">
        <f>IF(Table1_1[[#This Row],[Type]]="Expense", IF(Table1_1[[#This Row],[Amount]]&gt;Table1_1[[#This Row],[Monthly Budget]], "Over Budget", "OK"), "-")</f>
        <v>-</v>
      </c>
      <c r="J1359">
        <f>IF(Table1_1[[#This Row],[Type]]="Income", Table1_1[[#This Row],[Amount]], -Table1_1[[#This Row],[Amount]])</f>
        <v>3572</v>
      </c>
    </row>
    <row r="1360" spans="1:10" x14ac:dyDescent="0.25">
      <c r="A1360" s="1">
        <v>45498</v>
      </c>
      <c r="B1360" t="s">
        <v>1375</v>
      </c>
      <c r="C1360" t="s">
        <v>25</v>
      </c>
      <c r="D1360" s="2">
        <v>823.6</v>
      </c>
      <c r="E1360" t="s">
        <v>7</v>
      </c>
      <c r="F1360" t="s">
        <v>1573</v>
      </c>
      <c r="G1360">
        <v>2024</v>
      </c>
      <c r="H1360">
        <f>IF(Table1_1[[#This Row],[Type]]="Expense", _xlfn.XLOOKUP(Table1_1[[#This Row],[Category]], Budget_Ref[Category], Budget_Ref[Monthly Budget], 0), 0)</f>
        <v>150</v>
      </c>
      <c r="I1360" t="str">
        <f>IF(Table1_1[[#This Row],[Type]]="Expense", IF(Table1_1[[#This Row],[Amount]]&gt;Table1_1[[#This Row],[Monthly Budget]], "Over Budget", "OK"), "-")</f>
        <v>Over Budget</v>
      </c>
      <c r="J1360">
        <f>IF(Table1_1[[#This Row],[Type]]="Income", Table1_1[[#This Row],[Amount]], -Table1_1[[#This Row],[Amount]])</f>
        <v>-823.6</v>
      </c>
    </row>
    <row r="1361" spans="1:10" x14ac:dyDescent="0.25">
      <c r="A1361" s="1">
        <v>45499</v>
      </c>
      <c r="B1361" t="s">
        <v>1376</v>
      </c>
      <c r="C1361" t="s">
        <v>20</v>
      </c>
      <c r="D1361" s="2">
        <v>2577</v>
      </c>
      <c r="E1361" t="s">
        <v>14</v>
      </c>
      <c r="F1361" t="s">
        <v>1573</v>
      </c>
      <c r="G1361">
        <v>2024</v>
      </c>
      <c r="H1361">
        <f>IF(Table1_1[[#This Row],[Type]]="Expense", _xlfn.XLOOKUP(Table1_1[[#This Row],[Category]], Budget_Ref[Category], Budget_Ref[Monthly Budget], 0), 0)</f>
        <v>0</v>
      </c>
      <c r="I1361" t="str">
        <f>IF(Table1_1[[#This Row],[Type]]="Expense", IF(Table1_1[[#This Row],[Amount]]&gt;Table1_1[[#This Row],[Monthly Budget]], "Over Budget", "OK"), "-")</f>
        <v>-</v>
      </c>
      <c r="J1361">
        <f>IF(Table1_1[[#This Row],[Type]]="Income", Table1_1[[#This Row],[Amount]], -Table1_1[[#This Row],[Amount]])</f>
        <v>2577</v>
      </c>
    </row>
    <row r="1362" spans="1:10" x14ac:dyDescent="0.25">
      <c r="A1362" s="1">
        <v>45499</v>
      </c>
      <c r="B1362" t="s">
        <v>1377</v>
      </c>
      <c r="C1362" t="s">
        <v>17</v>
      </c>
      <c r="D1362" s="2">
        <v>1133.69</v>
      </c>
      <c r="E1362" t="s">
        <v>7</v>
      </c>
      <c r="F1362" t="s">
        <v>1573</v>
      </c>
      <c r="G1362">
        <v>2024</v>
      </c>
      <c r="H1362">
        <f>IF(Table1_1[[#This Row],[Type]]="Expense", _xlfn.XLOOKUP(Table1_1[[#This Row],[Category]], Budget_Ref[Category], Budget_Ref[Monthly Budget], 0), 0)</f>
        <v>300</v>
      </c>
      <c r="I1362" t="str">
        <f>IF(Table1_1[[#This Row],[Type]]="Expense", IF(Table1_1[[#This Row],[Amount]]&gt;Table1_1[[#This Row],[Monthly Budget]], "Over Budget", "OK"), "-")</f>
        <v>Over Budget</v>
      </c>
      <c r="J1362">
        <f>IF(Table1_1[[#This Row],[Type]]="Income", Table1_1[[#This Row],[Amount]], -Table1_1[[#This Row],[Amount]])</f>
        <v>-1133.69</v>
      </c>
    </row>
    <row r="1363" spans="1:10" x14ac:dyDescent="0.25">
      <c r="A1363" s="1">
        <v>45499</v>
      </c>
      <c r="B1363" t="s">
        <v>1378</v>
      </c>
      <c r="C1363" t="s">
        <v>17</v>
      </c>
      <c r="D1363" s="2">
        <v>1512.39</v>
      </c>
      <c r="E1363" t="s">
        <v>7</v>
      </c>
      <c r="F1363" t="s">
        <v>1573</v>
      </c>
      <c r="G1363">
        <v>2024</v>
      </c>
      <c r="H1363">
        <f>IF(Table1_1[[#This Row],[Type]]="Expense", _xlfn.XLOOKUP(Table1_1[[#This Row],[Category]], Budget_Ref[Category], Budget_Ref[Monthly Budget], 0), 0)</f>
        <v>300</v>
      </c>
      <c r="I1363" t="str">
        <f>IF(Table1_1[[#This Row],[Type]]="Expense", IF(Table1_1[[#This Row],[Amount]]&gt;Table1_1[[#This Row],[Monthly Budget]], "Over Budget", "OK"), "-")</f>
        <v>Over Budget</v>
      </c>
      <c r="J1363">
        <f>IF(Table1_1[[#This Row],[Type]]="Income", Table1_1[[#This Row],[Amount]], -Table1_1[[#This Row],[Amount]])</f>
        <v>-1512.39</v>
      </c>
    </row>
    <row r="1364" spans="1:10" x14ac:dyDescent="0.25">
      <c r="A1364" s="1">
        <v>45499</v>
      </c>
      <c r="B1364" t="s">
        <v>1379</v>
      </c>
      <c r="C1364" t="s">
        <v>27</v>
      </c>
      <c r="D1364" s="2">
        <v>365.65</v>
      </c>
      <c r="E1364" t="s">
        <v>14</v>
      </c>
      <c r="F1364" t="s">
        <v>1573</v>
      </c>
      <c r="G1364">
        <v>2024</v>
      </c>
      <c r="H1364">
        <f>IF(Table1_1[[#This Row],[Type]]="Expense", _xlfn.XLOOKUP(Table1_1[[#This Row],[Category]], Budget_Ref[Category], Budget_Ref[Monthly Budget], 0), 0)</f>
        <v>0</v>
      </c>
      <c r="I1364" t="str">
        <f>IF(Table1_1[[#This Row],[Type]]="Expense", IF(Table1_1[[#This Row],[Amount]]&gt;Table1_1[[#This Row],[Monthly Budget]], "Over Budget", "OK"), "-")</f>
        <v>-</v>
      </c>
      <c r="J1364">
        <f>IF(Table1_1[[#This Row],[Type]]="Income", Table1_1[[#This Row],[Amount]], -Table1_1[[#This Row],[Amount]])</f>
        <v>365.65</v>
      </c>
    </row>
    <row r="1365" spans="1:10" x14ac:dyDescent="0.25">
      <c r="A1365" s="1">
        <v>45500</v>
      </c>
      <c r="B1365" t="s">
        <v>1380</v>
      </c>
      <c r="C1365" t="s">
        <v>27</v>
      </c>
      <c r="D1365" s="2">
        <v>515.02</v>
      </c>
      <c r="E1365" t="s">
        <v>14</v>
      </c>
      <c r="F1365" t="s">
        <v>1573</v>
      </c>
      <c r="G1365">
        <v>2024</v>
      </c>
      <c r="H1365">
        <f>IF(Table1_1[[#This Row],[Type]]="Expense", _xlfn.XLOOKUP(Table1_1[[#This Row],[Category]], Budget_Ref[Category], Budget_Ref[Monthly Budget], 0), 0)</f>
        <v>0</v>
      </c>
      <c r="I1365" t="str">
        <f>IF(Table1_1[[#This Row],[Type]]="Expense", IF(Table1_1[[#This Row],[Amount]]&gt;Table1_1[[#This Row],[Monthly Budget]], "Over Budget", "OK"), "-")</f>
        <v>-</v>
      </c>
      <c r="J1365">
        <f>IF(Table1_1[[#This Row],[Type]]="Income", Table1_1[[#This Row],[Amount]], -Table1_1[[#This Row],[Amount]])</f>
        <v>515.02</v>
      </c>
    </row>
    <row r="1366" spans="1:10" x14ac:dyDescent="0.25">
      <c r="A1366" s="1">
        <v>45500</v>
      </c>
      <c r="B1366" t="s">
        <v>1381</v>
      </c>
      <c r="C1366" t="s">
        <v>25</v>
      </c>
      <c r="D1366" s="2">
        <v>1550.65</v>
      </c>
      <c r="E1366" t="s">
        <v>7</v>
      </c>
      <c r="F1366" t="s">
        <v>1573</v>
      </c>
      <c r="G1366">
        <v>2024</v>
      </c>
      <c r="H1366">
        <f>IF(Table1_1[[#This Row],[Type]]="Expense", _xlfn.XLOOKUP(Table1_1[[#This Row],[Category]], Budget_Ref[Category], Budget_Ref[Monthly Budget], 0), 0)</f>
        <v>150</v>
      </c>
      <c r="I1366" t="str">
        <f>IF(Table1_1[[#This Row],[Type]]="Expense", IF(Table1_1[[#This Row],[Amount]]&gt;Table1_1[[#This Row],[Monthly Budget]], "Over Budget", "OK"), "-")</f>
        <v>Over Budget</v>
      </c>
      <c r="J1366">
        <f>IF(Table1_1[[#This Row],[Type]]="Income", Table1_1[[#This Row],[Amount]], -Table1_1[[#This Row],[Amount]])</f>
        <v>-1550.65</v>
      </c>
    </row>
    <row r="1367" spans="1:10" x14ac:dyDescent="0.25">
      <c r="A1367" s="1">
        <v>45500</v>
      </c>
      <c r="B1367" t="s">
        <v>1382</v>
      </c>
      <c r="C1367" t="s">
        <v>9</v>
      </c>
      <c r="D1367" s="2">
        <v>1711.45</v>
      </c>
      <c r="E1367" t="s">
        <v>7</v>
      </c>
      <c r="F1367" t="s">
        <v>1573</v>
      </c>
      <c r="G1367">
        <v>2024</v>
      </c>
      <c r="H1367">
        <f>IF(Table1_1[[#This Row],[Type]]="Expense", _xlfn.XLOOKUP(Table1_1[[#This Row],[Category]], Budget_Ref[Category], Budget_Ref[Monthly Budget], 0), 0)</f>
        <v>150</v>
      </c>
      <c r="I1367" t="str">
        <f>IF(Table1_1[[#This Row],[Type]]="Expense", IF(Table1_1[[#This Row],[Amount]]&gt;Table1_1[[#This Row],[Monthly Budget]], "Over Budget", "OK"), "-")</f>
        <v>Over Budget</v>
      </c>
      <c r="J1367">
        <f>IF(Table1_1[[#This Row],[Type]]="Income", Table1_1[[#This Row],[Amount]], -Table1_1[[#This Row],[Amount]])</f>
        <v>-1711.45</v>
      </c>
    </row>
    <row r="1368" spans="1:10" x14ac:dyDescent="0.25">
      <c r="A1368" s="1">
        <v>45501</v>
      </c>
      <c r="B1368" t="s">
        <v>1383</v>
      </c>
      <c r="C1368" t="s">
        <v>22</v>
      </c>
      <c r="D1368" s="2">
        <v>898.72</v>
      </c>
      <c r="E1368" t="s">
        <v>7</v>
      </c>
      <c r="F1368" t="s">
        <v>1573</v>
      </c>
      <c r="G1368">
        <v>2024</v>
      </c>
      <c r="H1368">
        <f>IF(Table1_1[[#This Row],[Type]]="Expense", _xlfn.XLOOKUP(Table1_1[[#This Row],[Category]], Budget_Ref[Category], Budget_Ref[Monthly Budget], 0), 0)</f>
        <v>200</v>
      </c>
      <c r="I1368" t="str">
        <f>IF(Table1_1[[#This Row],[Type]]="Expense", IF(Table1_1[[#This Row],[Amount]]&gt;Table1_1[[#This Row],[Monthly Budget]], "Over Budget", "OK"), "-")</f>
        <v>Over Budget</v>
      </c>
      <c r="J1368">
        <f>IF(Table1_1[[#This Row],[Type]]="Income", Table1_1[[#This Row],[Amount]], -Table1_1[[#This Row],[Amount]])</f>
        <v>-898.72</v>
      </c>
    </row>
    <row r="1369" spans="1:10" x14ac:dyDescent="0.25">
      <c r="A1369" s="1">
        <v>45501</v>
      </c>
      <c r="B1369" t="s">
        <v>1384</v>
      </c>
      <c r="C1369" t="s">
        <v>9</v>
      </c>
      <c r="D1369" s="2">
        <v>209.55</v>
      </c>
      <c r="E1369" t="s">
        <v>7</v>
      </c>
      <c r="F1369" t="s">
        <v>1573</v>
      </c>
      <c r="G1369">
        <v>2024</v>
      </c>
      <c r="H1369">
        <f>IF(Table1_1[[#This Row],[Type]]="Expense", _xlfn.XLOOKUP(Table1_1[[#This Row],[Category]], Budget_Ref[Category], Budget_Ref[Monthly Budget], 0), 0)</f>
        <v>150</v>
      </c>
      <c r="I1369" t="str">
        <f>IF(Table1_1[[#This Row],[Type]]="Expense", IF(Table1_1[[#This Row],[Amount]]&gt;Table1_1[[#This Row],[Monthly Budget]], "Over Budget", "OK"), "-")</f>
        <v>Over Budget</v>
      </c>
      <c r="J1369">
        <f>IF(Table1_1[[#This Row],[Type]]="Income", Table1_1[[#This Row],[Amount]], -Table1_1[[#This Row],[Amount]])</f>
        <v>-209.55</v>
      </c>
    </row>
    <row r="1370" spans="1:10" x14ac:dyDescent="0.25">
      <c r="A1370" s="1">
        <v>45502</v>
      </c>
      <c r="B1370" t="s">
        <v>1385</v>
      </c>
      <c r="C1370" t="s">
        <v>25</v>
      </c>
      <c r="D1370" s="2">
        <v>1603.7</v>
      </c>
      <c r="E1370" t="s">
        <v>7</v>
      </c>
      <c r="F1370" t="s">
        <v>1573</v>
      </c>
      <c r="G1370">
        <v>2024</v>
      </c>
      <c r="H1370">
        <f>IF(Table1_1[[#This Row],[Type]]="Expense", _xlfn.XLOOKUP(Table1_1[[#This Row],[Category]], Budget_Ref[Category], Budget_Ref[Monthly Budget], 0), 0)</f>
        <v>150</v>
      </c>
      <c r="I1370" t="str">
        <f>IF(Table1_1[[#This Row],[Type]]="Expense", IF(Table1_1[[#This Row],[Amount]]&gt;Table1_1[[#This Row],[Monthly Budget]], "Over Budget", "OK"), "-")</f>
        <v>Over Budget</v>
      </c>
      <c r="J1370">
        <f>IF(Table1_1[[#This Row],[Type]]="Income", Table1_1[[#This Row],[Amount]], -Table1_1[[#This Row],[Amount]])</f>
        <v>-1603.7</v>
      </c>
    </row>
    <row r="1371" spans="1:10" x14ac:dyDescent="0.25">
      <c r="A1371" s="1">
        <v>45502</v>
      </c>
      <c r="B1371" t="s">
        <v>1386</v>
      </c>
      <c r="C1371" t="s">
        <v>6</v>
      </c>
      <c r="D1371" s="2">
        <v>329.87</v>
      </c>
      <c r="E1371" t="s">
        <v>7</v>
      </c>
      <c r="F1371" t="s">
        <v>1573</v>
      </c>
      <c r="G1371">
        <v>2024</v>
      </c>
      <c r="H1371">
        <f>IF(Table1_1[[#This Row],[Type]]="Expense", _xlfn.XLOOKUP(Table1_1[[#This Row],[Category]], Budget_Ref[Category], Budget_Ref[Monthly Budget], 0), 0)</f>
        <v>500</v>
      </c>
      <c r="I1371" t="str">
        <f>IF(Table1_1[[#This Row],[Type]]="Expense", IF(Table1_1[[#This Row],[Amount]]&gt;Table1_1[[#This Row],[Monthly Budget]], "Over Budget", "OK"), "-")</f>
        <v>OK</v>
      </c>
      <c r="J1371">
        <f>IF(Table1_1[[#This Row],[Type]]="Income", Table1_1[[#This Row],[Amount]], -Table1_1[[#This Row],[Amount]])</f>
        <v>-329.87</v>
      </c>
    </row>
    <row r="1372" spans="1:10" x14ac:dyDescent="0.25">
      <c r="A1372" s="1">
        <v>45502</v>
      </c>
      <c r="B1372" t="s">
        <v>1387</v>
      </c>
      <c r="C1372" t="s">
        <v>6</v>
      </c>
      <c r="D1372" s="2">
        <v>1610.7</v>
      </c>
      <c r="E1372" t="s">
        <v>7</v>
      </c>
      <c r="F1372" t="s">
        <v>1573</v>
      </c>
      <c r="G1372">
        <v>2024</v>
      </c>
      <c r="H1372">
        <f>IF(Table1_1[[#This Row],[Type]]="Expense", _xlfn.XLOOKUP(Table1_1[[#This Row],[Category]], Budget_Ref[Category], Budget_Ref[Monthly Budget], 0), 0)</f>
        <v>500</v>
      </c>
      <c r="I1372" t="str">
        <f>IF(Table1_1[[#This Row],[Type]]="Expense", IF(Table1_1[[#This Row],[Amount]]&gt;Table1_1[[#This Row],[Monthly Budget]], "Over Budget", "OK"), "-")</f>
        <v>Over Budget</v>
      </c>
      <c r="J1372">
        <f>IF(Table1_1[[#This Row],[Type]]="Income", Table1_1[[#This Row],[Amount]], -Table1_1[[#This Row],[Amount]])</f>
        <v>-1610.7</v>
      </c>
    </row>
    <row r="1373" spans="1:10" x14ac:dyDescent="0.25">
      <c r="A1373" s="1">
        <v>45503</v>
      </c>
      <c r="B1373" t="s">
        <v>1388</v>
      </c>
      <c r="C1373" t="s">
        <v>27</v>
      </c>
      <c r="D1373" s="2">
        <v>1852.46</v>
      </c>
      <c r="E1373" t="s">
        <v>14</v>
      </c>
      <c r="F1373" t="s">
        <v>1573</v>
      </c>
      <c r="G1373">
        <v>2024</v>
      </c>
      <c r="H1373">
        <f>IF(Table1_1[[#This Row],[Type]]="Expense", _xlfn.XLOOKUP(Table1_1[[#This Row],[Category]], Budget_Ref[Category], Budget_Ref[Monthly Budget], 0), 0)</f>
        <v>0</v>
      </c>
      <c r="I1373" t="str">
        <f>IF(Table1_1[[#This Row],[Type]]="Expense", IF(Table1_1[[#This Row],[Amount]]&gt;Table1_1[[#This Row],[Monthly Budget]], "Over Budget", "OK"), "-")</f>
        <v>-</v>
      </c>
      <c r="J1373">
        <f>IF(Table1_1[[#This Row],[Type]]="Income", Table1_1[[#This Row],[Amount]], -Table1_1[[#This Row],[Amount]])</f>
        <v>1852.46</v>
      </c>
    </row>
    <row r="1374" spans="1:10" x14ac:dyDescent="0.25">
      <c r="A1374" s="1">
        <v>45503</v>
      </c>
      <c r="B1374" t="s">
        <v>1389</v>
      </c>
      <c r="C1374" t="s">
        <v>11</v>
      </c>
      <c r="D1374" s="2">
        <v>533.54999999999995</v>
      </c>
      <c r="E1374" t="s">
        <v>7</v>
      </c>
      <c r="F1374" t="s">
        <v>1573</v>
      </c>
      <c r="G1374">
        <v>2024</v>
      </c>
      <c r="H1374">
        <f>IF(Table1_1[[#This Row],[Type]]="Expense", _xlfn.XLOOKUP(Table1_1[[#This Row],[Category]], Budget_Ref[Category], Budget_Ref[Monthly Budget], 0), 0)</f>
        <v>1500</v>
      </c>
      <c r="I1374" t="str">
        <f>IF(Table1_1[[#This Row],[Type]]="Expense", IF(Table1_1[[#This Row],[Amount]]&gt;Table1_1[[#This Row],[Monthly Budget]], "Over Budget", "OK"), "-")</f>
        <v>OK</v>
      </c>
      <c r="J1374">
        <f>IF(Table1_1[[#This Row],[Type]]="Income", Table1_1[[#This Row],[Amount]], -Table1_1[[#This Row],[Amount]])</f>
        <v>-533.54999999999995</v>
      </c>
    </row>
    <row r="1375" spans="1:10" x14ac:dyDescent="0.25">
      <c r="A1375" s="1">
        <v>45505</v>
      </c>
      <c r="B1375" t="s">
        <v>1390</v>
      </c>
      <c r="C1375" t="s">
        <v>6</v>
      </c>
      <c r="D1375" s="2">
        <v>1451.74</v>
      </c>
      <c r="E1375" t="s">
        <v>7</v>
      </c>
      <c r="F1375" t="s">
        <v>1574</v>
      </c>
      <c r="G1375">
        <v>2024</v>
      </c>
      <c r="H1375">
        <f>IF(Table1_1[[#This Row],[Type]]="Expense", _xlfn.XLOOKUP(Table1_1[[#This Row],[Category]], Budget_Ref[Category], Budget_Ref[Monthly Budget], 0), 0)</f>
        <v>500</v>
      </c>
      <c r="I1375" t="str">
        <f>IF(Table1_1[[#This Row],[Type]]="Expense", IF(Table1_1[[#This Row],[Amount]]&gt;Table1_1[[#This Row],[Monthly Budget]], "Over Budget", "OK"), "-")</f>
        <v>Over Budget</v>
      </c>
      <c r="J1375">
        <f>IF(Table1_1[[#This Row],[Type]]="Income", Table1_1[[#This Row],[Amount]], -Table1_1[[#This Row],[Amount]])</f>
        <v>-1451.74</v>
      </c>
    </row>
    <row r="1376" spans="1:10" x14ac:dyDescent="0.25">
      <c r="A1376" s="1">
        <v>45506</v>
      </c>
      <c r="B1376" t="s">
        <v>1391</v>
      </c>
      <c r="C1376" t="s">
        <v>17</v>
      </c>
      <c r="D1376" s="2">
        <v>1231.79</v>
      </c>
      <c r="E1376" t="s">
        <v>7</v>
      </c>
      <c r="F1376" t="s">
        <v>1574</v>
      </c>
      <c r="G1376">
        <v>2024</v>
      </c>
      <c r="H1376">
        <f>IF(Table1_1[[#This Row],[Type]]="Expense", _xlfn.XLOOKUP(Table1_1[[#This Row],[Category]], Budget_Ref[Category], Budget_Ref[Monthly Budget], 0), 0)</f>
        <v>300</v>
      </c>
      <c r="I1376" t="str">
        <f>IF(Table1_1[[#This Row],[Type]]="Expense", IF(Table1_1[[#This Row],[Amount]]&gt;Table1_1[[#This Row],[Monthly Budget]], "Over Budget", "OK"), "-")</f>
        <v>Over Budget</v>
      </c>
      <c r="J1376">
        <f>IF(Table1_1[[#This Row],[Type]]="Income", Table1_1[[#This Row],[Amount]], -Table1_1[[#This Row],[Amount]])</f>
        <v>-1231.79</v>
      </c>
    </row>
    <row r="1377" spans="1:10" x14ac:dyDescent="0.25">
      <c r="A1377" s="1">
        <v>45506</v>
      </c>
      <c r="B1377" t="s">
        <v>1392</v>
      </c>
      <c r="C1377" t="s">
        <v>6</v>
      </c>
      <c r="D1377" s="2">
        <v>1891.97</v>
      </c>
      <c r="E1377" t="s">
        <v>7</v>
      </c>
      <c r="F1377" t="s">
        <v>1574</v>
      </c>
      <c r="G1377">
        <v>2024</v>
      </c>
      <c r="H1377">
        <f>IF(Table1_1[[#This Row],[Type]]="Expense", _xlfn.XLOOKUP(Table1_1[[#This Row],[Category]], Budget_Ref[Category], Budget_Ref[Monthly Budget], 0), 0)</f>
        <v>500</v>
      </c>
      <c r="I1377" t="str">
        <f>IF(Table1_1[[#This Row],[Type]]="Expense", IF(Table1_1[[#This Row],[Amount]]&gt;Table1_1[[#This Row],[Monthly Budget]], "Over Budget", "OK"), "-")</f>
        <v>Over Budget</v>
      </c>
      <c r="J1377">
        <f>IF(Table1_1[[#This Row],[Type]]="Income", Table1_1[[#This Row],[Amount]], -Table1_1[[#This Row],[Amount]])</f>
        <v>-1891.97</v>
      </c>
    </row>
    <row r="1378" spans="1:10" x14ac:dyDescent="0.25">
      <c r="A1378" s="1">
        <v>45507</v>
      </c>
      <c r="B1378" t="s">
        <v>1393</v>
      </c>
      <c r="C1378" t="s">
        <v>27</v>
      </c>
      <c r="D1378" s="2">
        <v>883.55</v>
      </c>
      <c r="E1378" t="s">
        <v>14</v>
      </c>
      <c r="F1378" t="s">
        <v>1574</v>
      </c>
      <c r="G1378">
        <v>2024</v>
      </c>
      <c r="H1378">
        <f>IF(Table1_1[[#This Row],[Type]]="Expense", _xlfn.XLOOKUP(Table1_1[[#This Row],[Category]], Budget_Ref[Category], Budget_Ref[Monthly Budget], 0), 0)</f>
        <v>0</v>
      </c>
      <c r="I1378" t="str">
        <f>IF(Table1_1[[#This Row],[Type]]="Expense", IF(Table1_1[[#This Row],[Amount]]&gt;Table1_1[[#This Row],[Monthly Budget]], "Over Budget", "OK"), "-")</f>
        <v>-</v>
      </c>
      <c r="J1378">
        <f>IF(Table1_1[[#This Row],[Type]]="Income", Table1_1[[#This Row],[Amount]], -Table1_1[[#This Row],[Amount]])</f>
        <v>883.55</v>
      </c>
    </row>
    <row r="1379" spans="1:10" x14ac:dyDescent="0.25">
      <c r="A1379" s="1">
        <v>45507</v>
      </c>
      <c r="B1379" t="s">
        <v>1394</v>
      </c>
      <c r="C1379" t="s">
        <v>35</v>
      </c>
      <c r="D1379" s="2">
        <v>397.55</v>
      </c>
      <c r="E1379" t="s">
        <v>7</v>
      </c>
      <c r="F1379" t="s">
        <v>1574</v>
      </c>
      <c r="G1379">
        <v>2024</v>
      </c>
      <c r="H1379">
        <f>IF(Table1_1[[#This Row],[Type]]="Expense", _xlfn.XLOOKUP(Table1_1[[#This Row],[Category]], Budget_Ref[Category], Budget_Ref[Monthly Budget], 0), 0)</f>
        <v>200</v>
      </c>
      <c r="I1379" t="str">
        <f>IF(Table1_1[[#This Row],[Type]]="Expense", IF(Table1_1[[#This Row],[Amount]]&gt;Table1_1[[#This Row],[Monthly Budget]], "Over Budget", "OK"), "-")</f>
        <v>Over Budget</v>
      </c>
      <c r="J1379">
        <f>IF(Table1_1[[#This Row],[Type]]="Income", Table1_1[[#This Row],[Amount]], -Table1_1[[#This Row],[Amount]])</f>
        <v>-397.55</v>
      </c>
    </row>
    <row r="1380" spans="1:10" x14ac:dyDescent="0.25">
      <c r="A1380" s="1">
        <v>45512</v>
      </c>
      <c r="B1380" t="s">
        <v>1395</v>
      </c>
      <c r="C1380" t="s">
        <v>22</v>
      </c>
      <c r="D1380" s="2">
        <v>1234.23</v>
      </c>
      <c r="E1380" t="s">
        <v>7</v>
      </c>
      <c r="F1380" t="s">
        <v>1574</v>
      </c>
      <c r="G1380">
        <v>2024</v>
      </c>
      <c r="H1380">
        <f>IF(Table1_1[[#This Row],[Type]]="Expense", _xlfn.XLOOKUP(Table1_1[[#This Row],[Category]], Budget_Ref[Category], Budget_Ref[Monthly Budget], 0), 0)</f>
        <v>200</v>
      </c>
      <c r="I1380" t="str">
        <f>IF(Table1_1[[#This Row],[Type]]="Expense", IF(Table1_1[[#This Row],[Amount]]&gt;Table1_1[[#This Row],[Monthly Budget]], "Over Budget", "OK"), "-")</f>
        <v>Over Budget</v>
      </c>
      <c r="J1380">
        <f>IF(Table1_1[[#This Row],[Type]]="Income", Table1_1[[#This Row],[Amount]], -Table1_1[[#This Row],[Amount]])</f>
        <v>-1234.23</v>
      </c>
    </row>
    <row r="1381" spans="1:10" x14ac:dyDescent="0.25">
      <c r="A1381" s="1">
        <v>45513</v>
      </c>
      <c r="B1381" t="s">
        <v>1396</v>
      </c>
      <c r="C1381" t="s">
        <v>25</v>
      </c>
      <c r="D1381" s="2">
        <v>486.12</v>
      </c>
      <c r="E1381" t="s">
        <v>7</v>
      </c>
      <c r="F1381" t="s">
        <v>1574</v>
      </c>
      <c r="G1381">
        <v>2024</v>
      </c>
      <c r="H1381">
        <f>IF(Table1_1[[#This Row],[Type]]="Expense", _xlfn.XLOOKUP(Table1_1[[#This Row],[Category]], Budget_Ref[Category], Budget_Ref[Monthly Budget], 0), 0)</f>
        <v>150</v>
      </c>
      <c r="I1381" t="str">
        <f>IF(Table1_1[[#This Row],[Type]]="Expense", IF(Table1_1[[#This Row],[Amount]]&gt;Table1_1[[#This Row],[Monthly Budget]], "Over Budget", "OK"), "-")</f>
        <v>Over Budget</v>
      </c>
      <c r="J1381">
        <f>IF(Table1_1[[#This Row],[Type]]="Income", Table1_1[[#This Row],[Amount]], -Table1_1[[#This Row],[Amount]])</f>
        <v>-486.12</v>
      </c>
    </row>
    <row r="1382" spans="1:10" x14ac:dyDescent="0.25">
      <c r="A1382" s="1">
        <v>45515</v>
      </c>
      <c r="B1382" t="s">
        <v>1397</v>
      </c>
      <c r="C1382" t="s">
        <v>13</v>
      </c>
      <c r="D1382" s="2">
        <v>1211</v>
      </c>
      <c r="E1382" t="s">
        <v>14</v>
      </c>
      <c r="F1382" t="s">
        <v>1574</v>
      </c>
      <c r="G1382">
        <v>2024</v>
      </c>
      <c r="H1382">
        <f>IF(Table1_1[[#This Row],[Type]]="Expense", _xlfn.XLOOKUP(Table1_1[[#This Row],[Category]], Budget_Ref[Category], Budget_Ref[Monthly Budget], 0), 0)</f>
        <v>0</v>
      </c>
      <c r="I1382" t="str">
        <f>IF(Table1_1[[#This Row],[Type]]="Expense", IF(Table1_1[[#This Row],[Amount]]&gt;Table1_1[[#This Row],[Monthly Budget]], "Over Budget", "OK"), "-")</f>
        <v>-</v>
      </c>
      <c r="J1382">
        <f>IF(Table1_1[[#This Row],[Type]]="Income", Table1_1[[#This Row],[Amount]], -Table1_1[[#This Row],[Amount]])</f>
        <v>1211</v>
      </c>
    </row>
    <row r="1383" spans="1:10" x14ac:dyDescent="0.25">
      <c r="A1383" s="1">
        <v>45518</v>
      </c>
      <c r="B1383" t="s">
        <v>1398</v>
      </c>
      <c r="C1383" t="s">
        <v>17</v>
      </c>
      <c r="D1383" s="2">
        <v>712.72</v>
      </c>
      <c r="E1383" t="s">
        <v>7</v>
      </c>
      <c r="F1383" t="s">
        <v>1574</v>
      </c>
      <c r="G1383">
        <v>2024</v>
      </c>
      <c r="H1383">
        <f>IF(Table1_1[[#This Row],[Type]]="Expense", _xlfn.XLOOKUP(Table1_1[[#This Row],[Category]], Budget_Ref[Category], Budget_Ref[Monthly Budget], 0), 0)</f>
        <v>300</v>
      </c>
      <c r="I1383" t="str">
        <f>IF(Table1_1[[#This Row],[Type]]="Expense", IF(Table1_1[[#This Row],[Amount]]&gt;Table1_1[[#This Row],[Monthly Budget]], "Over Budget", "OK"), "-")</f>
        <v>Over Budget</v>
      </c>
      <c r="J1383">
        <f>IF(Table1_1[[#This Row],[Type]]="Income", Table1_1[[#This Row],[Amount]], -Table1_1[[#This Row],[Amount]])</f>
        <v>-712.72</v>
      </c>
    </row>
    <row r="1384" spans="1:10" x14ac:dyDescent="0.25">
      <c r="A1384" s="1">
        <v>45518</v>
      </c>
      <c r="B1384" t="s">
        <v>1399</v>
      </c>
      <c r="C1384" t="s">
        <v>22</v>
      </c>
      <c r="D1384" s="2">
        <v>1040.31</v>
      </c>
      <c r="E1384" t="s">
        <v>7</v>
      </c>
      <c r="F1384" t="s">
        <v>1574</v>
      </c>
      <c r="G1384">
        <v>2024</v>
      </c>
      <c r="H1384">
        <f>IF(Table1_1[[#This Row],[Type]]="Expense", _xlfn.XLOOKUP(Table1_1[[#This Row],[Category]], Budget_Ref[Category], Budget_Ref[Monthly Budget], 0), 0)</f>
        <v>200</v>
      </c>
      <c r="I1384" t="str">
        <f>IF(Table1_1[[#This Row],[Type]]="Expense", IF(Table1_1[[#This Row],[Amount]]&gt;Table1_1[[#This Row],[Monthly Budget]], "Over Budget", "OK"), "-")</f>
        <v>Over Budget</v>
      </c>
      <c r="J1384">
        <f>IF(Table1_1[[#This Row],[Type]]="Income", Table1_1[[#This Row],[Amount]], -Table1_1[[#This Row],[Amount]])</f>
        <v>-1040.31</v>
      </c>
    </row>
    <row r="1385" spans="1:10" x14ac:dyDescent="0.25">
      <c r="A1385" s="1">
        <v>45518</v>
      </c>
      <c r="B1385" t="s">
        <v>1400</v>
      </c>
      <c r="C1385" t="s">
        <v>11</v>
      </c>
      <c r="D1385" s="2">
        <v>1839.16</v>
      </c>
      <c r="E1385" t="s">
        <v>7</v>
      </c>
      <c r="F1385" t="s">
        <v>1574</v>
      </c>
      <c r="G1385">
        <v>2024</v>
      </c>
      <c r="H1385">
        <f>IF(Table1_1[[#This Row],[Type]]="Expense", _xlfn.XLOOKUP(Table1_1[[#This Row],[Category]], Budget_Ref[Category], Budget_Ref[Monthly Budget], 0), 0)</f>
        <v>1500</v>
      </c>
      <c r="I1385" t="str">
        <f>IF(Table1_1[[#This Row],[Type]]="Expense", IF(Table1_1[[#This Row],[Amount]]&gt;Table1_1[[#This Row],[Monthly Budget]], "Over Budget", "OK"), "-")</f>
        <v>Over Budget</v>
      </c>
      <c r="J1385">
        <f>IF(Table1_1[[#This Row],[Type]]="Income", Table1_1[[#This Row],[Amount]], -Table1_1[[#This Row],[Amount]])</f>
        <v>-1839.16</v>
      </c>
    </row>
    <row r="1386" spans="1:10" x14ac:dyDescent="0.25">
      <c r="A1386" s="1">
        <v>45519</v>
      </c>
      <c r="B1386" t="s">
        <v>1401</v>
      </c>
      <c r="C1386" t="s">
        <v>25</v>
      </c>
      <c r="D1386" s="2">
        <v>701.48</v>
      </c>
      <c r="E1386" t="s">
        <v>7</v>
      </c>
      <c r="F1386" t="s">
        <v>1574</v>
      </c>
      <c r="G1386">
        <v>2024</v>
      </c>
      <c r="H1386">
        <f>IF(Table1_1[[#This Row],[Type]]="Expense", _xlfn.XLOOKUP(Table1_1[[#This Row],[Category]], Budget_Ref[Category], Budget_Ref[Monthly Budget], 0), 0)</f>
        <v>150</v>
      </c>
      <c r="I1386" t="str">
        <f>IF(Table1_1[[#This Row],[Type]]="Expense", IF(Table1_1[[#This Row],[Amount]]&gt;Table1_1[[#This Row],[Monthly Budget]], "Over Budget", "OK"), "-")</f>
        <v>Over Budget</v>
      </c>
      <c r="J1386">
        <f>IF(Table1_1[[#This Row],[Type]]="Income", Table1_1[[#This Row],[Amount]], -Table1_1[[#This Row],[Amount]])</f>
        <v>-701.48</v>
      </c>
    </row>
    <row r="1387" spans="1:10" x14ac:dyDescent="0.25">
      <c r="A1387" s="1">
        <v>45526</v>
      </c>
      <c r="B1387" t="s">
        <v>1402</v>
      </c>
      <c r="C1387" t="s">
        <v>22</v>
      </c>
      <c r="D1387" s="2">
        <v>1216.6600000000001</v>
      </c>
      <c r="E1387" t="s">
        <v>7</v>
      </c>
      <c r="F1387" t="s">
        <v>1574</v>
      </c>
      <c r="G1387">
        <v>2024</v>
      </c>
      <c r="H1387">
        <f>IF(Table1_1[[#This Row],[Type]]="Expense", _xlfn.XLOOKUP(Table1_1[[#This Row],[Category]], Budget_Ref[Category], Budget_Ref[Monthly Budget], 0), 0)</f>
        <v>200</v>
      </c>
      <c r="I1387" t="str">
        <f>IF(Table1_1[[#This Row],[Type]]="Expense", IF(Table1_1[[#This Row],[Amount]]&gt;Table1_1[[#This Row],[Monthly Budget]], "Over Budget", "OK"), "-")</f>
        <v>Over Budget</v>
      </c>
      <c r="J1387">
        <f>IF(Table1_1[[#This Row],[Type]]="Income", Table1_1[[#This Row],[Amount]], -Table1_1[[#This Row],[Amount]])</f>
        <v>-1216.6600000000001</v>
      </c>
    </row>
    <row r="1388" spans="1:10" x14ac:dyDescent="0.25">
      <c r="A1388" s="1">
        <v>45527</v>
      </c>
      <c r="B1388" t="s">
        <v>1403</v>
      </c>
      <c r="C1388" t="s">
        <v>20</v>
      </c>
      <c r="D1388" s="2">
        <v>538</v>
      </c>
      <c r="E1388" t="s">
        <v>14</v>
      </c>
      <c r="F1388" t="s">
        <v>1574</v>
      </c>
      <c r="G1388">
        <v>2024</v>
      </c>
      <c r="H1388">
        <f>IF(Table1_1[[#This Row],[Type]]="Expense", _xlfn.XLOOKUP(Table1_1[[#This Row],[Category]], Budget_Ref[Category], Budget_Ref[Monthly Budget], 0), 0)</f>
        <v>0</v>
      </c>
      <c r="I1388" t="str">
        <f>IF(Table1_1[[#This Row],[Type]]="Expense", IF(Table1_1[[#This Row],[Amount]]&gt;Table1_1[[#This Row],[Monthly Budget]], "Over Budget", "OK"), "-")</f>
        <v>-</v>
      </c>
      <c r="J1388">
        <f>IF(Table1_1[[#This Row],[Type]]="Income", Table1_1[[#This Row],[Amount]], -Table1_1[[#This Row],[Amount]])</f>
        <v>538</v>
      </c>
    </row>
    <row r="1389" spans="1:10" x14ac:dyDescent="0.25">
      <c r="A1389" s="1">
        <v>45529</v>
      </c>
      <c r="B1389" t="s">
        <v>1404</v>
      </c>
      <c r="C1389" t="s">
        <v>17</v>
      </c>
      <c r="D1389" s="2">
        <v>1017.41</v>
      </c>
      <c r="E1389" t="s">
        <v>7</v>
      </c>
      <c r="F1389" t="s">
        <v>1574</v>
      </c>
      <c r="G1389">
        <v>2024</v>
      </c>
      <c r="H1389">
        <f>IF(Table1_1[[#This Row],[Type]]="Expense", _xlfn.XLOOKUP(Table1_1[[#This Row],[Category]], Budget_Ref[Category], Budget_Ref[Monthly Budget], 0), 0)</f>
        <v>300</v>
      </c>
      <c r="I1389" t="str">
        <f>IF(Table1_1[[#This Row],[Type]]="Expense", IF(Table1_1[[#This Row],[Amount]]&gt;Table1_1[[#This Row],[Monthly Budget]], "Over Budget", "OK"), "-")</f>
        <v>Over Budget</v>
      </c>
      <c r="J1389">
        <f>IF(Table1_1[[#This Row],[Type]]="Income", Table1_1[[#This Row],[Amount]], -Table1_1[[#This Row],[Amount]])</f>
        <v>-1017.41</v>
      </c>
    </row>
    <row r="1390" spans="1:10" x14ac:dyDescent="0.25">
      <c r="A1390" s="1">
        <v>45529</v>
      </c>
      <c r="B1390" t="s">
        <v>1405</v>
      </c>
      <c r="C1390" t="s">
        <v>35</v>
      </c>
      <c r="D1390" s="2">
        <v>686.53</v>
      </c>
      <c r="E1390" t="s">
        <v>7</v>
      </c>
      <c r="F1390" t="s">
        <v>1574</v>
      </c>
      <c r="G1390">
        <v>2024</v>
      </c>
      <c r="H1390">
        <f>IF(Table1_1[[#This Row],[Type]]="Expense", _xlfn.XLOOKUP(Table1_1[[#This Row],[Category]], Budget_Ref[Category], Budget_Ref[Monthly Budget], 0), 0)</f>
        <v>200</v>
      </c>
      <c r="I1390" t="str">
        <f>IF(Table1_1[[#This Row],[Type]]="Expense", IF(Table1_1[[#This Row],[Amount]]&gt;Table1_1[[#This Row],[Monthly Budget]], "Over Budget", "OK"), "-")</f>
        <v>Over Budget</v>
      </c>
      <c r="J1390">
        <f>IF(Table1_1[[#This Row],[Type]]="Income", Table1_1[[#This Row],[Amount]], -Table1_1[[#This Row],[Amount]])</f>
        <v>-686.53</v>
      </c>
    </row>
    <row r="1391" spans="1:10" x14ac:dyDescent="0.25">
      <c r="A1391" s="1">
        <v>45529</v>
      </c>
      <c r="B1391" t="s">
        <v>1406</v>
      </c>
      <c r="C1391" t="s">
        <v>20</v>
      </c>
      <c r="D1391" s="2">
        <v>4906</v>
      </c>
      <c r="E1391" t="s">
        <v>14</v>
      </c>
      <c r="F1391" t="s">
        <v>1574</v>
      </c>
      <c r="G1391">
        <v>2024</v>
      </c>
      <c r="H1391">
        <f>IF(Table1_1[[#This Row],[Type]]="Expense", _xlfn.XLOOKUP(Table1_1[[#This Row],[Category]], Budget_Ref[Category], Budget_Ref[Monthly Budget], 0), 0)</f>
        <v>0</v>
      </c>
      <c r="I1391" t="str">
        <f>IF(Table1_1[[#This Row],[Type]]="Expense", IF(Table1_1[[#This Row],[Amount]]&gt;Table1_1[[#This Row],[Monthly Budget]], "Over Budget", "OK"), "-")</f>
        <v>-</v>
      </c>
      <c r="J1391">
        <f>IF(Table1_1[[#This Row],[Type]]="Income", Table1_1[[#This Row],[Amount]], -Table1_1[[#This Row],[Amount]])</f>
        <v>4906</v>
      </c>
    </row>
    <row r="1392" spans="1:10" x14ac:dyDescent="0.25">
      <c r="A1392" s="1">
        <v>45531</v>
      </c>
      <c r="B1392" t="s">
        <v>1407</v>
      </c>
      <c r="C1392" t="s">
        <v>35</v>
      </c>
      <c r="D1392" s="2">
        <v>1391.44</v>
      </c>
      <c r="E1392" t="s">
        <v>7</v>
      </c>
      <c r="F1392" t="s">
        <v>1574</v>
      </c>
      <c r="G1392">
        <v>2024</v>
      </c>
      <c r="H1392">
        <f>IF(Table1_1[[#This Row],[Type]]="Expense", _xlfn.XLOOKUP(Table1_1[[#This Row],[Category]], Budget_Ref[Category], Budget_Ref[Monthly Budget], 0), 0)</f>
        <v>200</v>
      </c>
      <c r="I1392" t="str">
        <f>IF(Table1_1[[#This Row],[Type]]="Expense", IF(Table1_1[[#This Row],[Amount]]&gt;Table1_1[[#This Row],[Monthly Budget]], "Over Budget", "OK"), "-")</f>
        <v>Over Budget</v>
      </c>
      <c r="J1392">
        <f>IF(Table1_1[[#This Row],[Type]]="Income", Table1_1[[#This Row],[Amount]], -Table1_1[[#This Row],[Amount]])</f>
        <v>-1391.44</v>
      </c>
    </row>
    <row r="1393" spans="1:10" x14ac:dyDescent="0.25">
      <c r="A1393" s="1">
        <v>45531</v>
      </c>
      <c r="B1393" t="s">
        <v>1408</v>
      </c>
      <c r="C1393" t="s">
        <v>27</v>
      </c>
      <c r="D1393" s="2">
        <v>1542.23</v>
      </c>
      <c r="E1393" t="s">
        <v>14</v>
      </c>
      <c r="F1393" t="s">
        <v>1574</v>
      </c>
      <c r="G1393">
        <v>2024</v>
      </c>
      <c r="H1393">
        <f>IF(Table1_1[[#This Row],[Type]]="Expense", _xlfn.XLOOKUP(Table1_1[[#This Row],[Category]], Budget_Ref[Category], Budget_Ref[Monthly Budget], 0), 0)</f>
        <v>0</v>
      </c>
      <c r="I1393" t="str">
        <f>IF(Table1_1[[#This Row],[Type]]="Expense", IF(Table1_1[[#This Row],[Amount]]&gt;Table1_1[[#This Row],[Monthly Budget]], "Over Budget", "OK"), "-")</f>
        <v>-</v>
      </c>
      <c r="J1393">
        <f>IF(Table1_1[[#This Row],[Type]]="Income", Table1_1[[#This Row],[Amount]], -Table1_1[[#This Row],[Amount]])</f>
        <v>1542.23</v>
      </c>
    </row>
    <row r="1394" spans="1:10" x14ac:dyDescent="0.25">
      <c r="A1394" s="1">
        <v>45532</v>
      </c>
      <c r="B1394" t="s">
        <v>1409</v>
      </c>
      <c r="C1394" t="s">
        <v>27</v>
      </c>
      <c r="D1394" s="2">
        <v>1366.37</v>
      </c>
      <c r="E1394" t="s">
        <v>14</v>
      </c>
      <c r="F1394" t="s">
        <v>1574</v>
      </c>
      <c r="G1394">
        <v>2024</v>
      </c>
      <c r="H1394">
        <f>IF(Table1_1[[#This Row],[Type]]="Expense", _xlfn.XLOOKUP(Table1_1[[#This Row],[Category]], Budget_Ref[Category], Budget_Ref[Monthly Budget], 0), 0)</f>
        <v>0</v>
      </c>
      <c r="I1394" t="str">
        <f>IF(Table1_1[[#This Row],[Type]]="Expense", IF(Table1_1[[#This Row],[Amount]]&gt;Table1_1[[#This Row],[Monthly Budget]], "Over Budget", "OK"), "-")</f>
        <v>-</v>
      </c>
      <c r="J1394">
        <f>IF(Table1_1[[#This Row],[Type]]="Income", Table1_1[[#This Row],[Amount]], -Table1_1[[#This Row],[Amount]])</f>
        <v>1366.37</v>
      </c>
    </row>
    <row r="1395" spans="1:10" x14ac:dyDescent="0.25">
      <c r="A1395" s="1">
        <v>45532</v>
      </c>
      <c r="B1395" t="s">
        <v>1410</v>
      </c>
      <c r="C1395" t="s">
        <v>6</v>
      </c>
      <c r="D1395" s="2">
        <v>969.12</v>
      </c>
      <c r="E1395" t="s">
        <v>7</v>
      </c>
      <c r="F1395" t="s">
        <v>1574</v>
      </c>
      <c r="G1395">
        <v>2024</v>
      </c>
      <c r="H1395">
        <f>IF(Table1_1[[#This Row],[Type]]="Expense", _xlfn.XLOOKUP(Table1_1[[#This Row],[Category]], Budget_Ref[Category], Budget_Ref[Monthly Budget], 0), 0)</f>
        <v>500</v>
      </c>
      <c r="I1395" t="str">
        <f>IF(Table1_1[[#This Row],[Type]]="Expense", IF(Table1_1[[#This Row],[Amount]]&gt;Table1_1[[#This Row],[Monthly Budget]], "Over Budget", "OK"), "-")</f>
        <v>Over Budget</v>
      </c>
      <c r="J1395">
        <f>IF(Table1_1[[#This Row],[Type]]="Income", Table1_1[[#This Row],[Amount]], -Table1_1[[#This Row],[Amount]])</f>
        <v>-969.12</v>
      </c>
    </row>
    <row r="1396" spans="1:10" x14ac:dyDescent="0.25">
      <c r="A1396" s="1">
        <v>45532</v>
      </c>
      <c r="B1396" t="s">
        <v>1411</v>
      </c>
      <c r="C1396" t="s">
        <v>17</v>
      </c>
      <c r="D1396" s="2">
        <v>1270.99</v>
      </c>
      <c r="E1396" t="s">
        <v>7</v>
      </c>
      <c r="F1396" t="s">
        <v>1574</v>
      </c>
      <c r="G1396">
        <v>2024</v>
      </c>
      <c r="H1396">
        <f>IF(Table1_1[[#This Row],[Type]]="Expense", _xlfn.XLOOKUP(Table1_1[[#This Row],[Category]], Budget_Ref[Category], Budget_Ref[Monthly Budget], 0), 0)</f>
        <v>300</v>
      </c>
      <c r="I1396" t="str">
        <f>IF(Table1_1[[#This Row],[Type]]="Expense", IF(Table1_1[[#This Row],[Amount]]&gt;Table1_1[[#This Row],[Monthly Budget]], "Over Budget", "OK"), "-")</f>
        <v>Over Budget</v>
      </c>
      <c r="J1396">
        <f>IF(Table1_1[[#This Row],[Type]]="Income", Table1_1[[#This Row],[Amount]], -Table1_1[[#This Row],[Amount]])</f>
        <v>-1270.99</v>
      </c>
    </row>
    <row r="1397" spans="1:10" x14ac:dyDescent="0.25">
      <c r="A1397" s="1">
        <v>45534</v>
      </c>
      <c r="B1397" t="s">
        <v>1412</v>
      </c>
      <c r="C1397" t="s">
        <v>22</v>
      </c>
      <c r="D1397" s="2">
        <v>1602.32</v>
      </c>
      <c r="E1397" t="s">
        <v>7</v>
      </c>
      <c r="F1397" t="s">
        <v>1574</v>
      </c>
      <c r="G1397">
        <v>2024</v>
      </c>
      <c r="H1397">
        <f>IF(Table1_1[[#This Row],[Type]]="Expense", _xlfn.XLOOKUP(Table1_1[[#This Row],[Category]], Budget_Ref[Category], Budget_Ref[Monthly Budget], 0), 0)</f>
        <v>200</v>
      </c>
      <c r="I1397" t="str">
        <f>IF(Table1_1[[#This Row],[Type]]="Expense", IF(Table1_1[[#This Row],[Amount]]&gt;Table1_1[[#This Row],[Monthly Budget]], "Over Budget", "OK"), "-")</f>
        <v>Over Budget</v>
      </c>
      <c r="J1397">
        <f>IF(Table1_1[[#This Row],[Type]]="Income", Table1_1[[#This Row],[Amount]], -Table1_1[[#This Row],[Amount]])</f>
        <v>-1602.32</v>
      </c>
    </row>
    <row r="1398" spans="1:10" x14ac:dyDescent="0.25">
      <c r="A1398" s="1">
        <v>45536</v>
      </c>
      <c r="B1398" t="s">
        <v>1413</v>
      </c>
      <c r="C1398" t="s">
        <v>25</v>
      </c>
      <c r="D1398" s="2">
        <v>1037.8399999999999</v>
      </c>
      <c r="E1398" t="s">
        <v>7</v>
      </c>
      <c r="F1398" t="s">
        <v>1575</v>
      </c>
      <c r="G1398">
        <v>2024</v>
      </c>
      <c r="H1398">
        <f>IF(Table1_1[[#This Row],[Type]]="Expense", _xlfn.XLOOKUP(Table1_1[[#This Row],[Category]], Budget_Ref[Category], Budget_Ref[Monthly Budget], 0), 0)</f>
        <v>150</v>
      </c>
      <c r="I1398" t="str">
        <f>IF(Table1_1[[#This Row],[Type]]="Expense", IF(Table1_1[[#This Row],[Amount]]&gt;Table1_1[[#This Row],[Monthly Budget]], "Over Budget", "OK"), "-")</f>
        <v>Over Budget</v>
      </c>
      <c r="J1398">
        <f>IF(Table1_1[[#This Row],[Type]]="Income", Table1_1[[#This Row],[Amount]], -Table1_1[[#This Row],[Amount]])</f>
        <v>-1037.8399999999999</v>
      </c>
    </row>
    <row r="1399" spans="1:10" x14ac:dyDescent="0.25">
      <c r="A1399" s="1">
        <v>45537</v>
      </c>
      <c r="B1399" t="s">
        <v>1414</v>
      </c>
      <c r="C1399" t="s">
        <v>20</v>
      </c>
      <c r="D1399" s="2">
        <v>2533</v>
      </c>
      <c r="E1399" t="s">
        <v>14</v>
      </c>
      <c r="F1399" t="s">
        <v>1575</v>
      </c>
      <c r="G1399">
        <v>2024</v>
      </c>
      <c r="H1399">
        <f>IF(Table1_1[[#This Row],[Type]]="Expense", _xlfn.XLOOKUP(Table1_1[[#This Row],[Category]], Budget_Ref[Category], Budget_Ref[Monthly Budget], 0), 0)</f>
        <v>0</v>
      </c>
      <c r="I1399" t="str">
        <f>IF(Table1_1[[#This Row],[Type]]="Expense", IF(Table1_1[[#This Row],[Amount]]&gt;Table1_1[[#This Row],[Monthly Budget]], "Over Budget", "OK"), "-")</f>
        <v>-</v>
      </c>
      <c r="J1399">
        <f>IF(Table1_1[[#This Row],[Type]]="Income", Table1_1[[#This Row],[Amount]], -Table1_1[[#This Row],[Amount]])</f>
        <v>2533</v>
      </c>
    </row>
    <row r="1400" spans="1:10" x14ac:dyDescent="0.25">
      <c r="A1400" s="1">
        <v>45540</v>
      </c>
      <c r="B1400" t="s">
        <v>1415</v>
      </c>
      <c r="C1400" t="s">
        <v>17</v>
      </c>
      <c r="D1400" s="2">
        <v>1350.66</v>
      </c>
      <c r="E1400" t="s">
        <v>7</v>
      </c>
      <c r="F1400" t="s">
        <v>1575</v>
      </c>
      <c r="G1400">
        <v>2024</v>
      </c>
      <c r="H1400">
        <f>IF(Table1_1[[#This Row],[Type]]="Expense", _xlfn.XLOOKUP(Table1_1[[#This Row],[Category]], Budget_Ref[Category], Budget_Ref[Monthly Budget], 0), 0)</f>
        <v>300</v>
      </c>
      <c r="I1400" t="str">
        <f>IF(Table1_1[[#This Row],[Type]]="Expense", IF(Table1_1[[#This Row],[Amount]]&gt;Table1_1[[#This Row],[Monthly Budget]], "Over Budget", "OK"), "-")</f>
        <v>Over Budget</v>
      </c>
      <c r="J1400">
        <f>IF(Table1_1[[#This Row],[Type]]="Income", Table1_1[[#This Row],[Amount]], -Table1_1[[#This Row],[Amount]])</f>
        <v>-1350.66</v>
      </c>
    </row>
    <row r="1401" spans="1:10" x14ac:dyDescent="0.25">
      <c r="A1401" s="1">
        <v>45540</v>
      </c>
      <c r="B1401" t="s">
        <v>1416</v>
      </c>
      <c r="C1401" t="s">
        <v>11</v>
      </c>
      <c r="D1401" s="2">
        <v>1113.56</v>
      </c>
      <c r="E1401" t="s">
        <v>7</v>
      </c>
      <c r="F1401" t="s">
        <v>1575</v>
      </c>
      <c r="G1401">
        <v>2024</v>
      </c>
      <c r="H1401">
        <f>IF(Table1_1[[#This Row],[Type]]="Expense", _xlfn.XLOOKUP(Table1_1[[#This Row],[Category]], Budget_Ref[Category], Budget_Ref[Monthly Budget], 0), 0)</f>
        <v>1500</v>
      </c>
      <c r="I1401" t="str">
        <f>IF(Table1_1[[#This Row],[Type]]="Expense", IF(Table1_1[[#This Row],[Amount]]&gt;Table1_1[[#This Row],[Monthly Budget]], "Over Budget", "OK"), "-")</f>
        <v>OK</v>
      </c>
      <c r="J1401">
        <f>IF(Table1_1[[#This Row],[Type]]="Income", Table1_1[[#This Row],[Amount]], -Table1_1[[#This Row],[Amount]])</f>
        <v>-1113.56</v>
      </c>
    </row>
    <row r="1402" spans="1:10" x14ac:dyDescent="0.25">
      <c r="A1402" s="1">
        <v>45540</v>
      </c>
      <c r="B1402" t="s">
        <v>1417</v>
      </c>
      <c r="C1402" t="s">
        <v>20</v>
      </c>
      <c r="D1402" s="2">
        <v>3396</v>
      </c>
      <c r="E1402" t="s">
        <v>14</v>
      </c>
      <c r="F1402" t="s">
        <v>1575</v>
      </c>
      <c r="G1402">
        <v>2024</v>
      </c>
      <c r="H1402">
        <f>IF(Table1_1[[#This Row],[Type]]="Expense", _xlfn.XLOOKUP(Table1_1[[#This Row],[Category]], Budget_Ref[Category], Budget_Ref[Monthly Budget], 0), 0)</f>
        <v>0</v>
      </c>
      <c r="I1402" t="str">
        <f>IF(Table1_1[[#This Row],[Type]]="Expense", IF(Table1_1[[#This Row],[Amount]]&gt;Table1_1[[#This Row],[Monthly Budget]], "Over Budget", "OK"), "-")</f>
        <v>-</v>
      </c>
      <c r="J1402">
        <f>IF(Table1_1[[#This Row],[Type]]="Income", Table1_1[[#This Row],[Amount]], -Table1_1[[#This Row],[Amount]])</f>
        <v>3396</v>
      </c>
    </row>
    <row r="1403" spans="1:10" x14ac:dyDescent="0.25">
      <c r="A1403" s="1">
        <v>45540</v>
      </c>
      <c r="B1403" t="s">
        <v>1418</v>
      </c>
      <c r="C1403" t="s">
        <v>35</v>
      </c>
      <c r="D1403" s="2">
        <v>373.74</v>
      </c>
      <c r="E1403" t="s">
        <v>7</v>
      </c>
      <c r="F1403" t="s">
        <v>1575</v>
      </c>
      <c r="G1403">
        <v>2024</v>
      </c>
      <c r="H1403">
        <f>IF(Table1_1[[#This Row],[Type]]="Expense", _xlfn.XLOOKUP(Table1_1[[#This Row],[Category]], Budget_Ref[Category], Budget_Ref[Monthly Budget], 0), 0)</f>
        <v>200</v>
      </c>
      <c r="I1403" t="str">
        <f>IF(Table1_1[[#This Row],[Type]]="Expense", IF(Table1_1[[#This Row],[Amount]]&gt;Table1_1[[#This Row],[Monthly Budget]], "Over Budget", "OK"), "-")</f>
        <v>Over Budget</v>
      </c>
      <c r="J1403">
        <f>IF(Table1_1[[#This Row],[Type]]="Income", Table1_1[[#This Row],[Amount]], -Table1_1[[#This Row],[Amount]])</f>
        <v>-373.74</v>
      </c>
    </row>
    <row r="1404" spans="1:10" x14ac:dyDescent="0.25">
      <c r="A1404" s="1">
        <v>45541</v>
      </c>
      <c r="B1404" t="s">
        <v>1419</v>
      </c>
      <c r="C1404" t="s">
        <v>22</v>
      </c>
      <c r="D1404" s="2">
        <v>1003.01</v>
      </c>
      <c r="E1404" t="s">
        <v>7</v>
      </c>
      <c r="F1404" t="s">
        <v>1575</v>
      </c>
      <c r="G1404">
        <v>2024</v>
      </c>
      <c r="H1404">
        <f>IF(Table1_1[[#This Row],[Type]]="Expense", _xlfn.XLOOKUP(Table1_1[[#This Row],[Category]], Budget_Ref[Category], Budget_Ref[Monthly Budget], 0), 0)</f>
        <v>200</v>
      </c>
      <c r="I1404" t="str">
        <f>IF(Table1_1[[#This Row],[Type]]="Expense", IF(Table1_1[[#This Row],[Amount]]&gt;Table1_1[[#This Row],[Monthly Budget]], "Over Budget", "OK"), "-")</f>
        <v>Over Budget</v>
      </c>
      <c r="J1404">
        <f>IF(Table1_1[[#This Row],[Type]]="Income", Table1_1[[#This Row],[Amount]], -Table1_1[[#This Row],[Amount]])</f>
        <v>-1003.01</v>
      </c>
    </row>
    <row r="1405" spans="1:10" x14ac:dyDescent="0.25">
      <c r="A1405" s="1">
        <v>45542</v>
      </c>
      <c r="B1405" t="s">
        <v>1420</v>
      </c>
      <c r="C1405" t="s">
        <v>13</v>
      </c>
      <c r="D1405" s="2">
        <v>2674</v>
      </c>
      <c r="E1405" t="s">
        <v>14</v>
      </c>
      <c r="F1405" t="s">
        <v>1575</v>
      </c>
      <c r="G1405">
        <v>2024</v>
      </c>
      <c r="H1405">
        <f>IF(Table1_1[[#This Row],[Type]]="Expense", _xlfn.XLOOKUP(Table1_1[[#This Row],[Category]], Budget_Ref[Category], Budget_Ref[Monthly Budget], 0), 0)</f>
        <v>0</v>
      </c>
      <c r="I1405" t="str">
        <f>IF(Table1_1[[#This Row],[Type]]="Expense", IF(Table1_1[[#This Row],[Amount]]&gt;Table1_1[[#This Row],[Monthly Budget]], "Over Budget", "OK"), "-")</f>
        <v>-</v>
      </c>
      <c r="J1405">
        <f>IF(Table1_1[[#This Row],[Type]]="Income", Table1_1[[#This Row],[Amount]], -Table1_1[[#This Row],[Amount]])</f>
        <v>2674</v>
      </c>
    </row>
    <row r="1406" spans="1:10" x14ac:dyDescent="0.25">
      <c r="A1406" s="1">
        <v>45543</v>
      </c>
      <c r="B1406" t="s">
        <v>1421</v>
      </c>
      <c r="C1406" t="s">
        <v>22</v>
      </c>
      <c r="D1406" s="2">
        <v>1671.53</v>
      </c>
      <c r="E1406" t="s">
        <v>7</v>
      </c>
      <c r="F1406" t="s">
        <v>1575</v>
      </c>
      <c r="G1406">
        <v>2024</v>
      </c>
      <c r="H1406">
        <f>IF(Table1_1[[#This Row],[Type]]="Expense", _xlfn.XLOOKUP(Table1_1[[#This Row],[Category]], Budget_Ref[Category], Budget_Ref[Monthly Budget], 0), 0)</f>
        <v>200</v>
      </c>
      <c r="I1406" t="str">
        <f>IF(Table1_1[[#This Row],[Type]]="Expense", IF(Table1_1[[#This Row],[Amount]]&gt;Table1_1[[#This Row],[Monthly Budget]], "Over Budget", "OK"), "-")</f>
        <v>Over Budget</v>
      </c>
      <c r="J1406">
        <f>IF(Table1_1[[#This Row],[Type]]="Income", Table1_1[[#This Row],[Amount]], -Table1_1[[#This Row],[Amount]])</f>
        <v>-1671.53</v>
      </c>
    </row>
    <row r="1407" spans="1:10" x14ac:dyDescent="0.25">
      <c r="A1407" s="1">
        <v>45545</v>
      </c>
      <c r="B1407" t="s">
        <v>1422</v>
      </c>
      <c r="C1407" t="s">
        <v>25</v>
      </c>
      <c r="D1407" s="2">
        <v>320.43</v>
      </c>
      <c r="E1407" t="s">
        <v>7</v>
      </c>
      <c r="F1407" t="s">
        <v>1575</v>
      </c>
      <c r="G1407">
        <v>2024</v>
      </c>
      <c r="H1407">
        <f>IF(Table1_1[[#This Row],[Type]]="Expense", _xlfn.XLOOKUP(Table1_1[[#This Row],[Category]], Budget_Ref[Category], Budget_Ref[Monthly Budget], 0), 0)</f>
        <v>150</v>
      </c>
      <c r="I1407" t="str">
        <f>IF(Table1_1[[#This Row],[Type]]="Expense", IF(Table1_1[[#This Row],[Amount]]&gt;Table1_1[[#This Row],[Monthly Budget]], "Over Budget", "OK"), "-")</f>
        <v>Over Budget</v>
      </c>
      <c r="J1407">
        <f>IF(Table1_1[[#This Row],[Type]]="Income", Table1_1[[#This Row],[Amount]], -Table1_1[[#This Row],[Amount]])</f>
        <v>-320.43</v>
      </c>
    </row>
    <row r="1408" spans="1:10" x14ac:dyDescent="0.25">
      <c r="A1408" s="1">
        <v>45548</v>
      </c>
      <c r="B1408" t="s">
        <v>1423</v>
      </c>
      <c r="C1408" t="s">
        <v>13</v>
      </c>
      <c r="D1408" s="2">
        <v>4535</v>
      </c>
      <c r="E1408" t="s">
        <v>14</v>
      </c>
      <c r="F1408" t="s">
        <v>1575</v>
      </c>
      <c r="G1408">
        <v>2024</v>
      </c>
      <c r="H1408">
        <f>IF(Table1_1[[#This Row],[Type]]="Expense", _xlfn.XLOOKUP(Table1_1[[#This Row],[Category]], Budget_Ref[Category], Budget_Ref[Monthly Budget], 0), 0)</f>
        <v>0</v>
      </c>
      <c r="I1408" t="str">
        <f>IF(Table1_1[[#This Row],[Type]]="Expense", IF(Table1_1[[#This Row],[Amount]]&gt;Table1_1[[#This Row],[Monthly Budget]], "Over Budget", "OK"), "-")</f>
        <v>-</v>
      </c>
      <c r="J1408">
        <f>IF(Table1_1[[#This Row],[Type]]="Income", Table1_1[[#This Row],[Amount]], -Table1_1[[#This Row],[Amount]])</f>
        <v>4535</v>
      </c>
    </row>
    <row r="1409" spans="1:10" x14ac:dyDescent="0.25">
      <c r="A1409" s="1">
        <v>45550</v>
      </c>
      <c r="B1409" t="s">
        <v>1424</v>
      </c>
      <c r="C1409" t="s">
        <v>6</v>
      </c>
      <c r="D1409" s="2">
        <v>1697.54</v>
      </c>
      <c r="E1409" t="s">
        <v>7</v>
      </c>
      <c r="F1409" t="s">
        <v>1575</v>
      </c>
      <c r="G1409">
        <v>2024</v>
      </c>
      <c r="H1409">
        <f>IF(Table1_1[[#This Row],[Type]]="Expense", _xlfn.XLOOKUP(Table1_1[[#This Row],[Category]], Budget_Ref[Category], Budget_Ref[Monthly Budget], 0), 0)</f>
        <v>500</v>
      </c>
      <c r="I1409" t="str">
        <f>IF(Table1_1[[#This Row],[Type]]="Expense", IF(Table1_1[[#This Row],[Amount]]&gt;Table1_1[[#This Row],[Monthly Budget]], "Over Budget", "OK"), "-")</f>
        <v>Over Budget</v>
      </c>
      <c r="J1409">
        <f>IF(Table1_1[[#This Row],[Type]]="Income", Table1_1[[#This Row],[Amount]], -Table1_1[[#This Row],[Amount]])</f>
        <v>-1697.54</v>
      </c>
    </row>
    <row r="1410" spans="1:10" x14ac:dyDescent="0.25">
      <c r="A1410" s="1">
        <v>45551</v>
      </c>
      <c r="B1410" t="s">
        <v>1425</v>
      </c>
      <c r="C1410" t="s">
        <v>25</v>
      </c>
      <c r="D1410" s="2">
        <v>989.76</v>
      </c>
      <c r="E1410" t="s">
        <v>7</v>
      </c>
      <c r="F1410" t="s">
        <v>1575</v>
      </c>
      <c r="G1410">
        <v>2024</v>
      </c>
      <c r="H1410">
        <f>IF(Table1_1[[#This Row],[Type]]="Expense", _xlfn.XLOOKUP(Table1_1[[#This Row],[Category]], Budget_Ref[Category], Budget_Ref[Monthly Budget], 0), 0)</f>
        <v>150</v>
      </c>
      <c r="I1410" t="str">
        <f>IF(Table1_1[[#This Row],[Type]]="Expense", IF(Table1_1[[#This Row],[Amount]]&gt;Table1_1[[#This Row],[Monthly Budget]], "Over Budget", "OK"), "-")</f>
        <v>Over Budget</v>
      </c>
      <c r="J1410">
        <f>IF(Table1_1[[#This Row],[Type]]="Income", Table1_1[[#This Row],[Amount]], -Table1_1[[#This Row],[Amount]])</f>
        <v>-989.76</v>
      </c>
    </row>
    <row r="1411" spans="1:10" x14ac:dyDescent="0.25">
      <c r="A1411" s="1">
        <v>45552</v>
      </c>
      <c r="B1411" t="s">
        <v>1426</v>
      </c>
      <c r="C1411" t="s">
        <v>35</v>
      </c>
      <c r="D1411" s="2">
        <v>986.7</v>
      </c>
      <c r="E1411" t="s">
        <v>7</v>
      </c>
      <c r="F1411" t="s">
        <v>1575</v>
      </c>
      <c r="G1411">
        <v>2024</v>
      </c>
      <c r="H1411">
        <f>IF(Table1_1[[#This Row],[Type]]="Expense", _xlfn.XLOOKUP(Table1_1[[#This Row],[Category]], Budget_Ref[Category], Budget_Ref[Monthly Budget], 0), 0)</f>
        <v>200</v>
      </c>
      <c r="I1411" t="str">
        <f>IF(Table1_1[[#This Row],[Type]]="Expense", IF(Table1_1[[#This Row],[Amount]]&gt;Table1_1[[#This Row],[Monthly Budget]], "Over Budget", "OK"), "-")</f>
        <v>Over Budget</v>
      </c>
      <c r="J1411">
        <f>IF(Table1_1[[#This Row],[Type]]="Income", Table1_1[[#This Row],[Amount]], -Table1_1[[#This Row],[Amount]])</f>
        <v>-986.7</v>
      </c>
    </row>
    <row r="1412" spans="1:10" x14ac:dyDescent="0.25">
      <c r="A1412" s="1">
        <v>45552</v>
      </c>
      <c r="B1412" t="s">
        <v>1427</v>
      </c>
      <c r="C1412" t="s">
        <v>35</v>
      </c>
      <c r="D1412" s="2">
        <v>801.78</v>
      </c>
      <c r="E1412" t="s">
        <v>7</v>
      </c>
      <c r="F1412" t="s">
        <v>1575</v>
      </c>
      <c r="G1412">
        <v>2024</v>
      </c>
      <c r="H1412">
        <f>IF(Table1_1[[#This Row],[Type]]="Expense", _xlfn.XLOOKUP(Table1_1[[#This Row],[Category]], Budget_Ref[Category], Budget_Ref[Monthly Budget], 0), 0)</f>
        <v>200</v>
      </c>
      <c r="I1412" t="str">
        <f>IF(Table1_1[[#This Row],[Type]]="Expense", IF(Table1_1[[#This Row],[Amount]]&gt;Table1_1[[#This Row],[Monthly Budget]], "Over Budget", "OK"), "-")</f>
        <v>Over Budget</v>
      </c>
      <c r="J1412">
        <f>IF(Table1_1[[#This Row],[Type]]="Income", Table1_1[[#This Row],[Amount]], -Table1_1[[#This Row],[Amount]])</f>
        <v>-801.78</v>
      </c>
    </row>
    <row r="1413" spans="1:10" x14ac:dyDescent="0.25">
      <c r="A1413" s="1">
        <v>45552</v>
      </c>
      <c r="B1413" t="s">
        <v>1428</v>
      </c>
      <c r="C1413" t="s">
        <v>9</v>
      </c>
      <c r="D1413" s="2">
        <v>117.75</v>
      </c>
      <c r="E1413" t="s">
        <v>7</v>
      </c>
      <c r="F1413" t="s">
        <v>1575</v>
      </c>
      <c r="G1413">
        <v>2024</v>
      </c>
      <c r="H1413">
        <f>IF(Table1_1[[#This Row],[Type]]="Expense", _xlfn.XLOOKUP(Table1_1[[#This Row],[Category]], Budget_Ref[Category], Budget_Ref[Monthly Budget], 0), 0)</f>
        <v>150</v>
      </c>
      <c r="I1413" t="str">
        <f>IF(Table1_1[[#This Row],[Type]]="Expense", IF(Table1_1[[#This Row],[Amount]]&gt;Table1_1[[#This Row],[Monthly Budget]], "Over Budget", "OK"), "-")</f>
        <v>OK</v>
      </c>
      <c r="J1413">
        <f>IF(Table1_1[[#This Row],[Type]]="Income", Table1_1[[#This Row],[Amount]], -Table1_1[[#This Row],[Amount]])</f>
        <v>-117.75</v>
      </c>
    </row>
    <row r="1414" spans="1:10" x14ac:dyDescent="0.25">
      <c r="A1414" s="1">
        <v>45553</v>
      </c>
      <c r="B1414" t="s">
        <v>1429</v>
      </c>
      <c r="C1414" t="s">
        <v>27</v>
      </c>
      <c r="D1414" s="2">
        <v>1879.91</v>
      </c>
      <c r="E1414" t="s">
        <v>14</v>
      </c>
      <c r="F1414" t="s">
        <v>1575</v>
      </c>
      <c r="G1414">
        <v>2024</v>
      </c>
      <c r="H1414">
        <f>IF(Table1_1[[#This Row],[Type]]="Expense", _xlfn.XLOOKUP(Table1_1[[#This Row],[Category]], Budget_Ref[Category], Budget_Ref[Monthly Budget], 0), 0)</f>
        <v>0</v>
      </c>
      <c r="I1414" t="str">
        <f>IF(Table1_1[[#This Row],[Type]]="Expense", IF(Table1_1[[#This Row],[Amount]]&gt;Table1_1[[#This Row],[Monthly Budget]], "Over Budget", "OK"), "-")</f>
        <v>-</v>
      </c>
      <c r="J1414">
        <f>IF(Table1_1[[#This Row],[Type]]="Income", Table1_1[[#This Row],[Amount]], -Table1_1[[#This Row],[Amount]])</f>
        <v>1879.91</v>
      </c>
    </row>
    <row r="1415" spans="1:10" x14ac:dyDescent="0.25">
      <c r="A1415" s="1">
        <v>45556</v>
      </c>
      <c r="B1415" t="s">
        <v>1430</v>
      </c>
      <c r="C1415" t="s">
        <v>20</v>
      </c>
      <c r="D1415" s="2">
        <v>3725</v>
      </c>
      <c r="E1415" t="s">
        <v>14</v>
      </c>
      <c r="F1415" t="s">
        <v>1575</v>
      </c>
      <c r="G1415">
        <v>2024</v>
      </c>
      <c r="H1415">
        <f>IF(Table1_1[[#This Row],[Type]]="Expense", _xlfn.XLOOKUP(Table1_1[[#This Row],[Category]], Budget_Ref[Category], Budget_Ref[Monthly Budget], 0), 0)</f>
        <v>0</v>
      </c>
      <c r="I1415" t="str">
        <f>IF(Table1_1[[#This Row],[Type]]="Expense", IF(Table1_1[[#This Row],[Amount]]&gt;Table1_1[[#This Row],[Monthly Budget]], "Over Budget", "OK"), "-")</f>
        <v>-</v>
      </c>
      <c r="J1415">
        <f>IF(Table1_1[[#This Row],[Type]]="Income", Table1_1[[#This Row],[Amount]], -Table1_1[[#This Row],[Amount]])</f>
        <v>3725</v>
      </c>
    </row>
    <row r="1416" spans="1:10" x14ac:dyDescent="0.25">
      <c r="A1416" s="1">
        <v>45557</v>
      </c>
      <c r="B1416" t="s">
        <v>1431</v>
      </c>
      <c r="C1416" t="s">
        <v>9</v>
      </c>
      <c r="D1416" s="2">
        <v>919.82</v>
      </c>
      <c r="E1416" t="s">
        <v>7</v>
      </c>
      <c r="F1416" t="s">
        <v>1575</v>
      </c>
      <c r="G1416">
        <v>2024</v>
      </c>
      <c r="H1416">
        <f>IF(Table1_1[[#This Row],[Type]]="Expense", _xlfn.XLOOKUP(Table1_1[[#This Row],[Category]], Budget_Ref[Category], Budget_Ref[Monthly Budget], 0), 0)</f>
        <v>150</v>
      </c>
      <c r="I1416" t="str">
        <f>IF(Table1_1[[#This Row],[Type]]="Expense", IF(Table1_1[[#This Row],[Amount]]&gt;Table1_1[[#This Row],[Monthly Budget]], "Over Budget", "OK"), "-")</f>
        <v>Over Budget</v>
      </c>
      <c r="J1416">
        <f>IF(Table1_1[[#This Row],[Type]]="Income", Table1_1[[#This Row],[Amount]], -Table1_1[[#This Row],[Amount]])</f>
        <v>-919.82</v>
      </c>
    </row>
    <row r="1417" spans="1:10" x14ac:dyDescent="0.25">
      <c r="A1417" s="1">
        <v>45558</v>
      </c>
      <c r="B1417" t="s">
        <v>1432</v>
      </c>
      <c r="C1417" t="s">
        <v>20</v>
      </c>
      <c r="D1417" s="2">
        <v>3085</v>
      </c>
      <c r="E1417" t="s">
        <v>14</v>
      </c>
      <c r="F1417" t="s">
        <v>1575</v>
      </c>
      <c r="G1417">
        <v>2024</v>
      </c>
      <c r="H1417">
        <f>IF(Table1_1[[#This Row],[Type]]="Expense", _xlfn.XLOOKUP(Table1_1[[#This Row],[Category]], Budget_Ref[Category], Budget_Ref[Monthly Budget], 0), 0)</f>
        <v>0</v>
      </c>
      <c r="I1417" t="str">
        <f>IF(Table1_1[[#This Row],[Type]]="Expense", IF(Table1_1[[#This Row],[Amount]]&gt;Table1_1[[#This Row],[Monthly Budget]], "Over Budget", "OK"), "-")</f>
        <v>-</v>
      </c>
      <c r="J1417">
        <f>IF(Table1_1[[#This Row],[Type]]="Income", Table1_1[[#This Row],[Amount]], -Table1_1[[#This Row],[Amount]])</f>
        <v>3085</v>
      </c>
    </row>
    <row r="1418" spans="1:10" x14ac:dyDescent="0.25">
      <c r="A1418" s="1">
        <v>45559</v>
      </c>
      <c r="B1418" t="s">
        <v>1433</v>
      </c>
      <c r="C1418" t="s">
        <v>6</v>
      </c>
      <c r="D1418" s="2">
        <v>1351.47</v>
      </c>
      <c r="E1418" t="s">
        <v>7</v>
      </c>
      <c r="F1418" t="s">
        <v>1575</v>
      </c>
      <c r="G1418">
        <v>2024</v>
      </c>
      <c r="H1418">
        <f>IF(Table1_1[[#This Row],[Type]]="Expense", _xlfn.XLOOKUP(Table1_1[[#This Row],[Category]], Budget_Ref[Category], Budget_Ref[Monthly Budget], 0), 0)</f>
        <v>500</v>
      </c>
      <c r="I1418" t="str">
        <f>IF(Table1_1[[#This Row],[Type]]="Expense", IF(Table1_1[[#This Row],[Amount]]&gt;Table1_1[[#This Row],[Monthly Budget]], "Over Budget", "OK"), "-")</f>
        <v>Over Budget</v>
      </c>
      <c r="J1418">
        <f>IF(Table1_1[[#This Row],[Type]]="Income", Table1_1[[#This Row],[Amount]], -Table1_1[[#This Row],[Amount]])</f>
        <v>-1351.47</v>
      </c>
    </row>
    <row r="1419" spans="1:10" x14ac:dyDescent="0.25">
      <c r="A1419" s="1">
        <v>45560</v>
      </c>
      <c r="B1419" t="s">
        <v>1434</v>
      </c>
      <c r="C1419" t="s">
        <v>11</v>
      </c>
      <c r="D1419" s="2">
        <v>657.62</v>
      </c>
      <c r="E1419" t="s">
        <v>7</v>
      </c>
      <c r="F1419" t="s">
        <v>1575</v>
      </c>
      <c r="G1419">
        <v>2024</v>
      </c>
      <c r="H1419">
        <f>IF(Table1_1[[#This Row],[Type]]="Expense", _xlfn.XLOOKUP(Table1_1[[#This Row],[Category]], Budget_Ref[Category], Budget_Ref[Monthly Budget], 0), 0)</f>
        <v>1500</v>
      </c>
      <c r="I1419" t="str">
        <f>IF(Table1_1[[#This Row],[Type]]="Expense", IF(Table1_1[[#This Row],[Amount]]&gt;Table1_1[[#This Row],[Monthly Budget]], "Over Budget", "OK"), "-")</f>
        <v>OK</v>
      </c>
      <c r="J1419">
        <f>IF(Table1_1[[#This Row],[Type]]="Income", Table1_1[[#This Row],[Amount]], -Table1_1[[#This Row],[Amount]])</f>
        <v>-657.62</v>
      </c>
    </row>
    <row r="1420" spans="1:10" x14ac:dyDescent="0.25">
      <c r="A1420" s="1">
        <v>45561</v>
      </c>
      <c r="B1420" t="s">
        <v>1435</v>
      </c>
      <c r="C1420" t="s">
        <v>35</v>
      </c>
      <c r="D1420" s="2">
        <v>382.43</v>
      </c>
      <c r="E1420" t="s">
        <v>7</v>
      </c>
      <c r="F1420" t="s">
        <v>1575</v>
      </c>
      <c r="G1420">
        <v>2024</v>
      </c>
      <c r="H1420">
        <f>IF(Table1_1[[#This Row],[Type]]="Expense", _xlfn.XLOOKUP(Table1_1[[#This Row],[Category]], Budget_Ref[Category], Budget_Ref[Monthly Budget], 0), 0)</f>
        <v>200</v>
      </c>
      <c r="I1420" t="str">
        <f>IF(Table1_1[[#This Row],[Type]]="Expense", IF(Table1_1[[#This Row],[Amount]]&gt;Table1_1[[#This Row],[Monthly Budget]], "Over Budget", "OK"), "-")</f>
        <v>Over Budget</v>
      </c>
      <c r="J1420">
        <f>IF(Table1_1[[#This Row],[Type]]="Income", Table1_1[[#This Row],[Amount]], -Table1_1[[#This Row],[Amount]])</f>
        <v>-382.43</v>
      </c>
    </row>
    <row r="1421" spans="1:10" x14ac:dyDescent="0.25">
      <c r="A1421" s="1">
        <v>45561</v>
      </c>
      <c r="B1421" t="s">
        <v>1436</v>
      </c>
      <c r="C1421" t="s">
        <v>35</v>
      </c>
      <c r="D1421" s="2">
        <v>947.98</v>
      </c>
      <c r="E1421" t="s">
        <v>7</v>
      </c>
      <c r="F1421" t="s">
        <v>1575</v>
      </c>
      <c r="G1421">
        <v>2024</v>
      </c>
      <c r="H1421">
        <f>IF(Table1_1[[#This Row],[Type]]="Expense", _xlfn.XLOOKUP(Table1_1[[#This Row],[Category]], Budget_Ref[Category], Budget_Ref[Monthly Budget], 0), 0)</f>
        <v>200</v>
      </c>
      <c r="I1421" t="str">
        <f>IF(Table1_1[[#This Row],[Type]]="Expense", IF(Table1_1[[#This Row],[Amount]]&gt;Table1_1[[#This Row],[Monthly Budget]], "Over Budget", "OK"), "-")</f>
        <v>Over Budget</v>
      </c>
      <c r="J1421">
        <f>IF(Table1_1[[#This Row],[Type]]="Income", Table1_1[[#This Row],[Amount]], -Table1_1[[#This Row],[Amount]])</f>
        <v>-947.98</v>
      </c>
    </row>
    <row r="1422" spans="1:10" x14ac:dyDescent="0.25">
      <c r="A1422" s="1">
        <v>45562</v>
      </c>
      <c r="B1422" t="s">
        <v>1437</v>
      </c>
      <c r="C1422" t="s">
        <v>25</v>
      </c>
      <c r="D1422" s="2">
        <v>375.99</v>
      </c>
      <c r="E1422" t="s">
        <v>7</v>
      </c>
      <c r="F1422" t="s">
        <v>1575</v>
      </c>
      <c r="G1422">
        <v>2024</v>
      </c>
      <c r="H1422">
        <f>IF(Table1_1[[#This Row],[Type]]="Expense", _xlfn.XLOOKUP(Table1_1[[#This Row],[Category]], Budget_Ref[Category], Budget_Ref[Monthly Budget], 0), 0)</f>
        <v>150</v>
      </c>
      <c r="I1422" t="str">
        <f>IF(Table1_1[[#This Row],[Type]]="Expense", IF(Table1_1[[#This Row],[Amount]]&gt;Table1_1[[#This Row],[Monthly Budget]], "Over Budget", "OK"), "-")</f>
        <v>Over Budget</v>
      </c>
      <c r="J1422">
        <f>IF(Table1_1[[#This Row],[Type]]="Income", Table1_1[[#This Row],[Amount]], -Table1_1[[#This Row],[Amount]])</f>
        <v>-375.99</v>
      </c>
    </row>
    <row r="1423" spans="1:10" x14ac:dyDescent="0.25">
      <c r="A1423" s="1">
        <v>45562</v>
      </c>
      <c r="B1423" t="s">
        <v>1438</v>
      </c>
      <c r="C1423" t="s">
        <v>17</v>
      </c>
      <c r="D1423" s="2">
        <v>1404.42</v>
      </c>
      <c r="E1423" t="s">
        <v>7</v>
      </c>
      <c r="F1423" t="s">
        <v>1575</v>
      </c>
      <c r="G1423">
        <v>2024</v>
      </c>
      <c r="H1423">
        <f>IF(Table1_1[[#This Row],[Type]]="Expense", _xlfn.XLOOKUP(Table1_1[[#This Row],[Category]], Budget_Ref[Category], Budget_Ref[Monthly Budget], 0), 0)</f>
        <v>300</v>
      </c>
      <c r="I1423" t="str">
        <f>IF(Table1_1[[#This Row],[Type]]="Expense", IF(Table1_1[[#This Row],[Amount]]&gt;Table1_1[[#This Row],[Monthly Budget]], "Over Budget", "OK"), "-")</f>
        <v>Over Budget</v>
      </c>
      <c r="J1423">
        <f>IF(Table1_1[[#This Row],[Type]]="Income", Table1_1[[#This Row],[Amount]], -Table1_1[[#This Row],[Amount]])</f>
        <v>-1404.42</v>
      </c>
    </row>
    <row r="1424" spans="1:10" x14ac:dyDescent="0.25">
      <c r="A1424" s="1">
        <v>45566</v>
      </c>
      <c r="B1424" t="s">
        <v>1439</v>
      </c>
      <c r="C1424" t="s">
        <v>17</v>
      </c>
      <c r="D1424" s="2">
        <v>566.46</v>
      </c>
      <c r="E1424" t="s">
        <v>7</v>
      </c>
      <c r="F1424" t="s">
        <v>1576</v>
      </c>
      <c r="G1424">
        <v>2024</v>
      </c>
      <c r="H1424">
        <f>IF(Table1_1[[#This Row],[Type]]="Expense", _xlfn.XLOOKUP(Table1_1[[#This Row],[Category]], Budget_Ref[Category], Budget_Ref[Monthly Budget], 0), 0)</f>
        <v>300</v>
      </c>
      <c r="I1424" t="str">
        <f>IF(Table1_1[[#This Row],[Type]]="Expense", IF(Table1_1[[#This Row],[Amount]]&gt;Table1_1[[#This Row],[Monthly Budget]], "Over Budget", "OK"), "-")</f>
        <v>Over Budget</v>
      </c>
      <c r="J1424">
        <f>IF(Table1_1[[#This Row],[Type]]="Income", Table1_1[[#This Row],[Amount]], -Table1_1[[#This Row],[Amount]])</f>
        <v>-566.46</v>
      </c>
    </row>
    <row r="1425" spans="1:10" x14ac:dyDescent="0.25">
      <c r="A1425" s="1">
        <v>45566</v>
      </c>
      <c r="B1425" t="s">
        <v>1440</v>
      </c>
      <c r="C1425" t="s">
        <v>13</v>
      </c>
      <c r="D1425" s="2">
        <v>2372</v>
      </c>
      <c r="E1425" t="s">
        <v>14</v>
      </c>
      <c r="F1425" t="s">
        <v>1576</v>
      </c>
      <c r="G1425">
        <v>2024</v>
      </c>
      <c r="H1425">
        <f>IF(Table1_1[[#This Row],[Type]]="Expense", _xlfn.XLOOKUP(Table1_1[[#This Row],[Category]], Budget_Ref[Category], Budget_Ref[Monthly Budget], 0), 0)</f>
        <v>0</v>
      </c>
      <c r="I1425" t="str">
        <f>IF(Table1_1[[#This Row],[Type]]="Expense", IF(Table1_1[[#This Row],[Amount]]&gt;Table1_1[[#This Row],[Monthly Budget]], "Over Budget", "OK"), "-")</f>
        <v>-</v>
      </c>
      <c r="J1425">
        <f>IF(Table1_1[[#This Row],[Type]]="Income", Table1_1[[#This Row],[Amount]], -Table1_1[[#This Row],[Amount]])</f>
        <v>2372</v>
      </c>
    </row>
    <row r="1426" spans="1:10" x14ac:dyDescent="0.25">
      <c r="A1426" s="1">
        <v>45567</v>
      </c>
      <c r="B1426" t="s">
        <v>1441</v>
      </c>
      <c r="C1426" t="s">
        <v>35</v>
      </c>
      <c r="D1426" s="2">
        <v>1610.13</v>
      </c>
      <c r="E1426" t="s">
        <v>7</v>
      </c>
      <c r="F1426" t="s">
        <v>1576</v>
      </c>
      <c r="G1426">
        <v>2024</v>
      </c>
      <c r="H1426">
        <f>IF(Table1_1[[#This Row],[Type]]="Expense", _xlfn.XLOOKUP(Table1_1[[#This Row],[Category]], Budget_Ref[Category], Budget_Ref[Monthly Budget], 0), 0)</f>
        <v>200</v>
      </c>
      <c r="I1426" t="str">
        <f>IF(Table1_1[[#This Row],[Type]]="Expense", IF(Table1_1[[#This Row],[Amount]]&gt;Table1_1[[#This Row],[Monthly Budget]], "Over Budget", "OK"), "-")</f>
        <v>Over Budget</v>
      </c>
      <c r="J1426">
        <f>IF(Table1_1[[#This Row],[Type]]="Income", Table1_1[[#This Row],[Amount]], -Table1_1[[#This Row],[Amount]])</f>
        <v>-1610.13</v>
      </c>
    </row>
    <row r="1427" spans="1:10" x14ac:dyDescent="0.25">
      <c r="A1427" s="1">
        <v>45567</v>
      </c>
      <c r="B1427" t="s">
        <v>1442</v>
      </c>
      <c r="C1427" t="s">
        <v>17</v>
      </c>
      <c r="D1427" s="2">
        <v>400.17</v>
      </c>
      <c r="E1427" t="s">
        <v>7</v>
      </c>
      <c r="F1427" t="s">
        <v>1576</v>
      </c>
      <c r="G1427">
        <v>2024</v>
      </c>
      <c r="H1427">
        <f>IF(Table1_1[[#This Row],[Type]]="Expense", _xlfn.XLOOKUP(Table1_1[[#This Row],[Category]], Budget_Ref[Category], Budget_Ref[Monthly Budget], 0), 0)</f>
        <v>300</v>
      </c>
      <c r="I1427" t="str">
        <f>IF(Table1_1[[#This Row],[Type]]="Expense", IF(Table1_1[[#This Row],[Amount]]&gt;Table1_1[[#This Row],[Monthly Budget]], "Over Budget", "OK"), "-")</f>
        <v>Over Budget</v>
      </c>
      <c r="J1427">
        <f>IF(Table1_1[[#This Row],[Type]]="Income", Table1_1[[#This Row],[Amount]], -Table1_1[[#This Row],[Amount]])</f>
        <v>-400.17</v>
      </c>
    </row>
    <row r="1428" spans="1:10" x14ac:dyDescent="0.25">
      <c r="A1428" s="1">
        <v>45568</v>
      </c>
      <c r="B1428" t="s">
        <v>1443</v>
      </c>
      <c r="C1428" t="s">
        <v>9</v>
      </c>
      <c r="D1428" s="2">
        <v>951.24</v>
      </c>
      <c r="E1428" t="s">
        <v>7</v>
      </c>
      <c r="F1428" t="s">
        <v>1576</v>
      </c>
      <c r="G1428">
        <v>2024</v>
      </c>
      <c r="H1428">
        <f>IF(Table1_1[[#This Row],[Type]]="Expense", _xlfn.XLOOKUP(Table1_1[[#This Row],[Category]], Budget_Ref[Category], Budget_Ref[Monthly Budget], 0), 0)</f>
        <v>150</v>
      </c>
      <c r="I1428" t="str">
        <f>IF(Table1_1[[#This Row],[Type]]="Expense", IF(Table1_1[[#This Row],[Amount]]&gt;Table1_1[[#This Row],[Monthly Budget]], "Over Budget", "OK"), "-")</f>
        <v>Over Budget</v>
      </c>
      <c r="J1428">
        <f>IF(Table1_1[[#This Row],[Type]]="Income", Table1_1[[#This Row],[Amount]], -Table1_1[[#This Row],[Amount]])</f>
        <v>-951.24</v>
      </c>
    </row>
    <row r="1429" spans="1:10" x14ac:dyDescent="0.25">
      <c r="A1429" s="1">
        <v>45569</v>
      </c>
      <c r="B1429" t="s">
        <v>1444</v>
      </c>
      <c r="C1429" t="s">
        <v>20</v>
      </c>
      <c r="D1429" s="2">
        <v>4592</v>
      </c>
      <c r="E1429" t="s">
        <v>14</v>
      </c>
      <c r="F1429" t="s">
        <v>1576</v>
      </c>
      <c r="G1429">
        <v>2024</v>
      </c>
      <c r="H1429">
        <f>IF(Table1_1[[#This Row],[Type]]="Expense", _xlfn.XLOOKUP(Table1_1[[#This Row],[Category]], Budget_Ref[Category], Budget_Ref[Monthly Budget], 0), 0)</f>
        <v>0</v>
      </c>
      <c r="I1429" t="str">
        <f>IF(Table1_1[[#This Row],[Type]]="Expense", IF(Table1_1[[#This Row],[Amount]]&gt;Table1_1[[#This Row],[Monthly Budget]], "Over Budget", "OK"), "-")</f>
        <v>-</v>
      </c>
      <c r="J1429">
        <f>IF(Table1_1[[#This Row],[Type]]="Income", Table1_1[[#This Row],[Amount]], -Table1_1[[#This Row],[Amount]])</f>
        <v>4592</v>
      </c>
    </row>
    <row r="1430" spans="1:10" x14ac:dyDescent="0.25">
      <c r="A1430" s="1">
        <v>45569</v>
      </c>
      <c r="B1430" t="s">
        <v>1445</v>
      </c>
      <c r="C1430" t="s">
        <v>20</v>
      </c>
      <c r="D1430" s="2">
        <v>4486</v>
      </c>
      <c r="E1430" t="s">
        <v>14</v>
      </c>
      <c r="F1430" t="s">
        <v>1576</v>
      </c>
      <c r="G1430">
        <v>2024</v>
      </c>
      <c r="H1430">
        <f>IF(Table1_1[[#This Row],[Type]]="Expense", _xlfn.XLOOKUP(Table1_1[[#This Row],[Category]], Budget_Ref[Category], Budget_Ref[Monthly Budget], 0), 0)</f>
        <v>0</v>
      </c>
      <c r="I1430" t="str">
        <f>IF(Table1_1[[#This Row],[Type]]="Expense", IF(Table1_1[[#This Row],[Amount]]&gt;Table1_1[[#This Row],[Monthly Budget]], "Over Budget", "OK"), "-")</f>
        <v>-</v>
      </c>
      <c r="J1430">
        <f>IF(Table1_1[[#This Row],[Type]]="Income", Table1_1[[#This Row],[Amount]], -Table1_1[[#This Row],[Amount]])</f>
        <v>4486</v>
      </c>
    </row>
    <row r="1431" spans="1:10" x14ac:dyDescent="0.25">
      <c r="A1431" s="1">
        <v>45572</v>
      </c>
      <c r="B1431" t="s">
        <v>1446</v>
      </c>
      <c r="C1431" t="s">
        <v>6</v>
      </c>
      <c r="D1431" s="2">
        <v>802.82</v>
      </c>
      <c r="E1431" t="s">
        <v>7</v>
      </c>
      <c r="F1431" t="s">
        <v>1576</v>
      </c>
      <c r="G1431">
        <v>2024</v>
      </c>
      <c r="H1431">
        <f>IF(Table1_1[[#This Row],[Type]]="Expense", _xlfn.XLOOKUP(Table1_1[[#This Row],[Category]], Budget_Ref[Category], Budget_Ref[Monthly Budget], 0), 0)</f>
        <v>500</v>
      </c>
      <c r="I1431" t="str">
        <f>IF(Table1_1[[#This Row],[Type]]="Expense", IF(Table1_1[[#This Row],[Amount]]&gt;Table1_1[[#This Row],[Monthly Budget]], "Over Budget", "OK"), "-")</f>
        <v>Over Budget</v>
      </c>
      <c r="J1431">
        <f>IF(Table1_1[[#This Row],[Type]]="Income", Table1_1[[#This Row],[Amount]], -Table1_1[[#This Row],[Amount]])</f>
        <v>-802.82</v>
      </c>
    </row>
    <row r="1432" spans="1:10" x14ac:dyDescent="0.25">
      <c r="A1432" s="1">
        <v>45573</v>
      </c>
      <c r="B1432" t="s">
        <v>1447</v>
      </c>
      <c r="C1432" t="s">
        <v>6</v>
      </c>
      <c r="D1432" s="2">
        <v>438.78</v>
      </c>
      <c r="E1432" t="s">
        <v>7</v>
      </c>
      <c r="F1432" t="s">
        <v>1576</v>
      </c>
      <c r="G1432">
        <v>2024</v>
      </c>
      <c r="H1432">
        <f>IF(Table1_1[[#This Row],[Type]]="Expense", _xlfn.XLOOKUP(Table1_1[[#This Row],[Category]], Budget_Ref[Category], Budget_Ref[Monthly Budget], 0), 0)</f>
        <v>500</v>
      </c>
      <c r="I1432" t="str">
        <f>IF(Table1_1[[#This Row],[Type]]="Expense", IF(Table1_1[[#This Row],[Amount]]&gt;Table1_1[[#This Row],[Monthly Budget]], "Over Budget", "OK"), "-")</f>
        <v>OK</v>
      </c>
      <c r="J1432">
        <f>IF(Table1_1[[#This Row],[Type]]="Income", Table1_1[[#This Row],[Amount]], -Table1_1[[#This Row],[Amount]])</f>
        <v>-438.78</v>
      </c>
    </row>
    <row r="1433" spans="1:10" x14ac:dyDescent="0.25">
      <c r="A1433" s="1">
        <v>45574</v>
      </c>
      <c r="B1433" t="s">
        <v>1448</v>
      </c>
      <c r="C1433" t="s">
        <v>11</v>
      </c>
      <c r="D1433" s="2">
        <v>905.21</v>
      </c>
      <c r="E1433" t="s">
        <v>7</v>
      </c>
      <c r="F1433" t="s">
        <v>1576</v>
      </c>
      <c r="G1433">
        <v>2024</v>
      </c>
      <c r="H1433">
        <f>IF(Table1_1[[#This Row],[Type]]="Expense", _xlfn.XLOOKUP(Table1_1[[#This Row],[Category]], Budget_Ref[Category], Budget_Ref[Monthly Budget], 0), 0)</f>
        <v>1500</v>
      </c>
      <c r="I1433" t="str">
        <f>IF(Table1_1[[#This Row],[Type]]="Expense", IF(Table1_1[[#This Row],[Amount]]&gt;Table1_1[[#This Row],[Monthly Budget]], "Over Budget", "OK"), "-")</f>
        <v>OK</v>
      </c>
      <c r="J1433">
        <f>IF(Table1_1[[#This Row],[Type]]="Income", Table1_1[[#This Row],[Amount]], -Table1_1[[#This Row],[Amount]])</f>
        <v>-905.21</v>
      </c>
    </row>
    <row r="1434" spans="1:10" x14ac:dyDescent="0.25">
      <c r="A1434" s="1">
        <v>45575</v>
      </c>
      <c r="B1434" t="s">
        <v>1449</v>
      </c>
      <c r="C1434" t="s">
        <v>25</v>
      </c>
      <c r="D1434" s="2">
        <v>727.01</v>
      </c>
      <c r="E1434" t="s">
        <v>7</v>
      </c>
      <c r="F1434" t="s">
        <v>1576</v>
      </c>
      <c r="G1434">
        <v>2024</v>
      </c>
      <c r="H1434">
        <f>IF(Table1_1[[#This Row],[Type]]="Expense", _xlfn.XLOOKUP(Table1_1[[#This Row],[Category]], Budget_Ref[Category], Budget_Ref[Monthly Budget], 0), 0)</f>
        <v>150</v>
      </c>
      <c r="I1434" t="str">
        <f>IF(Table1_1[[#This Row],[Type]]="Expense", IF(Table1_1[[#This Row],[Amount]]&gt;Table1_1[[#This Row],[Monthly Budget]], "Over Budget", "OK"), "-")</f>
        <v>Over Budget</v>
      </c>
      <c r="J1434">
        <f>IF(Table1_1[[#This Row],[Type]]="Income", Table1_1[[#This Row],[Amount]], -Table1_1[[#This Row],[Amount]])</f>
        <v>-727.01</v>
      </c>
    </row>
    <row r="1435" spans="1:10" x14ac:dyDescent="0.25">
      <c r="A1435" s="1">
        <v>45575</v>
      </c>
      <c r="B1435" t="s">
        <v>1450</v>
      </c>
      <c r="C1435" t="s">
        <v>35</v>
      </c>
      <c r="D1435" s="2">
        <v>694.84</v>
      </c>
      <c r="E1435" t="s">
        <v>7</v>
      </c>
      <c r="F1435" t="s">
        <v>1576</v>
      </c>
      <c r="G1435">
        <v>2024</v>
      </c>
      <c r="H1435">
        <f>IF(Table1_1[[#This Row],[Type]]="Expense", _xlfn.XLOOKUP(Table1_1[[#This Row],[Category]], Budget_Ref[Category], Budget_Ref[Monthly Budget], 0), 0)</f>
        <v>200</v>
      </c>
      <c r="I1435" t="str">
        <f>IF(Table1_1[[#This Row],[Type]]="Expense", IF(Table1_1[[#This Row],[Amount]]&gt;Table1_1[[#This Row],[Monthly Budget]], "Over Budget", "OK"), "-")</f>
        <v>Over Budget</v>
      </c>
      <c r="J1435">
        <f>IF(Table1_1[[#This Row],[Type]]="Income", Table1_1[[#This Row],[Amount]], -Table1_1[[#This Row],[Amount]])</f>
        <v>-694.84</v>
      </c>
    </row>
    <row r="1436" spans="1:10" x14ac:dyDescent="0.25">
      <c r="A1436" s="1">
        <v>45576</v>
      </c>
      <c r="B1436" t="s">
        <v>1451</v>
      </c>
      <c r="C1436" t="s">
        <v>25</v>
      </c>
      <c r="D1436" s="2">
        <v>1736.06</v>
      </c>
      <c r="E1436" t="s">
        <v>7</v>
      </c>
      <c r="F1436" t="s">
        <v>1576</v>
      </c>
      <c r="G1436">
        <v>2024</v>
      </c>
      <c r="H1436">
        <f>IF(Table1_1[[#This Row],[Type]]="Expense", _xlfn.XLOOKUP(Table1_1[[#This Row],[Category]], Budget_Ref[Category], Budget_Ref[Monthly Budget], 0), 0)</f>
        <v>150</v>
      </c>
      <c r="I1436" t="str">
        <f>IF(Table1_1[[#This Row],[Type]]="Expense", IF(Table1_1[[#This Row],[Amount]]&gt;Table1_1[[#This Row],[Monthly Budget]], "Over Budget", "OK"), "-")</f>
        <v>Over Budget</v>
      </c>
      <c r="J1436">
        <f>IF(Table1_1[[#This Row],[Type]]="Income", Table1_1[[#This Row],[Amount]], -Table1_1[[#This Row],[Amount]])</f>
        <v>-1736.06</v>
      </c>
    </row>
    <row r="1437" spans="1:10" x14ac:dyDescent="0.25">
      <c r="A1437" s="1">
        <v>45577</v>
      </c>
      <c r="B1437" t="s">
        <v>1452</v>
      </c>
      <c r="C1437" t="s">
        <v>22</v>
      </c>
      <c r="D1437" s="2">
        <v>1157.94</v>
      </c>
      <c r="E1437" t="s">
        <v>7</v>
      </c>
      <c r="F1437" t="s">
        <v>1576</v>
      </c>
      <c r="G1437">
        <v>2024</v>
      </c>
      <c r="H1437">
        <f>IF(Table1_1[[#This Row],[Type]]="Expense", _xlfn.XLOOKUP(Table1_1[[#This Row],[Category]], Budget_Ref[Category], Budget_Ref[Monthly Budget], 0), 0)</f>
        <v>200</v>
      </c>
      <c r="I1437" t="str">
        <f>IF(Table1_1[[#This Row],[Type]]="Expense", IF(Table1_1[[#This Row],[Amount]]&gt;Table1_1[[#This Row],[Monthly Budget]], "Over Budget", "OK"), "-")</f>
        <v>Over Budget</v>
      </c>
      <c r="J1437">
        <f>IF(Table1_1[[#This Row],[Type]]="Income", Table1_1[[#This Row],[Amount]], -Table1_1[[#This Row],[Amount]])</f>
        <v>-1157.94</v>
      </c>
    </row>
    <row r="1438" spans="1:10" x14ac:dyDescent="0.25">
      <c r="A1438" s="1">
        <v>45580</v>
      </c>
      <c r="B1438" t="s">
        <v>1453</v>
      </c>
      <c r="C1438" t="s">
        <v>9</v>
      </c>
      <c r="D1438" s="2">
        <v>1958.95</v>
      </c>
      <c r="E1438" t="s">
        <v>7</v>
      </c>
      <c r="F1438" t="s">
        <v>1576</v>
      </c>
      <c r="G1438">
        <v>2024</v>
      </c>
      <c r="H1438">
        <f>IF(Table1_1[[#This Row],[Type]]="Expense", _xlfn.XLOOKUP(Table1_1[[#This Row],[Category]], Budget_Ref[Category], Budget_Ref[Monthly Budget], 0), 0)</f>
        <v>150</v>
      </c>
      <c r="I1438" t="str">
        <f>IF(Table1_1[[#This Row],[Type]]="Expense", IF(Table1_1[[#This Row],[Amount]]&gt;Table1_1[[#This Row],[Monthly Budget]], "Over Budget", "OK"), "-")</f>
        <v>Over Budget</v>
      </c>
      <c r="J1438">
        <f>IF(Table1_1[[#This Row],[Type]]="Income", Table1_1[[#This Row],[Amount]], -Table1_1[[#This Row],[Amount]])</f>
        <v>-1958.95</v>
      </c>
    </row>
    <row r="1439" spans="1:10" x14ac:dyDescent="0.25">
      <c r="A1439" s="1">
        <v>45582</v>
      </c>
      <c r="B1439" t="s">
        <v>1454</v>
      </c>
      <c r="C1439" t="s">
        <v>25</v>
      </c>
      <c r="D1439" s="2">
        <v>1349.65</v>
      </c>
      <c r="E1439" t="s">
        <v>7</v>
      </c>
      <c r="F1439" t="s">
        <v>1576</v>
      </c>
      <c r="G1439">
        <v>2024</v>
      </c>
      <c r="H1439">
        <f>IF(Table1_1[[#This Row],[Type]]="Expense", _xlfn.XLOOKUP(Table1_1[[#This Row],[Category]], Budget_Ref[Category], Budget_Ref[Monthly Budget], 0), 0)</f>
        <v>150</v>
      </c>
      <c r="I1439" t="str">
        <f>IF(Table1_1[[#This Row],[Type]]="Expense", IF(Table1_1[[#This Row],[Amount]]&gt;Table1_1[[#This Row],[Monthly Budget]], "Over Budget", "OK"), "-")</f>
        <v>Over Budget</v>
      </c>
      <c r="J1439">
        <f>IF(Table1_1[[#This Row],[Type]]="Income", Table1_1[[#This Row],[Amount]], -Table1_1[[#This Row],[Amount]])</f>
        <v>-1349.65</v>
      </c>
    </row>
    <row r="1440" spans="1:10" x14ac:dyDescent="0.25">
      <c r="A1440" s="1">
        <v>45582</v>
      </c>
      <c r="B1440" t="s">
        <v>1455</v>
      </c>
      <c r="C1440" t="s">
        <v>27</v>
      </c>
      <c r="D1440" s="2">
        <v>1780.37</v>
      </c>
      <c r="E1440" t="s">
        <v>14</v>
      </c>
      <c r="F1440" t="s">
        <v>1576</v>
      </c>
      <c r="G1440">
        <v>2024</v>
      </c>
      <c r="H1440">
        <f>IF(Table1_1[[#This Row],[Type]]="Expense", _xlfn.XLOOKUP(Table1_1[[#This Row],[Category]], Budget_Ref[Category], Budget_Ref[Monthly Budget], 0), 0)</f>
        <v>0</v>
      </c>
      <c r="I1440" t="str">
        <f>IF(Table1_1[[#This Row],[Type]]="Expense", IF(Table1_1[[#This Row],[Amount]]&gt;Table1_1[[#This Row],[Monthly Budget]], "Over Budget", "OK"), "-")</f>
        <v>-</v>
      </c>
      <c r="J1440">
        <f>IF(Table1_1[[#This Row],[Type]]="Income", Table1_1[[#This Row],[Amount]], -Table1_1[[#This Row],[Amount]])</f>
        <v>1780.37</v>
      </c>
    </row>
    <row r="1441" spans="1:10" x14ac:dyDescent="0.25">
      <c r="A1441" s="1">
        <v>45583</v>
      </c>
      <c r="B1441" t="s">
        <v>1456</v>
      </c>
      <c r="C1441" t="s">
        <v>35</v>
      </c>
      <c r="D1441" s="2">
        <v>932.87</v>
      </c>
      <c r="E1441" t="s">
        <v>7</v>
      </c>
      <c r="F1441" t="s">
        <v>1576</v>
      </c>
      <c r="G1441">
        <v>2024</v>
      </c>
      <c r="H1441">
        <f>IF(Table1_1[[#This Row],[Type]]="Expense", _xlfn.XLOOKUP(Table1_1[[#This Row],[Category]], Budget_Ref[Category], Budget_Ref[Monthly Budget], 0), 0)</f>
        <v>200</v>
      </c>
      <c r="I1441" t="str">
        <f>IF(Table1_1[[#This Row],[Type]]="Expense", IF(Table1_1[[#This Row],[Amount]]&gt;Table1_1[[#This Row],[Monthly Budget]], "Over Budget", "OK"), "-")</f>
        <v>Over Budget</v>
      </c>
      <c r="J1441">
        <f>IF(Table1_1[[#This Row],[Type]]="Income", Table1_1[[#This Row],[Amount]], -Table1_1[[#This Row],[Amount]])</f>
        <v>-932.87</v>
      </c>
    </row>
    <row r="1442" spans="1:10" x14ac:dyDescent="0.25">
      <c r="A1442" s="1">
        <v>45584</v>
      </c>
      <c r="B1442" t="s">
        <v>1457</v>
      </c>
      <c r="C1442" t="s">
        <v>9</v>
      </c>
      <c r="D1442" s="2">
        <v>1284.76</v>
      </c>
      <c r="E1442" t="s">
        <v>7</v>
      </c>
      <c r="F1442" t="s">
        <v>1576</v>
      </c>
      <c r="G1442">
        <v>2024</v>
      </c>
      <c r="H1442">
        <f>IF(Table1_1[[#This Row],[Type]]="Expense", _xlfn.XLOOKUP(Table1_1[[#This Row],[Category]], Budget_Ref[Category], Budget_Ref[Monthly Budget], 0), 0)</f>
        <v>150</v>
      </c>
      <c r="I1442" t="str">
        <f>IF(Table1_1[[#This Row],[Type]]="Expense", IF(Table1_1[[#This Row],[Amount]]&gt;Table1_1[[#This Row],[Monthly Budget]], "Over Budget", "OK"), "-")</f>
        <v>Over Budget</v>
      </c>
      <c r="J1442">
        <f>IF(Table1_1[[#This Row],[Type]]="Income", Table1_1[[#This Row],[Amount]], -Table1_1[[#This Row],[Amount]])</f>
        <v>-1284.76</v>
      </c>
    </row>
    <row r="1443" spans="1:10" x14ac:dyDescent="0.25">
      <c r="A1443" s="1">
        <v>45584</v>
      </c>
      <c r="B1443" t="s">
        <v>1458</v>
      </c>
      <c r="C1443" t="s">
        <v>17</v>
      </c>
      <c r="D1443" s="2">
        <v>1266.23</v>
      </c>
      <c r="E1443" t="s">
        <v>7</v>
      </c>
      <c r="F1443" t="s">
        <v>1576</v>
      </c>
      <c r="G1443">
        <v>2024</v>
      </c>
      <c r="H1443">
        <f>IF(Table1_1[[#This Row],[Type]]="Expense", _xlfn.XLOOKUP(Table1_1[[#This Row],[Category]], Budget_Ref[Category], Budget_Ref[Monthly Budget], 0), 0)</f>
        <v>300</v>
      </c>
      <c r="I1443" t="str">
        <f>IF(Table1_1[[#This Row],[Type]]="Expense", IF(Table1_1[[#This Row],[Amount]]&gt;Table1_1[[#This Row],[Monthly Budget]], "Over Budget", "OK"), "-")</f>
        <v>Over Budget</v>
      </c>
      <c r="J1443">
        <f>IF(Table1_1[[#This Row],[Type]]="Income", Table1_1[[#This Row],[Amount]], -Table1_1[[#This Row],[Amount]])</f>
        <v>-1266.23</v>
      </c>
    </row>
    <row r="1444" spans="1:10" x14ac:dyDescent="0.25">
      <c r="A1444" s="1">
        <v>45586</v>
      </c>
      <c r="B1444" t="s">
        <v>1459</v>
      </c>
      <c r="C1444" t="s">
        <v>11</v>
      </c>
      <c r="D1444" s="2">
        <v>167.43</v>
      </c>
      <c r="E1444" t="s">
        <v>7</v>
      </c>
      <c r="F1444" t="s">
        <v>1576</v>
      </c>
      <c r="G1444">
        <v>2024</v>
      </c>
      <c r="H1444">
        <f>IF(Table1_1[[#This Row],[Type]]="Expense", _xlfn.XLOOKUP(Table1_1[[#This Row],[Category]], Budget_Ref[Category], Budget_Ref[Monthly Budget], 0), 0)</f>
        <v>1500</v>
      </c>
      <c r="I1444" t="str">
        <f>IF(Table1_1[[#This Row],[Type]]="Expense", IF(Table1_1[[#This Row],[Amount]]&gt;Table1_1[[#This Row],[Monthly Budget]], "Over Budget", "OK"), "-")</f>
        <v>OK</v>
      </c>
      <c r="J1444">
        <f>IF(Table1_1[[#This Row],[Type]]="Income", Table1_1[[#This Row],[Amount]], -Table1_1[[#This Row],[Amount]])</f>
        <v>-167.43</v>
      </c>
    </row>
    <row r="1445" spans="1:10" x14ac:dyDescent="0.25">
      <c r="A1445" s="1">
        <v>45586</v>
      </c>
      <c r="B1445" t="s">
        <v>1460</v>
      </c>
      <c r="C1445" t="s">
        <v>25</v>
      </c>
      <c r="D1445" s="2">
        <v>640.59</v>
      </c>
      <c r="E1445" t="s">
        <v>7</v>
      </c>
      <c r="F1445" t="s">
        <v>1576</v>
      </c>
      <c r="G1445">
        <v>2024</v>
      </c>
      <c r="H1445">
        <f>IF(Table1_1[[#This Row],[Type]]="Expense", _xlfn.XLOOKUP(Table1_1[[#This Row],[Category]], Budget_Ref[Category], Budget_Ref[Monthly Budget], 0), 0)</f>
        <v>150</v>
      </c>
      <c r="I1445" t="str">
        <f>IF(Table1_1[[#This Row],[Type]]="Expense", IF(Table1_1[[#This Row],[Amount]]&gt;Table1_1[[#This Row],[Monthly Budget]], "Over Budget", "OK"), "-")</f>
        <v>Over Budget</v>
      </c>
      <c r="J1445">
        <f>IF(Table1_1[[#This Row],[Type]]="Income", Table1_1[[#This Row],[Amount]], -Table1_1[[#This Row],[Amount]])</f>
        <v>-640.59</v>
      </c>
    </row>
    <row r="1446" spans="1:10" x14ac:dyDescent="0.25">
      <c r="A1446" s="1">
        <v>45586</v>
      </c>
      <c r="B1446" t="s">
        <v>1461</v>
      </c>
      <c r="C1446" t="s">
        <v>35</v>
      </c>
      <c r="D1446" s="2">
        <v>1214.72</v>
      </c>
      <c r="E1446" t="s">
        <v>7</v>
      </c>
      <c r="F1446" t="s">
        <v>1576</v>
      </c>
      <c r="G1446">
        <v>2024</v>
      </c>
      <c r="H1446">
        <f>IF(Table1_1[[#This Row],[Type]]="Expense", _xlfn.XLOOKUP(Table1_1[[#This Row],[Category]], Budget_Ref[Category], Budget_Ref[Monthly Budget], 0), 0)</f>
        <v>200</v>
      </c>
      <c r="I1446" t="str">
        <f>IF(Table1_1[[#This Row],[Type]]="Expense", IF(Table1_1[[#This Row],[Amount]]&gt;Table1_1[[#This Row],[Monthly Budget]], "Over Budget", "OK"), "-")</f>
        <v>Over Budget</v>
      </c>
      <c r="J1446">
        <f>IF(Table1_1[[#This Row],[Type]]="Income", Table1_1[[#This Row],[Amount]], -Table1_1[[#This Row],[Amount]])</f>
        <v>-1214.72</v>
      </c>
    </row>
    <row r="1447" spans="1:10" x14ac:dyDescent="0.25">
      <c r="A1447" s="1">
        <v>45588</v>
      </c>
      <c r="B1447" t="s">
        <v>1462</v>
      </c>
      <c r="C1447" t="s">
        <v>27</v>
      </c>
      <c r="D1447" s="2">
        <v>1564.14</v>
      </c>
      <c r="E1447" t="s">
        <v>14</v>
      </c>
      <c r="F1447" t="s">
        <v>1576</v>
      </c>
      <c r="G1447">
        <v>2024</v>
      </c>
      <c r="H1447">
        <f>IF(Table1_1[[#This Row],[Type]]="Expense", _xlfn.XLOOKUP(Table1_1[[#This Row],[Category]], Budget_Ref[Category], Budget_Ref[Monthly Budget], 0), 0)</f>
        <v>0</v>
      </c>
      <c r="I1447" t="str">
        <f>IF(Table1_1[[#This Row],[Type]]="Expense", IF(Table1_1[[#This Row],[Amount]]&gt;Table1_1[[#This Row],[Monthly Budget]], "Over Budget", "OK"), "-")</f>
        <v>-</v>
      </c>
      <c r="J1447">
        <f>IF(Table1_1[[#This Row],[Type]]="Income", Table1_1[[#This Row],[Amount]], -Table1_1[[#This Row],[Amount]])</f>
        <v>1564.14</v>
      </c>
    </row>
    <row r="1448" spans="1:10" x14ac:dyDescent="0.25">
      <c r="A1448" s="1">
        <v>45589</v>
      </c>
      <c r="B1448" t="s">
        <v>1463</v>
      </c>
      <c r="C1448" t="s">
        <v>27</v>
      </c>
      <c r="D1448" s="2">
        <v>833.84</v>
      </c>
      <c r="E1448" t="s">
        <v>14</v>
      </c>
      <c r="F1448" t="s">
        <v>1576</v>
      </c>
      <c r="G1448">
        <v>2024</v>
      </c>
      <c r="H1448">
        <f>IF(Table1_1[[#This Row],[Type]]="Expense", _xlfn.XLOOKUP(Table1_1[[#This Row],[Category]], Budget_Ref[Category], Budget_Ref[Monthly Budget], 0), 0)</f>
        <v>0</v>
      </c>
      <c r="I1448" t="str">
        <f>IF(Table1_1[[#This Row],[Type]]="Expense", IF(Table1_1[[#This Row],[Amount]]&gt;Table1_1[[#This Row],[Monthly Budget]], "Over Budget", "OK"), "-")</f>
        <v>-</v>
      </c>
      <c r="J1448">
        <f>IF(Table1_1[[#This Row],[Type]]="Income", Table1_1[[#This Row],[Amount]], -Table1_1[[#This Row],[Amount]])</f>
        <v>833.84</v>
      </c>
    </row>
    <row r="1449" spans="1:10" x14ac:dyDescent="0.25">
      <c r="A1449" s="1">
        <v>45593</v>
      </c>
      <c r="B1449" t="s">
        <v>1464</v>
      </c>
      <c r="C1449" t="s">
        <v>13</v>
      </c>
      <c r="D1449" s="2">
        <v>1524</v>
      </c>
      <c r="E1449" t="s">
        <v>14</v>
      </c>
      <c r="F1449" t="s">
        <v>1576</v>
      </c>
      <c r="G1449">
        <v>2024</v>
      </c>
      <c r="H1449">
        <f>IF(Table1_1[[#This Row],[Type]]="Expense", _xlfn.XLOOKUP(Table1_1[[#This Row],[Category]], Budget_Ref[Category], Budget_Ref[Monthly Budget], 0), 0)</f>
        <v>0</v>
      </c>
      <c r="I1449" t="str">
        <f>IF(Table1_1[[#This Row],[Type]]="Expense", IF(Table1_1[[#This Row],[Amount]]&gt;Table1_1[[#This Row],[Monthly Budget]], "Over Budget", "OK"), "-")</f>
        <v>-</v>
      </c>
      <c r="J1449">
        <f>IF(Table1_1[[#This Row],[Type]]="Income", Table1_1[[#This Row],[Amount]], -Table1_1[[#This Row],[Amount]])</f>
        <v>1524</v>
      </c>
    </row>
    <row r="1450" spans="1:10" x14ac:dyDescent="0.25">
      <c r="A1450" s="1">
        <v>45597</v>
      </c>
      <c r="B1450" t="s">
        <v>1465</v>
      </c>
      <c r="C1450" t="s">
        <v>35</v>
      </c>
      <c r="D1450" s="2">
        <v>1881.47</v>
      </c>
      <c r="E1450" t="s">
        <v>7</v>
      </c>
      <c r="F1450" t="s">
        <v>1577</v>
      </c>
      <c r="G1450">
        <v>2024</v>
      </c>
      <c r="H1450">
        <f>IF(Table1_1[[#This Row],[Type]]="Expense", _xlfn.XLOOKUP(Table1_1[[#This Row],[Category]], Budget_Ref[Category], Budget_Ref[Monthly Budget], 0), 0)</f>
        <v>200</v>
      </c>
      <c r="I1450" t="str">
        <f>IF(Table1_1[[#This Row],[Type]]="Expense", IF(Table1_1[[#This Row],[Amount]]&gt;Table1_1[[#This Row],[Monthly Budget]], "Over Budget", "OK"), "-")</f>
        <v>Over Budget</v>
      </c>
      <c r="J1450">
        <f>IF(Table1_1[[#This Row],[Type]]="Income", Table1_1[[#This Row],[Amount]], -Table1_1[[#This Row],[Amount]])</f>
        <v>-1881.47</v>
      </c>
    </row>
    <row r="1451" spans="1:10" x14ac:dyDescent="0.25">
      <c r="A1451" s="1">
        <v>45598</v>
      </c>
      <c r="B1451" t="s">
        <v>1466</v>
      </c>
      <c r="C1451" t="s">
        <v>11</v>
      </c>
      <c r="D1451" s="2">
        <v>429.04</v>
      </c>
      <c r="E1451" t="s">
        <v>7</v>
      </c>
      <c r="F1451" t="s">
        <v>1577</v>
      </c>
      <c r="G1451">
        <v>2024</v>
      </c>
      <c r="H1451">
        <f>IF(Table1_1[[#This Row],[Type]]="Expense", _xlfn.XLOOKUP(Table1_1[[#This Row],[Category]], Budget_Ref[Category], Budget_Ref[Monthly Budget], 0), 0)</f>
        <v>1500</v>
      </c>
      <c r="I1451" t="str">
        <f>IF(Table1_1[[#This Row],[Type]]="Expense", IF(Table1_1[[#This Row],[Amount]]&gt;Table1_1[[#This Row],[Monthly Budget]], "Over Budget", "OK"), "-")</f>
        <v>OK</v>
      </c>
      <c r="J1451">
        <f>IF(Table1_1[[#This Row],[Type]]="Income", Table1_1[[#This Row],[Amount]], -Table1_1[[#This Row],[Amount]])</f>
        <v>-429.04</v>
      </c>
    </row>
    <row r="1452" spans="1:10" x14ac:dyDescent="0.25">
      <c r="A1452" s="1">
        <v>45599</v>
      </c>
      <c r="B1452" t="s">
        <v>1467</v>
      </c>
      <c r="C1452" t="s">
        <v>11</v>
      </c>
      <c r="D1452" s="2">
        <v>136.94999999999999</v>
      </c>
      <c r="E1452" t="s">
        <v>7</v>
      </c>
      <c r="F1452" t="s">
        <v>1577</v>
      </c>
      <c r="G1452">
        <v>2024</v>
      </c>
      <c r="H1452">
        <f>IF(Table1_1[[#This Row],[Type]]="Expense", _xlfn.XLOOKUP(Table1_1[[#This Row],[Category]], Budget_Ref[Category], Budget_Ref[Monthly Budget], 0), 0)</f>
        <v>1500</v>
      </c>
      <c r="I1452" t="str">
        <f>IF(Table1_1[[#This Row],[Type]]="Expense", IF(Table1_1[[#This Row],[Amount]]&gt;Table1_1[[#This Row],[Monthly Budget]], "Over Budget", "OK"), "-")</f>
        <v>OK</v>
      </c>
      <c r="J1452">
        <f>IF(Table1_1[[#This Row],[Type]]="Income", Table1_1[[#This Row],[Amount]], -Table1_1[[#This Row],[Amount]])</f>
        <v>-136.94999999999999</v>
      </c>
    </row>
    <row r="1453" spans="1:10" x14ac:dyDescent="0.25">
      <c r="A1453" s="1">
        <v>45599</v>
      </c>
      <c r="B1453" t="s">
        <v>1468</v>
      </c>
      <c r="C1453" t="s">
        <v>6</v>
      </c>
      <c r="D1453" s="2">
        <v>62.47</v>
      </c>
      <c r="E1453" t="s">
        <v>7</v>
      </c>
      <c r="F1453" t="s">
        <v>1577</v>
      </c>
      <c r="G1453">
        <v>2024</v>
      </c>
      <c r="H1453">
        <f>IF(Table1_1[[#This Row],[Type]]="Expense", _xlfn.XLOOKUP(Table1_1[[#This Row],[Category]], Budget_Ref[Category], Budget_Ref[Monthly Budget], 0), 0)</f>
        <v>500</v>
      </c>
      <c r="I1453" t="str">
        <f>IF(Table1_1[[#This Row],[Type]]="Expense", IF(Table1_1[[#This Row],[Amount]]&gt;Table1_1[[#This Row],[Monthly Budget]], "Over Budget", "OK"), "-")</f>
        <v>OK</v>
      </c>
      <c r="J1453">
        <f>IF(Table1_1[[#This Row],[Type]]="Income", Table1_1[[#This Row],[Amount]], -Table1_1[[#This Row],[Amount]])</f>
        <v>-62.47</v>
      </c>
    </row>
    <row r="1454" spans="1:10" x14ac:dyDescent="0.25">
      <c r="A1454" s="1">
        <v>45607</v>
      </c>
      <c r="B1454" t="s">
        <v>1469</v>
      </c>
      <c r="C1454" t="s">
        <v>11</v>
      </c>
      <c r="D1454" s="2">
        <v>216.82</v>
      </c>
      <c r="E1454" t="s">
        <v>7</v>
      </c>
      <c r="F1454" t="s">
        <v>1577</v>
      </c>
      <c r="G1454">
        <v>2024</v>
      </c>
      <c r="H1454">
        <f>IF(Table1_1[[#This Row],[Type]]="Expense", _xlfn.XLOOKUP(Table1_1[[#This Row],[Category]], Budget_Ref[Category], Budget_Ref[Monthly Budget], 0), 0)</f>
        <v>1500</v>
      </c>
      <c r="I1454" t="str">
        <f>IF(Table1_1[[#This Row],[Type]]="Expense", IF(Table1_1[[#This Row],[Amount]]&gt;Table1_1[[#This Row],[Monthly Budget]], "Over Budget", "OK"), "-")</f>
        <v>OK</v>
      </c>
      <c r="J1454">
        <f>IF(Table1_1[[#This Row],[Type]]="Income", Table1_1[[#This Row],[Amount]], -Table1_1[[#This Row],[Amount]])</f>
        <v>-216.82</v>
      </c>
    </row>
    <row r="1455" spans="1:10" x14ac:dyDescent="0.25">
      <c r="A1455" s="1">
        <v>45607</v>
      </c>
      <c r="B1455" t="s">
        <v>1470</v>
      </c>
      <c r="C1455" t="s">
        <v>11</v>
      </c>
      <c r="D1455" s="2">
        <v>1313.12</v>
      </c>
      <c r="E1455" t="s">
        <v>7</v>
      </c>
      <c r="F1455" t="s">
        <v>1577</v>
      </c>
      <c r="G1455">
        <v>2024</v>
      </c>
      <c r="H1455">
        <f>IF(Table1_1[[#This Row],[Type]]="Expense", _xlfn.XLOOKUP(Table1_1[[#This Row],[Category]], Budget_Ref[Category], Budget_Ref[Monthly Budget], 0), 0)</f>
        <v>1500</v>
      </c>
      <c r="I1455" t="str">
        <f>IF(Table1_1[[#This Row],[Type]]="Expense", IF(Table1_1[[#This Row],[Amount]]&gt;Table1_1[[#This Row],[Monthly Budget]], "Over Budget", "OK"), "-")</f>
        <v>OK</v>
      </c>
      <c r="J1455">
        <f>IF(Table1_1[[#This Row],[Type]]="Income", Table1_1[[#This Row],[Amount]], -Table1_1[[#This Row],[Amount]])</f>
        <v>-1313.12</v>
      </c>
    </row>
    <row r="1456" spans="1:10" x14ac:dyDescent="0.25">
      <c r="A1456" s="1">
        <v>45608</v>
      </c>
      <c r="B1456" t="s">
        <v>1471</v>
      </c>
      <c r="C1456" t="s">
        <v>35</v>
      </c>
      <c r="D1456" s="2">
        <v>466.42</v>
      </c>
      <c r="E1456" t="s">
        <v>7</v>
      </c>
      <c r="F1456" t="s">
        <v>1577</v>
      </c>
      <c r="G1456">
        <v>2024</v>
      </c>
      <c r="H1456">
        <f>IF(Table1_1[[#This Row],[Type]]="Expense", _xlfn.XLOOKUP(Table1_1[[#This Row],[Category]], Budget_Ref[Category], Budget_Ref[Monthly Budget], 0), 0)</f>
        <v>200</v>
      </c>
      <c r="I1456" t="str">
        <f>IF(Table1_1[[#This Row],[Type]]="Expense", IF(Table1_1[[#This Row],[Amount]]&gt;Table1_1[[#This Row],[Monthly Budget]], "Over Budget", "OK"), "-")</f>
        <v>Over Budget</v>
      </c>
      <c r="J1456">
        <f>IF(Table1_1[[#This Row],[Type]]="Income", Table1_1[[#This Row],[Amount]], -Table1_1[[#This Row],[Amount]])</f>
        <v>-466.42</v>
      </c>
    </row>
    <row r="1457" spans="1:10" x14ac:dyDescent="0.25">
      <c r="A1457" s="1">
        <v>45609</v>
      </c>
      <c r="B1457" t="s">
        <v>1472</v>
      </c>
      <c r="C1457" t="s">
        <v>27</v>
      </c>
      <c r="D1457" s="2">
        <v>1256.7</v>
      </c>
      <c r="E1457" t="s">
        <v>14</v>
      </c>
      <c r="F1457" t="s">
        <v>1577</v>
      </c>
      <c r="G1457">
        <v>2024</v>
      </c>
      <c r="H1457">
        <f>IF(Table1_1[[#This Row],[Type]]="Expense", _xlfn.XLOOKUP(Table1_1[[#This Row],[Category]], Budget_Ref[Category], Budget_Ref[Monthly Budget], 0), 0)</f>
        <v>0</v>
      </c>
      <c r="I1457" t="str">
        <f>IF(Table1_1[[#This Row],[Type]]="Expense", IF(Table1_1[[#This Row],[Amount]]&gt;Table1_1[[#This Row],[Monthly Budget]], "Over Budget", "OK"), "-")</f>
        <v>-</v>
      </c>
      <c r="J1457">
        <f>IF(Table1_1[[#This Row],[Type]]="Income", Table1_1[[#This Row],[Amount]], -Table1_1[[#This Row],[Amount]])</f>
        <v>1256.7</v>
      </c>
    </row>
    <row r="1458" spans="1:10" x14ac:dyDescent="0.25">
      <c r="A1458" s="1">
        <v>45609</v>
      </c>
      <c r="B1458" t="s">
        <v>1473</v>
      </c>
      <c r="C1458" t="s">
        <v>13</v>
      </c>
      <c r="D1458" s="2">
        <v>734</v>
      </c>
      <c r="E1458" t="s">
        <v>14</v>
      </c>
      <c r="F1458" t="s">
        <v>1577</v>
      </c>
      <c r="G1458">
        <v>2024</v>
      </c>
      <c r="H1458">
        <f>IF(Table1_1[[#This Row],[Type]]="Expense", _xlfn.XLOOKUP(Table1_1[[#This Row],[Category]], Budget_Ref[Category], Budget_Ref[Monthly Budget], 0), 0)</f>
        <v>0</v>
      </c>
      <c r="I1458" t="str">
        <f>IF(Table1_1[[#This Row],[Type]]="Expense", IF(Table1_1[[#This Row],[Amount]]&gt;Table1_1[[#This Row],[Monthly Budget]], "Over Budget", "OK"), "-")</f>
        <v>-</v>
      </c>
      <c r="J1458">
        <f>IF(Table1_1[[#This Row],[Type]]="Income", Table1_1[[#This Row],[Amount]], -Table1_1[[#This Row],[Amount]])</f>
        <v>734</v>
      </c>
    </row>
    <row r="1459" spans="1:10" x14ac:dyDescent="0.25">
      <c r="A1459" s="1">
        <v>45609</v>
      </c>
      <c r="B1459" t="s">
        <v>1474</v>
      </c>
      <c r="C1459" t="s">
        <v>20</v>
      </c>
      <c r="D1459" s="2">
        <v>3164</v>
      </c>
      <c r="E1459" t="s">
        <v>14</v>
      </c>
      <c r="F1459" t="s">
        <v>1577</v>
      </c>
      <c r="G1459">
        <v>2024</v>
      </c>
      <c r="H1459">
        <f>IF(Table1_1[[#This Row],[Type]]="Expense", _xlfn.XLOOKUP(Table1_1[[#This Row],[Category]], Budget_Ref[Category], Budget_Ref[Monthly Budget], 0), 0)</f>
        <v>0</v>
      </c>
      <c r="I1459" t="str">
        <f>IF(Table1_1[[#This Row],[Type]]="Expense", IF(Table1_1[[#This Row],[Amount]]&gt;Table1_1[[#This Row],[Monthly Budget]], "Over Budget", "OK"), "-")</f>
        <v>-</v>
      </c>
      <c r="J1459">
        <f>IF(Table1_1[[#This Row],[Type]]="Income", Table1_1[[#This Row],[Amount]], -Table1_1[[#This Row],[Amount]])</f>
        <v>3164</v>
      </c>
    </row>
    <row r="1460" spans="1:10" x14ac:dyDescent="0.25">
      <c r="A1460" s="1">
        <v>45609</v>
      </c>
      <c r="B1460" t="s">
        <v>1475</v>
      </c>
      <c r="C1460" t="s">
        <v>27</v>
      </c>
      <c r="D1460" s="2">
        <v>1950.21</v>
      </c>
      <c r="E1460" t="s">
        <v>14</v>
      </c>
      <c r="F1460" t="s">
        <v>1577</v>
      </c>
      <c r="G1460">
        <v>2024</v>
      </c>
      <c r="H1460">
        <f>IF(Table1_1[[#This Row],[Type]]="Expense", _xlfn.XLOOKUP(Table1_1[[#This Row],[Category]], Budget_Ref[Category], Budget_Ref[Monthly Budget], 0), 0)</f>
        <v>0</v>
      </c>
      <c r="I1460" t="str">
        <f>IF(Table1_1[[#This Row],[Type]]="Expense", IF(Table1_1[[#This Row],[Amount]]&gt;Table1_1[[#This Row],[Monthly Budget]], "Over Budget", "OK"), "-")</f>
        <v>-</v>
      </c>
      <c r="J1460">
        <f>IF(Table1_1[[#This Row],[Type]]="Income", Table1_1[[#This Row],[Amount]], -Table1_1[[#This Row],[Amount]])</f>
        <v>1950.21</v>
      </c>
    </row>
    <row r="1461" spans="1:10" x14ac:dyDescent="0.25">
      <c r="A1461" s="1">
        <v>45610</v>
      </c>
      <c r="B1461" t="s">
        <v>1476</v>
      </c>
      <c r="C1461" t="s">
        <v>35</v>
      </c>
      <c r="D1461" s="2">
        <v>1101.6099999999999</v>
      </c>
      <c r="E1461" t="s">
        <v>7</v>
      </c>
      <c r="F1461" t="s">
        <v>1577</v>
      </c>
      <c r="G1461">
        <v>2024</v>
      </c>
      <c r="H1461">
        <f>IF(Table1_1[[#This Row],[Type]]="Expense", _xlfn.XLOOKUP(Table1_1[[#This Row],[Category]], Budget_Ref[Category], Budget_Ref[Monthly Budget], 0), 0)</f>
        <v>200</v>
      </c>
      <c r="I1461" t="str">
        <f>IF(Table1_1[[#This Row],[Type]]="Expense", IF(Table1_1[[#This Row],[Amount]]&gt;Table1_1[[#This Row],[Monthly Budget]], "Over Budget", "OK"), "-")</f>
        <v>Over Budget</v>
      </c>
      <c r="J1461">
        <f>IF(Table1_1[[#This Row],[Type]]="Income", Table1_1[[#This Row],[Amount]], -Table1_1[[#This Row],[Amount]])</f>
        <v>-1101.6099999999999</v>
      </c>
    </row>
    <row r="1462" spans="1:10" x14ac:dyDescent="0.25">
      <c r="A1462" s="1">
        <v>45610</v>
      </c>
      <c r="B1462" t="s">
        <v>1477</v>
      </c>
      <c r="C1462" t="s">
        <v>13</v>
      </c>
      <c r="D1462" s="2">
        <v>4240</v>
      </c>
      <c r="E1462" t="s">
        <v>14</v>
      </c>
      <c r="F1462" t="s">
        <v>1577</v>
      </c>
      <c r="G1462">
        <v>2024</v>
      </c>
      <c r="H1462">
        <f>IF(Table1_1[[#This Row],[Type]]="Expense", _xlfn.XLOOKUP(Table1_1[[#This Row],[Category]], Budget_Ref[Category], Budget_Ref[Monthly Budget], 0), 0)</f>
        <v>0</v>
      </c>
      <c r="I1462" t="str">
        <f>IF(Table1_1[[#This Row],[Type]]="Expense", IF(Table1_1[[#This Row],[Amount]]&gt;Table1_1[[#This Row],[Monthly Budget]], "Over Budget", "OK"), "-")</f>
        <v>-</v>
      </c>
      <c r="J1462">
        <f>IF(Table1_1[[#This Row],[Type]]="Income", Table1_1[[#This Row],[Amount]], -Table1_1[[#This Row],[Amount]])</f>
        <v>4240</v>
      </c>
    </row>
    <row r="1463" spans="1:10" x14ac:dyDescent="0.25">
      <c r="A1463" s="1">
        <v>45612</v>
      </c>
      <c r="B1463" t="s">
        <v>1478</v>
      </c>
      <c r="C1463" t="s">
        <v>17</v>
      </c>
      <c r="D1463" s="2">
        <v>1051.69</v>
      </c>
      <c r="E1463" t="s">
        <v>7</v>
      </c>
      <c r="F1463" t="s">
        <v>1577</v>
      </c>
      <c r="G1463">
        <v>2024</v>
      </c>
      <c r="H1463">
        <f>IF(Table1_1[[#This Row],[Type]]="Expense", _xlfn.XLOOKUP(Table1_1[[#This Row],[Category]], Budget_Ref[Category], Budget_Ref[Monthly Budget], 0), 0)</f>
        <v>300</v>
      </c>
      <c r="I1463" t="str">
        <f>IF(Table1_1[[#This Row],[Type]]="Expense", IF(Table1_1[[#This Row],[Amount]]&gt;Table1_1[[#This Row],[Monthly Budget]], "Over Budget", "OK"), "-")</f>
        <v>Over Budget</v>
      </c>
      <c r="J1463">
        <f>IF(Table1_1[[#This Row],[Type]]="Income", Table1_1[[#This Row],[Amount]], -Table1_1[[#This Row],[Amount]])</f>
        <v>-1051.69</v>
      </c>
    </row>
    <row r="1464" spans="1:10" x14ac:dyDescent="0.25">
      <c r="A1464" s="1">
        <v>45613</v>
      </c>
      <c r="B1464" t="s">
        <v>1479</v>
      </c>
      <c r="C1464" t="s">
        <v>35</v>
      </c>
      <c r="D1464" s="2">
        <v>1818.76</v>
      </c>
      <c r="E1464" t="s">
        <v>7</v>
      </c>
      <c r="F1464" t="s">
        <v>1577</v>
      </c>
      <c r="G1464">
        <v>2024</v>
      </c>
      <c r="H1464">
        <f>IF(Table1_1[[#This Row],[Type]]="Expense", _xlfn.XLOOKUP(Table1_1[[#This Row],[Category]], Budget_Ref[Category], Budget_Ref[Monthly Budget], 0), 0)</f>
        <v>200</v>
      </c>
      <c r="I1464" t="str">
        <f>IF(Table1_1[[#This Row],[Type]]="Expense", IF(Table1_1[[#This Row],[Amount]]&gt;Table1_1[[#This Row],[Monthly Budget]], "Over Budget", "OK"), "-")</f>
        <v>Over Budget</v>
      </c>
      <c r="J1464">
        <f>IF(Table1_1[[#This Row],[Type]]="Income", Table1_1[[#This Row],[Amount]], -Table1_1[[#This Row],[Amount]])</f>
        <v>-1818.76</v>
      </c>
    </row>
    <row r="1465" spans="1:10" x14ac:dyDescent="0.25">
      <c r="A1465" s="1">
        <v>45613</v>
      </c>
      <c r="B1465" t="s">
        <v>1480</v>
      </c>
      <c r="C1465" t="s">
        <v>22</v>
      </c>
      <c r="D1465" s="2">
        <v>1611.37</v>
      </c>
      <c r="E1465" t="s">
        <v>7</v>
      </c>
      <c r="F1465" t="s">
        <v>1577</v>
      </c>
      <c r="G1465">
        <v>2024</v>
      </c>
      <c r="H1465">
        <f>IF(Table1_1[[#This Row],[Type]]="Expense", _xlfn.XLOOKUP(Table1_1[[#This Row],[Category]], Budget_Ref[Category], Budget_Ref[Monthly Budget], 0), 0)</f>
        <v>200</v>
      </c>
      <c r="I1465" t="str">
        <f>IF(Table1_1[[#This Row],[Type]]="Expense", IF(Table1_1[[#This Row],[Amount]]&gt;Table1_1[[#This Row],[Monthly Budget]], "Over Budget", "OK"), "-")</f>
        <v>Over Budget</v>
      </c>
      <c r="J1465">
        <f>IF(Table1_1[[#This Row],[Type]]="Income", Table1_1[[#This Row],[Amount]], -Table1_1[[#This Row],[Amount]])</f>
        <v>-1611.37</v>
      </c>
    </row>
    <row r="1466" spans="1:10" x14ac:dyDescent="0.25">
      <c r="A1466" s="1">
        <v>45613</v>
      </c>
      <c r="B1466" t="s">
        <v>1481</v>
      </c>
      <c r="C1466" t="s">
        <v>25</v>
      </c>
      <c r="D1466" s="2">
        <v>830.29</v>
      </c>
      <c r="E1466" t="s">
        <v>7</v>
      </c>
      <c r="F1466" t="s">
        <v>1577</v>
      </c>
      <c r="G1466">
        <v>2024</v>
      </c>
      <c r="H1466">
        <f>IF(Table1_1[[#This Row],[Type]]="Expense", _xlfn.XLOOKUP(Table1_1[[#This Row],[Category]], Budget_Ref[Category], Budget_Ref[Monthly Budget], 0), 0)</f>
        <v>150</v>
      </c>
      <c r="I1466" t="str">
        <f>IF(Table1_1[[#This Row],[Type]]="Expense", IF(Table1_1[[#This Row],[Amount]]&gt;Table1_1[[#This Row],[Monthly Budget]], "Over Budget", "OK"), "-")</f>
        <v>Over Budget</v>
      </c>
      <c r="J1466">
        <f>IF(Table1_1[[#This Row],[Type]]="Income", Table1_1[[#This Row],[Amount]], -Table1_1[[#This Row],[Amount]])</f>
        <v>-830.29</v>
      </c>
    </row>
    <row r="1467" spans="1:10" x14ac:dyDescent="0.25">
      <c r="A1467" s="1">
        <v>45613</v>
      </c>
      <c r="B1467" t="s">
        <v>1482</v>
      </c>
      <c r="C1467" t="s">
        <v>13</v>
      </c>
      <c r="D1467" s="2">
        <v>500</v>
      </c>
      <c r="E1467" t="s">
        <v>14</v>
      </c>
      <c r="F1467" t="s">
        <v>1577</v>
      </c>
      <c r="G1467">
        <v>2024</v>
      </c>
      <c r="H1467">
        <f>IF(Table1_1[[#This Row],[Type]]="Expense", _xlfn.XLOOKUP(Table1_1[[#This Row],[Category]], Budget_Ref[Category], Budget_Ref[Monthly Budget], 0), 0)</f>
        <v>0</v>
      </c>
      <c r="I1467" t="str">
        <f>IF(Table1_1[[#This Row],[Type]]="Expense", IF(Table1_1[[#This Row],[Amount]]&gt;Table1_1[[#This Row],[Monthly Budget]], "Over Budget", "OK"), "-")</f>
        <v>-</v>
      </c>
      <c r="J1467">
        <f>IF(Table1_1[[#This Row],[Type]]="Income", Table1_1[[#This Row],[Amount]], -Table1_1[[#This Row],[Amount]])</f>
        <v>500</v>
      </c>
    </row>
    <row r="1468" spans="1:10" x14ac:dyDescent="0.25">
      <c r="A1468" s="1">
        <v>45614</v>
      </c>
      <c r="B1468" t="s">
        <v>1483</v>
      </c>
      <c r="C1468" t="s">
        <v>9</v>
      </c>
      <c r="D1468" s="2">
        <v>694.33</v>
      </c>
      <c r="E1468" t="s">
        <v>7</v>
      </c>
      <c r="F1468" t="s">
        <v>1577</v>
      </c>
      <c r="G1468">
        <v>2024</v>
      </c>
      <c r="H1468">
        <f>IF(Table1_1[[#This Row],[Type]]="Expense", _xlfn.XLOOKUP(Table1_1[[#This Row],[Category]], Budget_Ref[Category], Budget_Ref[Monthly Budget], 0), 0)</f>
        <v>150</v>
      </c>
      <c r="I1468" t="str">
        <f>IF(Table1_1[[#This Row],[Type]]="Expense", IF(Table1_1[[#This Row],[Amount]]&gt;Table1_1[[#This Row],[Monthly Budget]], "Over Budget", "OK"), "-")</f>
        <v>Over Budget</v>
      </c>
      <c r="J1468">
        <f>IF(Table1_1[[#This Row],[Type]]="Income", Table1_1[[#This Row],[Amount]], -Table1_1[[#This Row],[Amount]])</f>
        <v>-694.33</v>
      </c>
    </row>
    <row r="1469" spans="1:10" x14ac:dyDescent="0.25">
      <c r="A1469" s="1">
        <v>45614</v>
      </c>
      <c r="B1469" t="s">
        <v>1484</v>
      </c>
      <c r="C1469" t="s">
        <v>6</v>
      </c>
      <c r="D1469" s="2">
        <v>1378.66</v>
      </c>
      <c r="E1469" t="s">
        <v>7</v>
      </c>
      <c r="F1469" t="s">
        <v>1577</v>
      </c>
      <c r="G1469">
        <v>2024</v>
      </c>
      <c r="H1469">
        <f>IF(Table1_1[[#This Row],[Type]]="Expense", _xlfn.XLOOKUP(Table1_1[[#This Row],[Category]], Budget_Ref[Category], Budget_Ref[Monthly Budget], 0), 0)</f>
        <v>500</v>
      </c>
      <c r="I1469" t="str">
        <f>IF(Table1_1[[#This Row],[Type]]="Expense", IF(Table1_1[[#This Row],[Amount]]&gt;Table1_1[[#This Row],[Monthly Budget]], "Over Budget", "OK"), "-")</f>
        <v>Over Budget</v>
      </c>
      <c r="J1469">
        <f>IF(Table1_1[[#This Row],[Type]]="Income", Table1_1[[#This Row],[Amount]], -Table1_1[[#This Row],[Amount]])</f>
        <v>-1378.66</v>
      </c>
    </row>
    <row r="1470" spans="1:10" x14ac:dyDescent="0.25">
      <c r="A1470" s="1">
        <v>45615</v>
      </c>
      <c r="B1470" t="s">
        <v>1485</v>
      </c>
      <c r="C1470" t="s">
        <v>27</v>
      </c>
      <c r="D1470" s="2">
        <v>606.22</v>
      </c>
      <c r="E1470" t="s">
        <v>14</v>
      </c>
      <c r="F1470" t="s">
        <v>1577</v>
      </c>
      <c r="G1470">
        <v>2024</v>
      </c>
      <c r="H1470">
        <f>IF(Table1_1[[#This Row],[Type]]="Expense", _xlfn.XLOOKUP(Table1_1[[#This Row],[Category]], Budget_Ref[Category], Budget_Ref[Monthly Budget], 0), 0)</f>
        <v>0</v>
      </c>
      <c r="I1470" t="str">
        <f>IF(Table1_1[[#This Row],[Type]]="Expense", IF(Table1_1[[#This Row],[Amount]]&gt;Table1_1[[#This Row],[Monthly Budget]], "Over Budget", "OK"), "-")</f>
        <v>-</v>
      </c>
      <c r="J1470">
        <f>IF(Table1_1[[#This Row],[Type]]="Income", Table1_1[[#This Row],[Amount]], -Table1_1[[#This Row],[Amount]])</f>
        <v>606.22</v>
      </c>
    </row>
    <row r="1471" spans="1:10" x14ac:dyDescent="0.25">
      <c r="A1471" s="1">
        <v>45616</v>
      </c>
      <c r="B1471" t="s">
        <v>1486</v>
      </c>
      <c r="C1471" t="s">
        <v>35</v>
      </c>
      <c r="D1471" s="2">
        <v>1198.04</v>
      </c>
      <c r="E1471" t="s">
        <v>7</v>
      </c>
      <c r="F1471" t="s">
        <v>1577</v>
      </c>
      <c r="G1471">
        <v>2024</v>
      </c>
      <c r="H1471">
        <f>IF(Table1_1[[#This Row],[Type]]="Expense", _xlfn.XLOOKUP(Table1_1[[#This Row],[Category]], Budget_Ref[Category], Budget_Ref[Monthly Budget], 0), 0)</f>
        <v>200</v>
      </c>
      <c r="I1471" t="str">
        <f>IF(Table1_1[[#This Row],[Type]]="Expense", IF(Table1_1[[#This Row],[Amount]]&gt;Table1_1[[#This Row],[Monthly Budget]], "Over Budget", "OK"), "-")</f>
        <v>Over Budget</v>
      </c>
      <c r="J1471">
        <f>IF(Table1_1[[#This Row],[Type]]="Income", Table1_1[[#This Row],[Amount]], -Table1_1[[#This Row],[Amount]])</f>
        <v>-1198.04</v>
      </c>
    </row>
    <row r="1472" spans="1:10" x14ac:dyDescent="0.25">
      <c r="A1472" s="1">
        <v>45616</v>
      </c>
      <c r="B1472" t="s">
        <v>1487</v>
      </c>
      <c r="C1472" t="s">
        <v>25</v>
      </c>
      <c r="D1472" s="2">
        <v>385.26</v>
      </c>
      <c r="E1472" t="s">
        <v>7</v>
      </c>
      <c r="F1472" t="s">
        <v>1577</v>
      </c>
      <c r="G1472">
        <v>2024</v>
      </c>
      <c r="H1472">
        <f>IF(Table1_1[[#This Row],[Type]]="Expense", _xlfn.XLOOKUP(Table1_1[[#This Row],[Category]], Budget_Ref[Category], Budget_Ref[Monthly Budget], 0), 0)</f>
        <v>150</v>
      </c>
      <c r="I1472" t="str">
        <f>IF(Table1_1[[#This Row],[Type]]="Expense", IF(Table1_1[[#This Row],[Amount]]&gt;Table1_1[[#This Row],[Monthly Budget]], "Over Budget", "OK"), "-")</f>
        <v>Over Budget</v>
      </c>
      <c r="J1472">
        <f>IF(Table1_1[[#This Row],[Type]]="Income", Table1_1[[#This Row],[Amount]], -Table1_1[[#This Row],[Amount]])</f>
        <v>-385.26</v>
      </c>
    </row>
    <row r="1473" spans="1:10" x14ac:dyDescent="0.25">
      <c r="A1473" s="1">
        <v>45618</v>
      </c>
      <c r="B1473" t="s">
        <v>1488</v>
      </c>
      <c r="C1473" t="s">
        <v>17</v>
      </c>
      <c r="D1473" s="2">
        <v>795.56</v>
      </c>
      <c r="E1473" t="s">
        <v>7</v>
      </c>
      <c r="F1473" t="s">
        <v>1577</v>
      </c>
      <c r="G1473">
        <v>2024</v>
      </c>
      <c r="H1473">
        <f>IF(Table1_1[[#This Row],[Type]]="Expense", _xlfn.XLOOKUP(Table1_1[[#This Row],[Category]], Budget_Ref[Category], Budget_Ref[Monthly Budget], 0), 0)</f>
        <v>300</v>
      </c>
      <c r="I1473" t="str">
        <f>IF(Table1_1[[#This Row],[Type]]="Expense", IF(Table1_1[[#This Row],[Amount]]&gt;Table1_1[[#This Row],[Monthly Budget]], "Over Budget", "OK"), "-")</f>
        <v>Over Budget</v>
      </c>
      <c r="J1473">
        <f>IF(Table1_1[[#This Row],[Type]]="Income", Table1_1[[#This Row],[Amount]], -Table1_1[[#This Row],[Amount]])</f>
        <v>-795.56</v>
      </c>
    </row>
    <row r="1474" spans="1:10" x14ac:dyDescent="0.25">
      <c r="A1474" s="1">
        <v>45619</v>
      </c>
      <c r="B1474" t="s">
        <v>1489</v>
      </c>
      <c r="C1474" t="s">
        <v>20</v>
      </c>
      <c r="D1474" s="2">
        <v>3599</v>
      </c>
      <c r="E1474" t="s">
        <v>14</v>
      </c>
      <c r="F1474" t="s">
        <v>1577</v>
      </c>
      <c r="G1474">
        <v>2024</v>
      </c>
      <c r="H1474">
        <f>IF(Table1_1[[#This Row],[Type]]="Expense", _xlfn.XLOOKUP(Table1_1[[#This Row],[Category]], Budget_Ref[Category], Budget_Ref[Monthly Budget], 0), 0)</f>
        <v>0</v>
      </c>
      <c r="I1474" t="str">
        <f>IF(Table1_1[[#This Row],[Type]]="Expense", IF(Table1_1[[#This Row],[Amount]]&gt;Table1_1[[#This Row],[Monthly Budget]], "Over Budget", "OK"), "-")</f>
        <v>-</v>
      </c>
      <c r="J1474">
        <f>IF(Table1_1[[#This Row],[Type]]="Income", Table1_1[[#This Row],[Amount]], -Table1_1[[#This Row],[Amount]])</f>
        <v>3599</v>
      </c>
    </row>
    <row r="1475" spans="1:10" x14ac:dyDescent="0.25">
      <c r="A1475" s="1">
        <v>45620</v>
      </c>
      <c r="B1475" t="s">
        <v>1490</v>
      </c>
      <c r="C1475" t="s">
        <v>11</v>
      </c>
      <c r="D1475" s="2">
        <v>850.26</v>
      </c>
      <c r="E1475" t="s">
        <v>7</v>
      </c>
      <c r="F1475" t="s">
        <v>1577</v>
      </c>
      <c r="G1475">
        <v>2024</v>
      </c>
      <c r="H1475">
        <f>IF(Table1_1[[#This Row],[Type]]="Expense", _xlfn.XLOOKUP(Table1_1[[#This Row],[Category]], Budget_Ref[Category], Budget_Ref[Monthly Budget], 0), 0)</f>
        <v>1500</v>
      </c>
      <c r="I1475" t="str">
        <f>IF(Table1_1[[#This Row],[Type]]="Expense", IF(Table1_1[[#This Row],[Amount]]&gt;Table1_1[[#This Row],[Monthly Budget]], "Over Budget", "OK"), "-")</f>
        <v>OK</v>
      </c>
      <c r="J1475">
        <f>IF(Table1_1[[#This Row],[Type]]="Income", Table1_1[[#This Row],[Amount]], -Table1_1[[#This Row],[Amount]])</f>
        <v>-850.26</v>
      </c>
    </row>
    <row r="1476" spans="1:10" x14ac:dyDescent="0.25">
      <c r="A1476" s="1">
        <v>45620</v>
      </c>
      <c r="B1476" t="s">
        <v>1491</v>
      </c>
      <c r="C1476" t="s">
        <v>35</v>
      </c>
      <c r="D1476" s="2">
        <v>576.51</v>
      </c>
      <c r="E1476" t="s">
        <v>7</v>
      </c>
      <c r="F1476" t="s">
        <v>1577</v>
      </c>
      <c r="G1476">
        <v>2024</v>
      </c>
      <c r="H1476">
        <f>IF(Table1_1[[#This Row],[Type]]="Expense", _xlfn.XLOOKUP(Table1_1[[#This Row],[Category]], Budget_Ref[Category], Budget_Ref[Monthly Budget], 0), 0)</f>
        <v>200</v>
      </c>
      <c r="I1476" t="str">
        <f>IF(Table1_1[[#This Row],[Type]]="Expense", IF(Table1_1[[#This Row],[Amount]]&gt;Table1_1[[#This Row],[Monthly Budget]], "Over Budget", "OK"), "-")</f>
        <v>Over Budget</v>
      </c>
      <c r="J1476">
        <f>IF(Table1_1[[#This Row],[Type]]="Income", Table1_1[[#This Row],[Amount]], -Table1_1[[#This Row],[Amount]])</f>
        <v>-576.51</v>
      </c>
    </row>
    <row r="1477" spans="1:10" x14ac:dyDescent="0.25">
      <c r="A1477" s="1">
        <v>45620</v>
      </c>
      <c r="B1477" t="s">
        <v>1492</v>
      </c>
      <c r="C1477" t="s">
        <v>35</v>
      </c>
      <c r="D1477" s="2">
        <v>831.68</v>
      </c>
      <c r="E1477" t="s">
        <v>7</v>
      </c>
      <c r="F1477" t="s">
        <v>1577</v>
      </c>
      <c r="G1477">
        <v>2024</v>
      </c>
      <c r="H1477">
        <f>IF(Table1_1[[#This Row],[Type]]="Expense", _xlfn.XLOOKUP(Table1_1[[#This Row],[Category]], Budget_Ref[Category], Budget_Ref[Monthly Budget], 0), 0)</f>
        <v>200</v>
      </c>
      <c r="I1477" t="str">
        <f>IF(Table1_1[[#This Row],[Type]]="Expense", IF(Table1_1[[#This Row],[Amount]]&gt;Table1_1[[#This Row],[Monthly Budget]], "Over Budget", "OK"), "-")</f>
        <v>Over Budget</v>
      </c>
      <c r="J1477">
        <f>IF(Table1_1[[#This Row],[Type]]="Income", Table1_1[[#This Row],[Amount]], -Table1_1[[#This Row],[Amount]])</f>
        <v>-831.68</v>
      </c>
    </row>
    <row r="1478" spans="1:10" x14ac:dyDescent="0.25">
      <c r="A1478" s="1">
        <v>45621</v>
      </c>
      <c r="B1478" t="s">
        <v>1493</v>
      </c>
      <c r="C1478" t="s">
        <v>9</v>
      </c>
      <c r="D1478" s="2">
        <v>281.88</v>
      </c>
      <c r="E1478" t="s">
        <v>7</v>
      </c>
      <c r="F1478" t="s">
        <v>1577</v>
      </c>
      <c r="G1478">
        <v>2024</v>
      </c>
      <c r="H1478">
        <f>IF(Table1_1[[#This Row],[Type]]="Expense", _xlfn.XLOOKUP(Table1_1[[#This Row],[Category]], Budget_Ref[Category], Budget_Ref[Monthly Budget], 0), 0)</f>
        <v>150</v>
      </c>
      <c r="I1478" t="str">
        <f>IF(Table1_1[[#This Row],[Type]]="Expense", IF(Table1_1[[#This Row],[Amount]]&gt;Table1_1[[#This Row],[Monthly Budget]], "Over Budget", "OK"), "-")</f>
        <v>Over Budget</v>
      </c>
      <c r="J1478">
        <f>IF(Table1_1[[#This Row],[Type]]="Income", Table1_1[[#This Row],[Amount]], -Table1_1[[#This Row],[Amount]])</f>
        <v>-281.88</v>
      </c>
    </row>
    <row r="1479" spans="1:10" x14ac:dyDescent="0.25">
      <c r="A1479" s="1">
        <v>45621</v>
      </c>
      <c r="B1479" t="s">
        <v>1494</v>
      </c>
      <c r="C1479" t="s">
        <v>20</v>
      </c>
      <c r="D1479" s="2">
        <v>4209</v>
      </c>
      <c r="E1479" t="s">
        <v>14</v>
      </c>
      <c r="F1479" t="s">
        <v>1577</v>
      </c>
      <c r="G1479">
        <v>2024</v>
      </c>
      <c r="H1479">
        <f>IF(Table1_1[[#This Row],[Type]]="Expense", _xlfn.XLOOKUP(Table1_1[[#This Row],[Category]], Budget_Ref[Category], Budget_Ref[Monthly Budget], 0), 0)</f>
        <v>0</v>
      </c>
      <c r="I1479" t="str">
        <f>IF(Table1_1[[#This Row],[Type]]="Expense", IF(Table1_1[[#This Row],[Amount]]&gt;Table1_1[[#This Row],[Monthly Budget]], "Over Budget", "OK"), "-")</f>
        <v>-</v>
      </c>
      <c r="J1479">
        <f>IF(Table1_1[[#This Row],[Type]]="Income", Table1_1[[#This Row],[Amount]], -Table1_1[[#This Row],[Amount]])</f>
        <v>4209</v>
      </c>
    </row>
    <row r="1480" spans="1:10" x14ac:dyDescent="0.25">
      <c r="A1480" s="1">
        <v>45621</v>
      </c>
      <c r="B1480" t="s">
        <v>1495</v>
      </c>
      <c r="C1480" t="s">
        <v>27</v>
      </c>
      <c r="D1480" s="2">
        <v>383.7</v>
      </c>
      <c r="E1480" t="s">
        <v>14</v>
      </c>
      <c r="F1480" t="s">
        <v>1577</v>
      </c>
      <c r="G1480">
        <v>2024</v>
      </c>
      <c r="H1480">
        <f>IF(Table1_1[[#This Row],[Type]]="Expense", _xlfn.XLOOKUP(Table1_1[[#This Row],[Category]], Budget_Ref[Category], Budget_Ref[Monthly Budget], 0), 0)</f>
        <v>0</v>
      </c>
      <c r="I1480" t="str">
        <f>IF(Table1_1[[#This Row],[Type]]="Expense", IF(Table1_1[[#This Row],[Amount]]&gt;Table1_1[[#This Row],[Monthly Budget]], "Over Budget", "OK"), "-")</f>
        <v>-</v>
      </c>
      <c r="J1480">
        <f>IF(Table1_1[[#This Row],[Type]]="Income", Table1_1[[#This Row],[Amount]], -Table1_1[[#This Row],[Amount]])</f>
        <v>383.7</v>
      </c>
    </row>
    <row r="1481" spans="1:10" x14ac:dyDescent="0.25">
      <c r="A1481" s="1">
        <v>45622</v>
      </c>
      <c r="B1481" t="s">
        <v>1496</v>
      </c>
      <c r="C1481" t="s">
        <v>13</v>
      </c>
      <c r="D1481" s="2">
        <v>4882</v>
      </c>
      <c r="E1481" t="s">
        <v>14</v>
      </c>
      <c r="F1481" t="s">
        <v>1577</v>
      </c>
      <c r="G1481">
        <v>2024</v>
      </c>
      <c r="H1481">
        <f>IF(Table1_1[[#This Row],[Type]]="Expense", _xlfn.XLOOKUP(Table1_1[[#This Row],[Category]], Budget_Ref[Category], Budget_Ref[Monthly Budget], 0), 0)</f>
        <v>0</v>
      </c>
      <c r="I1481" t="str">
        <f>IF(Table1_1[[#This Row],[Type]]="Expense", IF(Table1_1[[#This Row],[Amount]]&gt;Table1_1[[#This Row],[Monthly Budget]], "Over Budget", "OK"), "-")</f>
        <v>-</v>
      </c>
      <c r="J1481">
        <f>IF(Table1_1[[#This Row],[Type]]="Income", Table1_1[[#This Row],[Amount]], -Table1_1[[#This Row],[Amount]])</f>
        <v>4882</v>
      </c>
    </row>
    <row r="1482" spans="1:10" x14ac:dyDescent="0.25">
      <c r="A1482" s="1">
        <v>45625</v>
      </c>
      <c r="B1482" t="s">
        <v>1497</v>
      </c>
      <c r="C1482" t="s">
        <v>13</v>
      </c>
      <c r="D1482" s="2">
        <v>2811</v>
      </c>
      <c r="E1482" t="s">
        <v>14</v>
      </c>
      <c r="F1482" t="s">
        <v>1577</v>
      </c>
      <c r="G1482">
        <v>2024</v>
      </c>
      <c r="H1482">
        <f>IF(Table1_1[[#This Row],[Type]]="Expense", _xlfn.XLOOKUP(Table1_1[[#This Row],[Category]], Budget_Ref[Category], Budget_Ref[Monthly Budget], 0), 0)</f>
        <v>0</v>
      </c>
      <c r="I1482" t="str">
        <f>IF(Table1_1[[#This Row],[Type]]="Expense", IF(Table1_1[[#This Row],[Amount]]&gt;Table1_1[[#This Row],[Monthly Budget]], "Over Budget", "OK"), "-")</f>
        <v>-</v>
      </c>
      <c r="J1482">
        <f>IF(Table1_1[[#This Row],[Type]]="Income", Table1_1[[#This Row],[Amount]], -Table1_1[[#This Row],[Amount]])</f>
        <v>2811</v>
      </c>
    </row>
    <row r="1483" spans="1:10" x14ac:dyDescent="0.25">
      <c r="A1483" s="1">
        <v>45626</v>
      </c>
      <c r="B1483" t="s">
        <v>1498</v>
      </c>
      <c r="C1483" t="s">
        <v>27</v>
      </c>
      <c r="D1483" s="2">
        <v>1456.94</v>
      </c>
      <c r="E1483" t="s">
        <v>14</v>
      </c>
      <c r="F1483" t="s">
        <v>1577</v>
      </c>
      <c r="G1483">
        <v>2024</v>
      </c>
      <c r="H1483">
        <f>IF(Table1_1[[#This Row],[Type]]="Expense", _xlfn.XLOOKUP(Table1_1[[#This Row],[Category]], Budget_Ref[Category], Budget_Ref[Monthly Budget], 0), 0)</f>
        <v>0</v>
      </c>
      <c r="I1483" t="str">
        <f>IF(Table1_1[[#This Row],[Type]]="Expense", IF(Table1_1[[#This Row],[Amount]]&gt;Table1_1[[#This Row],[Monthly Budget]], "Over Budget", "OK"), "-")</f>
        <v>-</v>
      </c>
      <c r="J1483">
        <f>IF(Table1_1[[#This Row],[Type]]="Income", Table1_1[[#This Row],[Amount]], -Table1_1[[#This Row],[Amount]])</f>
        <v>1456.94</v>
      </c>
    </row>
    <row r="1484" spans="1:10" x14ac:dyDescent="0.25">
      <c r="A1484" s="1">
        <v>45628</v>
      </c>
      <c r="B1484" t="s">
        <v>1499</v>
      </c>
      <c r="C1484" t="s">
        <v>9</v>
      </c>
      <c r="D1484" s="2">
        <v>39.299999999999997</v>
      </c>
      <c r="E1484" t="s">
        <v>7</v>
      </c>
      <c r="F1484" t="s">
        <v>1578</v>
      </c>
      <c r="G1484">
        <v>2024</v>
      </c>
      <c r="H1484">
        <f>IF(Table1_1[[#This Row],[Type]]="Expense", _xlfn.XLOOKUP(Table1_1[[#This Row],[Category]], Budget_Ref[Category], Budget_Ref[Monthly Budget], 0), 0)</f>
        <v>150</v>
      </c>
      <c r="I1484" t="str">
        <f>IF(Table1_1[[#This Row],[Type]]="Expense", IF(Table1_1[[#This Row],[Amount]]&gt;Table1_1[[#This Row],[Monthly Budget]], "Over Budget", "OK"), "-")</f>
        <v>OK</v>
      </c>
      <c r="J1484">
        <f>IF(Table1_1[[#This Row],[Type]]="Income", Table1_1[[#This Row],[Amount]], -Table1_1[[#This Row],[Amount]])</f>
        <v>-39.299999999999997</v>
      </c>
    </row>
    <row r="1485" spans="1:10" x14ac:dyDescent="0.25">
      <c r="A1485" s="1">
        <v>45631</v>
      </c>
      <c r="B1485" t="s">
        <v>1500</v>
      </c>
      <c r="C1485" t="s">
        <v>17</v>
      </c>
      <c r="D1485" s="2">
        <v>630.04</v>
      </c>
      <c r="E1485" t="s">
        <v>7</v>
      </c>
      <c r="F1485" t="s">
        <v>1578</v>
      </c>
      <c r="G1485">
        <v>2024</v>
      </c>
      <c r="H1485">
        <f>IF(Table1_1[[#This Row],[Type]]="Expense", _xlfn.XLOOKUP(Table1_1[[#This Row],[Category]], Budget_Ref[Category], Budget_Ref[Monthly Budget], 0), 0)</f>
        <v>300</v>
      </c>
      <c r="I1485" t="str">
        <f>IF(Table1_1[[#This Row],[Type]]="Expense", IF(Table1_1[[#This Row],[Amount]]&gt;Table1_1[[#This Row],[Monthly Budget]], "Over Budget", "OK"), "-")</f>
        <v>Over Budget</v>
      </c>
      <c r="J1485">
        <f>IF(Table1_1[[#This Row],[Type]]="Income", Table1_1[[#This Row],[Amount]], -Table1_1[[#This Row],[Amount]])</f>
        <v>-630.04</v>
      </c>
    </row>
    <row r="1486" spans="1:10" x14ac:dyDescent="0.25">
      <c r="A1486" s="1">
        <v>45632</v>
      </c>
      <c r="B1486" t="s">
        <v>1501</v>
      </c>
      <c r="C1486" t="s">
        <v>25</v>
      </c>
      <c r="D1486" s="2">
        <v>932.73</v>
      </c>
      <c r="E1486" t="s">
        <v>7</v>
      </c>
      <c r="F1486" t="s">
        <v>1578</v>
      </c>
      <c r="G1486">
        <v>2024</v>
      </c>
      <c r="H1486">
        <f>IF(Table1_1[[#This Row],[Type]]="Expense", _xlfn.XLOOKUP(Table1_1[[#This Row],[Category]], Budget_Ref[Category], Budget_Ref[Monthly Budget], 0), 0)</f>
        <v>150</v>
      </c>
      <c r="I1486" t="str">
        <f>IF(Table1_1[[#This Row],[Type]]="Expense", IF(Table1_1[[#This Row],[Amount]]&gt;Table1_1[[#This Row],[Monthly Budget]], "Over Budget", "OK"), "-")</f>
        <v>Over Budget</v>
      </c>
      <c r="J1486">
        <f>IF(Table1_1[[#This Row],[Type]]="Income", Table1_1[[#This Row],[Amount]], -Table1_1[[#This Row],[Amount]])</f>
        <v>-932.73</v>
      </c>
    </row>
    <row r="1487" spans="1:10" x14ac:dyDescent="0.25">
      <c r="A1487" s="1">
        <v>45635</v>
      </c>
      <c r="B1487" t="s">
        <v>1502</v>
      </c>
      <c r="C1487" t="s">
        <v>25</v>
      </c>
      <c r="D1487" s="2">
        <v>169.64</v>
      </c>
      <c r="E1487" t="s">
        <v>7</v>
      </c>
      <c r="F1487" t="s">
        <v>1578</v>
      </c>
      <c r="G1487">
        <v>2024</v>
      </c>
      <c r="H1487">
        <f>IF(Table1_1[[#This Row],[Type]]="Expense", _xlfn.XLOOKUP(Table1_1[[#This Row],[Category]], Budget_Ref[Category], Budget_Ref[Monthly Budget], 0), 0)</f>
        <v>150</v>
      </c>
      <c r="I1487" t="str">
        <f>IF(Table1_1[[#This Row],[Type]]="Expense", IF(Table1_1[[#This Row],[Amount]]&gt;Table1_1[[#This Row],[Monthly Budget]], "Over Budget", "OK"), "-")</f>
        <v>Over Budget</v>
      </c>
      <c r="J1487">
        <f>IF(Table1_1[[#This Row],[Type]]="Income", Table1_1[[#This Row],[Amount]], -Table1_1[[#This Row],[Amount]])</f>
        <v>-169.64</v>
      </c>
    </row>
    <row r="1488" spans="1:10" x14ac:dyDescent="0.25">
      <c r="A1488" s="1">
        <v>45637</v>
      </c>
      <c r="B1488" t="s">
        <v>1503</v>
      </c>
      <c r="C1488" t="s">
        <v>9</v>
      </c>
      <c r="D1488" s="2">
        <v>121.52</v>
      </c>
      <c r="E1488" t="s">
        <v>7</v>
      </c>
      <c r="F1488" t="s">
        <v>1578</v>
      </c>
      <c r="G1488">
        <v>2024</v>
      </c>
      <c r="H1488">
        <f>IF(Table1_1[[#This Row],[Type]]="Expense", _xlfn.XLOOKUP(Table1_1[[#This Row],[Category]], Budget_Ref[Category], Budget_Ref[Monthly Budget], 0), 0)</f>
        <v>150</v>
      </c>
      <c r="I1488" t="str">
        <f>IF(Table1_1[[#This Row],[Type]]="Expense", IF(Table1_1[[#This Row],[Amount]]&gt;Table1_1[[#This Row],[Monthly Budget]], "Over Budget", "OK"), "-")</f>
        <v>OK</v>
      </c>
      <c r="J1488">
        <f>IF(Table1_1[[#This Row],[Type]]="Income", Table1_1[[#This Row],[Amount]], -Table1_1[[#This Row],[Amount]])</f>
        <v>-121.52</v>
      </c>
    </row>
    <row r="1489" spans="1:10" x14ac:dyDescent="0.25">
      <c r="A1489" s="1">
        <v>45638</v>
      </c>
      <c r="B1489" t="s">
        <v>1504</v>
      </c>
      <c r="C1489" t="s">
        <v>11</v>
      </c>
      <c r="D1489" s="2">
        <v>1090.95</v>
      </c>
      <c r="E1489" t="s">
        <v>7</v>
      </c>
      <c r="F1489" t="s">
        <v>1578</v>
      </c>
      <c r="G1489">
        <v>2024</v>
      </c>
      <c r="H1489">
        <f>IF(Table1_1[[#This Row],[Type]]="Expense", _xlfn.XLOOKUP(Table1_1[[#This Row],[Category]], Budget_Ref[Category], Budget_Ref[Monthly Budget], 0), 0)</f>
        <v>1500</v>
      </c>
      <c r="I1489" t="str">
        <f>IF(Table1_1[[#This Row],[Type]]="Expense", IF(Table1_1[[#This Row],[Amount]]&gt;Table1_1[[#This Row],[Monthly Budget]], "Over Budget", "OK"), "-")</f>
        <v>OK</v>
      </c>
      <c r="J1489">
        <f>IF(Table1_1[[#This Row],[Type]]="Income", Table1_1[[#This Row],[Amount]], -Table1_1[[#This Row],[Amount]])</f>
        <v>-1090.95</v>
      </c>
    </row>
    <row r="1490" spans="1:10" x14ac:dyDescent="0.25">
      <c r="A1490" s="1">
        <v>45638</v>
      </c>
      <c r="B1490" t="s">
        <v>1505</v>
      </c>
      <c r="C1490" t="s">
        <v>20</v>
      </c>
      <c r="D1490" s="2">
        <v>3625</v>
      </c>
      <c r="E1490" t="s">
        <v>14</v>
      </c>
      <c r="F1490" t="s">
        <v>1578</v>
      </c>
      <c r="G1490">
        <v>2024</v>
      </c>
      <c r="H1490">
        <f>IF(Table1_1[[#This Row],[Type]]="Expense", _xlfn.XLOOKUP(Table1_1[[#This Row],[Category]], Budget_Ref[Category], Budget_Ref[Monthly Budget], 0), 0)</f>
        <v>0</v>
      </c>
      <c r="I1490" t="str">
        <f>IF(Table1_1[[#This Row],[Type]]="Expense", IF(Table1_1[[#This Row],[Amount]]&gt;Table1_1[[#This Row],[Monthly Budget]], "Over Budget", "OK"), "-")</f>
        <v>-</v>
      </c>
      <c r="J1490">
        <f>IF(Table1_1[[#This Row],[Type]]="Income", Table1_1[[#This Row],[Amount]], -Table1_1[[#This Row],[Amount]])</f>
        <v>3625</v>
      </c>
    </row>
    <row r="1491" spans="1:10" x14ac:dyDescent="0.25">
      <c r="A1491" s="1">
        <v>45641</v>
      </c>
      <c r="B1491" t="s">
        <v>1506</v>
      </c>
      <c r="C1491" t="s">
        <v>11</v>
      </c>
      <c r="D1491" s="2">
        <v>1949.45</v>
      </c>
      <c r="E1491" t="s">
        <v>7</v>
      </c>
      <c r="F1491" t="s">
        <v>1578</v>
      </c>
      <c r="G1491">
        <v>2024</v>
      </c>
      <c r="H1491">
        <f>IF(Table1_1[[#This Row],[Type]]="Expense", _xlfn.XLOOKUP(Table1_1[[#This Row],[Category]], Budget_Ref[Category], Budget_Ref[Monthly Budget], 0), 0)</f>
        <v>1500</v>
      </c>
      <c r="I1491" t="str">
        <f>IF(Table1_1[[#This Row],[Type]]="Expense", IF(Table1_1[[#This Row],[Amount]]&gt;Table1_1[[#This Row],[Monthly Budget]], "Over Budget", "OK"), "-")</f>
        <v>Over Budget</v>
      </c>
      <c r="J1491">
        <f>IF(Table1_1[[#This Row],[Type]]="Income", Table1_1[[#This Row],[Amount]], -Table1_1[[#This Row],[Amount]])</f>
        <v>-1949.45</v>
      </c>
    </row>
    <row r="1492" spans="1:10" x14ac:dyDescent="0.25">
      <c r="A1492" s="1">
        <v>45642</v>
      </c>
      <c r="B1492" t="s">
        <v>1507</v>
      </c>
      <c r="C1492" t="s">
        <v>17</v>
      </c>
      <c r="D1492" s="2">
        <v>1544.74</v>
      </c>
      <c r="E1492" t="s">
        <v>7</v>
      </c>
      <c r="F1492" t="s">
        <v>1578</v>
      </c>
      <c r="G1492">
        <v>2024</v>
      </c>
      <c r="H1492">
        <f>IF(Table1_1[[#This Row],[Type]]="Expense", _xlfn.XLOOKUP(Table1_1[[#This Row],[Category]], Budget_Ref[Category], Budget_Ref[Monthly Budget], 0), 0)</f>
        <v>300</v>
      </c>
      <c r="I1492" t="str">
        <f>IF(Table1_1[[#This Row],[Type]]="Expense", IF(Table1_1[[#This Row],[Amount]]&gt;Table1_1[[#This Row],[Monthly Budget]], "Over Budget", "OK"), "-")</f>
        <v>Over Budget</v>
      </c>
      <c r="J1492">
        <f>IF(Table1_1[[#This Row],[Type]]="Income", Table1_1[[#This Row],[Amount]], -Table1_1[[#This Row],[Amount]])</f>
        <v>-1544.74</v>
      </c>
    </row>
    <row r="1493" spans="1:10" x14ac:dyDescent="0.25">
      <c r="A1493" s="1">
        <v>45645</v>
      </c>
      <c r="B1493" t="s">
        <v>1508</v>
      </c>
      <c r="C1493" t="s">
        <v>6</v>
      </c>
      <c r="D1493" s="2">
        <v>406.37</v>
      </c>
      <c r="E1493" t="s">
        <v>7</v>
      </c>
      <c r="F1493" t="s">
        <v>1578</v>
      </c>
      <c r="G1493">
        <v>2024</v>
      </c>
      <c r="H1493">
        <f>IF(Table1_1[[#This Row],[Type]]="Expense", _xlfn.XLOOKUP(Table1_1[[#This Row],[Category]], Budget_Ref[Category], Budget_Ref[Monthly Budget], 0), 0)</f>
        <v>500</v>
      </c>
      <c r="I1493" t="str">
        <f>IF(Table1_1[[#This Row],[Type]]="Expense", IF(Table1_1[[#This Row],[Amount]]&gt;Table1_1[[#This Row],[Monthly Budget]], "Over Budget", "OK"), "-")</f>
        <v>OK</v>
      </c>
      <c r="J1493">
        <f>IF(Table1_1[[#This Row],[Type]]="Income", Table1_1[[#This Row],[Amount]], -Table1_1[[#This Row],[Amount]])</f>
        <v>-406.37</v>
      </c>
    </row>
    <row r="1494" spans="1:10" x14ac:dyDescent="0.25">
      <c r="A1494" s="1">
        <v>45645</v>
      </c>
      <c r="B1494" t="s">
        <v>1509</v>
      </c>
      <c r="C1494" t="s">
        <v>11</v>
      </c>
      <c r="D1494" s="2">
        <v>1047.07</v>
      </c>
      <c r="E1494" t="s">
        <v>7</v>
      </c>
      <c r="F1494" t="s">
        <v>1578</v>
      </c>
      <c r="G1494">
        <v>2024</v>
      </c>
      <c r="H1494">
        <f>IF(Table1_1[[#This Row],[Type]]="Expense", _xlfn.XLOOKUP(Table1_1[[#This Row],[Category]], Budget_Ref[Category], Budget_Ref[Monthly Budget], 0), 0)</f>
        <v>1500</v>
      </c>
      <c r="I1494" t="str">
        <f>IF(Table1_1[[#This Row],[Type]]="Expense", IF(Table1_1[[#This Row],[Amount]]&gt;Table1_1[[#This Row],[Monthly Budget]], "Over Budget", "OK"), "-")</f>
        <v>OK</v>
      </c>
      <c r="J1494">
        <f>IF(Table1_1[[#This Row],[Type]]="Income", Table1_1[[#This Row],[Amount]], -Table1_1[[#This Row],[Amount]])</f>
        <v>-1047.07</v>
      </c>
    </row>
    <row r="1495" spans="1:10" x14ac:dyDescent="0.25">
      <c r="A1495" s="1">
        <v>45647</v>
      </c>
      <c r="B1495" t="s">
        <v>1510</v>
      </c>
      <c r="C1495" t="s">
        <v>27</v>
      </c>
      <c r="D1495" s="2">
        <v>784.35</v>
      </c>
      <c r="E1495" t="s">
        <v>14</v>
      </c>
      <c r="F1495" t="s">
        <v>1578</v>
      </c>
      <c r="G1495">
        <v>2024</v>
      </c>
      <c r="H1495">
        <f>IF(Table1_1[[#This Row],[Type]]="Expense", _xlfn.XLOOKUP(Table1_1[[#This Row],[Category]], Budget_Ref[Category], Budget_Ref[Monthly Budget], 0), 0)</f>
        <v>0</v>
      </c>
      <c r="I1495" t="str">
        <f>IF(Table1_1[[#This Row],[Type]]="Expense", IF(Table1_1[[#This Row],[Amount]]&gt;Table1_1[[#This Row],[Monthly Budget]], "Over Budget", "OK"), "-")</f>
        <v>-</v>
      </c>
      <c r="J1495">
        <f>IF(Table1_1[[#This Row],[Type]]="Income", Table1_1[[#This Row],[Amount]], -Table1_1[[#This Row],[Amount]])</f>
        <v>784.35</v>
      </c>
    </row>
    <row r="1496" spans="1:10" x14ac:dyDescent="0.25">
      <c r="A1496" s="1">
        <v>45649</v>
      </c>
      <c r="B1496" t="s">
        <v>1511</v>
      </c>
      <c r="C1496" t="s">
        <v>25</v>
      </c>
      <c r="D1496" s="2">
        <v>325.64</v>
      </c>
      <c r="E1496" t="s">
        <v>7</v>
      </c>
      <c r="F1496" t="s">
        <v>1578</v>
      </c>
      <c r="G1496">
        <v>2024</v>
      </c>
      <c r="H1496">
        <f>IF(Table1_1[[#This Row],[Type]]="Expense", _xlfn.XLOOKUP(Table1_1[[#This Row],[Category]], Budget_Ref[Category], Budget_Ref[Monthly Budget], 0), 0)</f>
        <v>150</v>
      </c>
      <c r="I1496" t="str">
        <f>IF(Table1_1[[#This Row],[Type]]="Expense", IF(Table1_1[[#This Row],[Amount]]&gt;Table1_1[[#This Row],[Monthly Budget]], "Over Budget", "OK"), "-")</f>
        <v>Over Budget</v>
      </c>
      <c r="J1496">
        <f>IF(Table1_1[[#This Row],[Type]]="Income", Table1_1[[#This Row],[Amount]], -Table1_1[[#This Row],[Amount]])</f>
        <v>-325.64</v>
      </c>
    </row>
    <row r="1497" spans="1:10" x14ac:dyDescent="0.25">
      <c r="A1497" s="1">
        <v>45654</v>
      </c>
      <c r="B1497" t="s">
        <v>1512</v>
      </c>
      <c r="C1497" t="s">
        <v>11</v>
      </c>
      <c r="D1497" s="2">
        <v>514.09</v>
      </c>
      <c r="E1497" t="s">
        <v>7</v>
      </c>
      <c r="F1497" t="s">
        <v>1578</v>
      </c>
      <c r="G1497">
        <v>2024</v>
      </c>
      <c r="H1497">
        <f>IF(Table1_1[[#This Row],[Type]]="Expense", _xlfn.XLOOKUP(Table1_1[[#This Row],[Category]], Budget_Ref[Category], Budget_Ref[Monthly Budget], 0), 0)</f>
        <v>1500</v>
      </c>
      <c r="I1497" t="str">
        <f>IF(Table1_1[[#This Row],[Type]]="Expense", IF(Table1_1[[#This Row],[Amount]]&gt;Table1_1[[#This Row],[Monthly Budget]], "Over Budget", "OK"), "-")</f>
        <v>OK</v>
      </c>
      <c r="J1497">
        <f>IF(Table1_1[[#This Row],[Type]]="Income", Table1_1[[#This Row],[Amount]], -Table1_1[[#This Row],[Amount]])</f>
        <v>-514.09</v>
      </c>
    </row>
    <row r="1498" spans="1:10" x14ac:dyDescent="0.25">
      <c r="A1498" s="1">
        <v>45654</v>
      </c>
      <c r="B1498" t="s">
        <v>1513</v>
      </c>
      <c r="C1498" t="s">
        <v>22</v>
      </c>
      <c r="D1498" s="2">
        <v>727.25</v>
      </c>
      <c r="E1498" t="s">
        <v>7</v>
      </c>
      <c r="F1498" t="s">
        <v>1578</v>
      </c>
      <c r="G1498">
        <v>2024</v>
      </c>
      <c r="H1498">
        <f>IF(Table1_1[[#This Row],[Type]]="Expense", _xlfn.XLOOKUP(Table1_1[[#This Row],[Category]], Budget_Ref[Category], Budget_Ref[Monthly Budget], 0), 0)</f>
        <v>200</v>
      </c>
      <c r="I1498" t="str">
        <f>IF(Table1_1[[#This Row],[Type]]="Expense", IF(Table1_1[[#This Row],[Amount]]&gt;Table1_1[[#This Row],[Monthly Budget]], "Over Budget", "OK"), "-")</f>
        <v>Over Budget</v>
      </c>
      <c r="J1498">
        <f>IF(Table1_1[[#This Row],[Type]]="Income", Table1_1[[#This Row],[Amount]], -Table1_1[[#This Row],[Amount]])</f>
        <v>-727.25</v>
      </c>
    </row>
    <row r="1499" spans="1:10" x14ac:dyDescent="0.25">
      <c r="A1499" s="1">
        <v>45654</v>
      </c>
      <c r="B1499" t="s">
        <v>1514</v>
      </c>
      <c r="C1499" t="s">
        <v>13</v>
      </c>
      <c r="D1499" s="2">
        <v>1425</v>
      </c>
      <c r="E1499" t="s">
        <v>14</v>
      </c>
      <c r="F1499" t="s">
        <v>1578</v>
      </c>
      <c r="G1499">
        <v>2024</v>
      </c>
      <c r="H1499">
        <f>IF(Table1_1[[#This Row],[Type]]="Expense", _xlfn.XLOOKUP(Table1_1[[#This Row],[Category]], Budget_Ref[Category], Budget_Ref[Monthly Budget], 0), 0)</f>
        <v>0</v>
      </c>
      <c r="I1499" t="str">
        <f>IF(Table1_1[[#This Row],[Type]]="Expense", IF(Table1_1[[#This Row],[Amount]]&gt;Table1_1[[#This Row],[Monthly Budget]], "Over Budget", "OK"), "-")</f>
        <v>-</v>
      </c>
      <c r="J1499">
        <f>IF(Table1_1[[#This Row],[Type]]="Income", Table1_1[[#This Row],[Amount]], -Table1_1[[#This Row],[Amount]])</f>
        <v>1425</v>
      </c>
    </row>
    <row r="1500" spans="1:10" x14ac:dyDescent="0.25">
      <c r="A1500" s="1">
        <v>45655</v>
      </c>
      <c r="B1500" t="s">
        <v>1515</v>
      </c>
      <c r="C1500" t="s">
        <v>17</v>
      </c>
      <c r="D1500" s="2">
        <v>655.78</v>
      </c>
      <c r="E1500" t="s">
        <v>7</v>
      </c>
      <c r="F1500" t="s">
        <v>1578</v>
      </c>
      <c r="G1500">
        <v>2024</v>
      </c>
      <c r="H1500">
        <f>IF(Table1_1[[#This Row],[Type]]="Expense", _xlfn.XLOOKUP(Table1_1[[#This Row],[Category]], Budget_Ref[Category], Budget_Ref[Monthly Budget], 0), 0)</f>
        <v>300</v>
      </c>
      <c r="I1500" t="str">
        <f>IF(Table1_1[[#This Row],[Type]]="Expense", IF(Table1_1[[#This Row],[Amount]]&gt;Table1_1[[#This Row],[Monthly Budget]], "Over Budget", "OK"), "-")</f>
        <v>Over Budget</v>
      </c>
      <c r="J1500">
        <f>IF(Table1_1[[#This Row],[Type]]="Income", Table1_1[[#This Row],[Amount]], -Table1_1[[#This Row],[Amount]])</f>
        <v>-655.78</v>
      </c>
    </row>
    <row r="1501" spans="1:10" x14ac:dyDescent="0.25">
      <c r="A1501" s="1">
        <v>45655</v>
      </c>
      <c r="B1501" t="s">
        <v>1516</v>
      </c>
      <c r="C1501" t="s">
        <v>20</v>
      </c>
      <c r="D1501" s="2">
        <v>1480</v>
      </c>
      <c r="E1501" t="s">
        <v>14</v>
      </c>
      <c r="F1501" t="s">
        <v>1578</v>
      </c>
      <c r="G1501">
        <v>2024</v>
      </c>
      <c r="H1501">
        <f>IF(Table1_1[[#This Row],[Type]]="Expense", _xlfn.XLOOKUP(Table1_1[[#This Row],[Category]], Budget_Ref[Category], Budget_Ref[Monthly Budget], 0), 0)</f>
        <v>0</v>
      </c>
      <c r="I1501" t="str">
        <f>IF(Table1_1[[#This Row],[Type]]="Expense", IF(Table1_1[[#This Row],[Amount]]&gt;Table1_1[[#This Row],[Monthly Budget]], "Over Budget", "OK"), "-")</f>
        <v>-</v>
      </c>
      <c r="J1501">
        <f>IF(Table1_1[[#This Row],[Type]]="Income", Table1_1[[#This Row],[Amount]], -Table1_1[[#This Row],[Amount]])</f>
        <v>1480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1F35-F27C-42C7-A2D7-860BA4B254D4}">
  <dimension ref="A1:B9"/>
  <sheetViews>
    <sheetView workbookViewId="0">
      <selection activeCell="B3" sqref="B3"/>
    </sheetView>
  </sheetViews>
  <sheetFormatPr defaultRowHeight="15" x14ac:dyDescent="0.25"/>
  <cols>
    <col min="1" max="1" width="15.28515625" bestFit="1" customWidth="1"/>
    <col min="2" max="2" width="17.140625" style="3" customWidth="1"/>
  </cols>
  <sheetData>
    <row r="1" spans="1:2" x14ac:dyDescent="0.25">
      <c r="A1" t="s">
        <v>2</v>
      </c>
      <c r="B1" s="3" t="s">
        <v>1579</v>
      </c>
    </row>
    <row r="2" spans="1:2" x14ac:dyDescent="0.25">
      <c r="A2" t="s">
        <v>22</v>
      </c>
      <c r="B2" s="3">
        <v>200</v>
      </c>
    </row>
    <row r="3" spans="1:2" x14ac:dyDescent="0.25">
      <c r="A3" t="s">
        <v>6</v>
      </c>
      <c r="B3" s="3">
        <v>500</v>
      </c>
    </row>
    <row r="4" spans="1:2" x14ac:dyDescent="0.25">
      <c r="A4" t="s">
        <v>25</v>
      </c>
      <c r="B4" s="3">
        <v>150</v>
      </c>
    </row>
    <row r="5" spans="1:2" x14ac:dyDescent="0.25">
      <c r="A5" t="s">
        <v>20</v>
      </c>
      <c r="B5" s="3">
        <v>100</v>
      </c>
    </row>
    <row r="6" spans="1:2" x14ac:dyDescent="0.25">
      <c r="A6" t="s">
        <v>11</v>
      </c>
      <c r="B6" s="3">
        <v>1500</v>
      </c>
    </row>
    <row r="7" spans="1:2" x14ac:dyDescent="0.25">
      <c r="A7" t="s">
        <v>17</v>
      </c>
      <c r="B7" s="3">
        <v>300</v>
      </c>
    </row>
    <row r="8" spans="1:2" x14ac:dyDescent="0.25">
      <c r="A8" t="s">
        <v>35</v>
      </c>
      <c r="B8" s="3">
        <v>200</v>
      </c>
    </row>
    <row r="9" spans="1:2" x14ac:dyDescent="0.25">
      <c r="A9" t="s">
        <v>9</v>
      </c>
      <c r="B9" s="3">
        <v>150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5BC6-8A91-44D3-ADED-B916B84A70F5}">
  <dimension ref="A1:V16"/>
  <sheetViews>
    <sheetView topLeftCell="J1" zoomScale="76" workbookViewId="0">
      <selection activeCell="V5" sqref="V5"/>
    </sheetView>
  </sheetViews>
  <sheetFormatPr defaultRowHeight="15" x14ac:dyDescent="0.25"/>
  <cols>
    <col min="1" max="1" width="13.85546875" bestFit="1" customWidth="1"/>
    <col min="2" max="2" width="14.85546875" bestFit="1" customWidth="1"/>
    <col min="3" max="3" width="13.42578125" bestFit="1" customWidth="1"/>
    <col min="4" max="4" width="15.28515625" bestFit="1" customWidth="1"/>
    <col min="5" max="5" width="14.85546875" bestFit="1" customWidth="1"/>
    <col min="7" max="7" width="15.28515625" bestFit="1" customWidth="1"/>
    <col min="8" max="8" width="14.85546875" bestFit="1" customWidth="1"/>
    <col min="10" max="10" width="14.85546875" bestFit="1" customWidth="1"/>
    <col min="11" max="11" width="17.28515625" bestFit="1" customWidth="1"/>
    <col min="12" max="12" width="12.42578125" bestFit="1" customWidth="1"/>
    <col min="13" max="13" width="15.42578125" bestFit="1" customWidth="1"/>
    <col min="21" max="21" width="13.85546875" bestFit="1" customWidth="1"/>
    <col min="22" max="22" width="14.85546875" bestFit="1" customWidth="1"/>
  </cols>
  <sheetData>
    <row r="1" spans="1:22" x14ac:dyDescent="0.25">
      <c r="D1" s="4" t="s">
        <v>4</v>
      </c>
      <c r="E1" t="s">
        <v>7</v>
      </c>
      <c r="G1" s="4" t="s">
        <v>4</v>
      </c>
      <c r="H1" t="s">
        <v>7</v>
      </c>
    </row>
    <row r="2" spans="1:22" x14ac:dyDescent="0.25">
      <c r="U2" s="4" t="s">
        <v>4</v>
      </c>
      <c r="V2" t="s">
        <v>7</v>
      </c>
    </row>
    <row r="3" spans="1:22" x14ac:dyDescent="0.25">
      <c r="A3" s="4" t="s">
        <v>1582</v>
      </c>
      <c r="B3" t="s">
        <v>1585</v>
      </c>
      <c r="D3" s="4" t="s">
        <v>1582</v>
      </c>
      <c r="E3" t="s">
        <v>1585</v>
      </c>
      <c r="G3" s="4" t="s">
        <v>1582</v>
      </c>
      <c r="H3" t="s">
        <v>1585</v>
      </c>
      <c r="J3" s="4" t="s">
        <v>1585</v>
      </c>
      <c r="K3" s="4" t="s">
        <v>1584</v>
      </c>
    </row>
    <row r="4" spans="1:22" x14ac:dyDescent="0.25">
      <c r="A4" s="5" t="s">
        <v>7</v>
      </c>
      <c r="B4" s="6">
        <v>214983.81000000008</v>
      </c>
      <c r="D4" s="5" t="s">
        <v>22</v>
      </c>
      <c r="E4" s="6">
        <v>37801.549999999996</v>
      </c>
      <c r="G4" s="5" t="s">
        <v>22</v>
      </c>
      <c r="H4" s="7">
        <v>0.17583440353020072</v>
      </c>
      <c r="J4" s="4" t="s">
        <v>1582</v>
      </c>
      <c r="K4" t="s">
        <v>7</v>
      </c>
      <c r="L4" t="s">
        <v>14</v>
      </c>
      <c r="U4" s="4" t="s">
        <v>1582</v>
      </c>
      <c r="V4" t="s">
        <v>1585</v>
      </c>
    </row>
    <row r="5" spans="1:22" x14ac:dyDescent="0.25">
      <c r="A5" s="5" t="s">
        <v>14</v>
      </c>
      <c r="B5" s="6">
        <v>209617.65000000002</v>
      </c>
      <c r="D5" s="5" t="s">
        <v>6</v>
      </c>
      <c r="E5" s="6">
        <v>33094.939999999995</v>
      </c>
      <c r="G5" s="5" t="s">
        <v>6</v>
      </c>
      <c r="H5" s="7">
        <v>0.15394154564476273</v>
      </c>
      <c r="J5" s="5" t="s">
        <v>1567</v>
      </c>
      <c r="K5" s="6">
        <v>26896.850000000002</v>
      </c>
      <c r="L5" s="6">
        <v>25993.279999999999</v>
      </c>
      <c r="U5" s="5" t="s">
        <v>1588</v>
      </c>
      <c r="V5" s="6">
        <v>22542.899999999998</v>
      </c>
    </row>
    <row r="6" spans="1:22" x14ac:dyDescent="0.25">
      <c r="D6" s="5" t="s">
        <v>25</v>
      </c>
      <c r="E6" s="6">
        <v>30198.84</v>
      </c>
      <c r="G6" s="5" t="s">
        <v>25</v>
      </c>
      <c r="H6" s="7">
        <v>0.14047029867039756</v>
      </c>
      <c r="J6" s="5" t="s">
        <v>1568</v>
      </c>
      <c r="K6" s="6">
        <v>20152.329999999998</v>
      </c>
      <c r="L6" s="6">
        <v>16291.97</v>
      </c>
      <c r="U6" s="5" t="s">
        <v>1589</v>
      </c>
      <c r="V6" s="6">
        <v>192440.91</v>
      </c>
    </row>
    <row r="7" spans="1:22" x14ac:dyDescent="0.25">
      <c r="A7" s="6" t="s">
        <v>1586</v>
      </c>
      <c r="B7" s="6">
        <f>B5-B4</f>
        <v>-5366.1600000000617</v>
      </c>
      <c r="D7" s="5" t="s">
        <v>11</v>
      </c>
      <c r="E7" s="6">
        <v>25344.409999999996</v>
      </c>
      <c r="G7" s="5" t="s">
        <v>11</v>
      </c>
      <c r="H7" s="7">
        <v>0.11788985412436406</v>
      </c>
      <c r="J7" s="5" t="s">
        <v>1569</v>
      </c>
      <c r="K7" s="6">
        <v>14306.03</v>
      </c>
      <c r="L7" s="6">
        <v>8970.4</v>
      </c>
      <c r="U7" s="5" t="s">
        <v>1583</v>
      </c>
      <c r="V7" s="6">
        <v>214983.81</v>
      </c>
    </row>
    <row r="8" spans="1:22" x14ac:dyDescent="0.25">
      <c r="A8" t="s">
        <v>1587</v>
      </c>
      <c r="B8" s="8">
        <f>B7/B5</f>
        <v>-2.5599752692581284E-2</v>
      </c>
      <c r="D8" s="5" t="s">
        <v>17</v>
      </c>
      <c r="E8" s="6">
        <v>23154.159999999996</v>
      </c>
      <c r="G8" s="5" t="s">
        <v>17</v>
      </c>
      <c r="H8" s="7">
        <v>0.10770187764371651</v>
      </c>
      <c r="J8" s="5" t="s">
        <v>1570</v>
      </c>
      <c r="K8" s="6">
        <v>13539.609999999997</v>
      </c>
      <c r="L8" s="6">
        <v>24685.559999999998</v>
      </c>
    </row>
    <row r="9" spans="1:22" x14ac:dyDescent="0.25">
      <c r="D9" s="5" t="s">
        <v>35</v>
      </c>
      <c r="E9" s="6">
        <v>40314.14</v>
      </c>
      <c r="G9" s="5" t="s">
        <v>35</v>
      </c>
      <c r="H9" s="7">
        <v>0.18752174873075328</v>
      </c>
      <c r="J9" s="5" t="s">
        <v>1571</v>
      </c>
      <c r="K9" s="6">
        <v>14511.28</v>
      </c>
      <c r="L9" s="6">
        <v>5607.28</v>
      </c>
    </row>
    <row r="10" spans="1:22" x14ac:dyDescent="0.25">
      <c r="D10" s="5" t="s">
        <v>9</v>
      </c>
      <c r="E10" s="6">
        <v>25075.77</v>
      </c>
      <c r="G10" s="5" t="s">
        <v>9</v>
      </c>
      <c r="H10" s="7">
        <v>0.11664027165580516</v>
      </c>
      <c r="J10" s="5" t="s">
        <v>1572</v>
      </c>
      <c r="K10" s="6">
        <v>18657.79</v>
      </c>
      <c r="L10" s="6">
        <v>17866.28</v>
      </c>
    </row>
    <row r="11" spans="1:22" x14ac:dyDescent="0.25">
      <c r="D11" s="5" t="s">
        <v>1583</v>
      </c>
      <c r="E11" s="6">
        <v>214983.80999999997</v>
      </c>
      <c r="G11" s="5" t="s">
        <v>1583</v>
      </c>
      <c r="H11" s="7">
        <v>1</v>
      </c>
      <c r="J11" s="5" t="s">
        <v>1573</v>
      </c>
      <c r="K11" s="6">
        <v>23401.73</v>
      </c>
      <c r="L11" s="6">
        <v>23668.350000000002</v>
      </c>
    </row>
    <row r="12" spans="1:22" x14ac:dyDescent="0.25">
      <c r="J12" s="5" t="s">
        <v>1574</v>
      </c>
      <c r="K12" s="6">
        <v>19141.54</v>
      </c>
      <c r="L12" s="6">
        <v>10447.15</v>
      </c>
    </row>
    <row r="13" spans="1:22" x14ac:dyDescent="0.25">
      <c r="J13" s="5" t="s">
        <v>1575</v>
      </c>
      <c r="K13" s="6">
        <v>17504.03</v>
      </c>
      <c r="L13" s="6">
        <v>21827.91</v>
      </c>
    </row>
    <row r="14" spans="1:22" x14ac:dyDescent="0.25">
      <c r="J14" s="5" t="s">
        <v>1576</v>
      </c>
      <c r="K14" s="6">
        <v>18805.86</v>
      </c>
      <c r="L14" s="6">
        <v>17152.349999999999</v>
      </c>
    </row>
    <row r="15" spans="1:22" x14ac:dyDescent="0.25">
      <c r="J15" s="5" t="s">
        <v>1577</v>
      </c>
      <c r="K15" s="6">
        <v>17912.190000000002</v>
      </c>
      <c r="L15" s="6">
        <v>29792.77</v>
      </c>
    </row>
    <row r="16" spans="1:22" x14ac:dyDescent="0.25">
      <c r="J16" s="5" t="s">
        <v>1578</v>
      </c>
      <c r="K16" s="6">
        <v>10154.57</v>
      </c>
      <c r="L16" s="6">
        <v>7314.35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BCE4-3319-4C9E-824D-E2F537CF0633}">
  <dimension ref="A1"/>
  <sheetViews>
    <sheetView tabSelected="1" zoomScale="77" zoomScaleNormal="84" workbookViewId="0">
      <selection activeCell="Y12" sqref="Y12"/>
    </sheetView>
  </sheetViews>
  <sheetFormatPr defaultRowHeight="15" x14ac:dyDescent="0.25"/>
  <cols>
    <col min="1" max="16384" width="9.140625" style="9"/>
  </cols>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E80783-B61B-4EFA-99B3-5F9E0B85AE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Personal_Finance_Dataset</vt:lpstr>
      <vt:lpstr>Cleaned_Data</vt:lpstr>
      <vt:lpstr>Budget_Ref</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Dominick</cp:lastModifiedBy>
  <dcterms:created xsi:type="dcterms:W3CDTF">2026-06-23T07:32:58Z</dcterms:created>
  <dcterms:modified xsi:type="dcterms:W3CDTF">2026-06-27T05:41:00Z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2026-06-23T09:04:13Z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e56ec730-dee4-493f-8c54-acd3895ced73</vt:lpwstr>
  </property>
  <property fmtid="{D5CDD505-2E9C-101B-9397-08002B2CF9AE}" pid="7" name="MSIP_Label_defa4170-0d19-0005-0004-bc88714345d2_ActionId">
    <vt:lpwstr>65214b95-e448-4d4a-a6da-72782401f536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